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70\Projects &amp; Mock Interviews\Health and Lifestyle survey_mini project\"/>
    </mc:Choice>
  </mc:AlternateContent>
  <xr:revisionPtr revIDLastSave="0" documentId="13_ncr:1_{3EEA8CD5-2008-4585-A77F-930A7CDCCABE}" xr6:coauthVersionLast="47" xr6:coauthVersionMax="47" xr10:uidLastSave="{00000000-0000-0000-0000-000000000000}"/>
  <bookViews>
    <workbookView xWindow="-108" yWindow="-108" windowWidth="23256" windowHeight="13896" tabRatio="857" xr2:uid="{EB485E44-F8BF-428D-9ADB-49C931690CD0}"/>
  </bookViews>
  <sheets>
    <sheet name="Cleaned" sheetId="2" r:id="rId1"/>
    <sheet name="Demographics" sheetId="3" r:id="rId2"/>
    <sheet name="LifeStyle" sheetId="7" r:id="rId3"/>
    <sheet name="Health" sheetId="8" r:id="rId4"/>
    <sheet name="Medical" sheetId="10" r:id="rId5"/>
    <sheet name="Profession" sheetId="4" r:id="rId6"/>
    <sheet name="Region" sheetId="5" r:id="rId7"/>
    <sheet name=" Demographics Health Concern" sheetId="16" r:id="rId8"/>
    <sheet name="Health Concerns" sheetId="13" r:id="rId9"/>
    <sheet name="Communication" sheetId="17" r:id="rId10"/>
    <sheet name="Symptoms" sheetId="18" r:id="rId11"/>
    <sheet name="Demographics Symptoms" sheetId="21" r:id="rId12"/>
  </sheets>
  <definedNames>
    <definedName name="_xlnm._FilterDatabase" localSheetId="7" hidden="1">' Demographics Health Concern'!$C$1:$C$773</definedName>
    <definedName name="_xlnm._FilterDatabase" localSheetId="0" hidden="1">Cleaned!$T$1:$T$573</definedName>
    <definedName name="_xlnm._FilterDatabase" localSheetId="9" hidden="1">'Communication'!$D$1:$D$574</definedName>
    <definedName name="_xlnm._FilterDatabase" localSheetId="1" hidden="1">Demographics!$E$1:$E$575</definedName>
    <definedName name="_xlnm._FilterDatabase" localSheetId="2" hidden="1">LifeStyle!$G$1:$G$573</definedName>
    <definedName name="_xlnm._FilterDatabase" localSheetId="10" hidden="1">Symptoms!#REF!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 a="1"/>
  <c r="B2" i="18" a="1"/>
  <c r="B2" i="13" a="1"/>
  <c r="B2" i="5" a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2" i="4"/>
  <c r="B885" i="21" l="1" a="1"/>
  <c r="B122" i="21" a="1"/>
  <c r="B125" i="21" a="1"/>
  <c r="B127" i="21" a="1"/>
  <c r="B128" i="21" a="1"/>
  <c r="B130" i="21" a="1"/>
  <c r="B131" i="21" a="1"/>
  <c r="B132" i="21" a="1"/>
  <c r="B133" i="21" a="1"/>
  <c r="B134" i="21" a="1"/>
  <c r="B135" i="21" a="1"/>
  <c r="B136" i="21" a="1"/>
  <c r="B137" i="21" a="1"/>
  <c r="B138" i="21" a="1"/>
  <c r="B139" i="21" a="1"/>
  <c r="B140" i="21" a="1"/>
  <c r="B141" i="21" a="1"/>
  <c r="B142" i="21" a="1"/>
  <c r="B144" i="21" a="1"/>
  <c r="B145" i="21" a="1"/>
  <c r="B147" i="21" a="1"/>
  <c r="B148" i="21" a="1"/>
  <c r="B150" i="21" a="1"/>
  <c r="B151" i="21" a="1"/>
  <c r="B153" i="21" a="1"/>
  <c r="B154" i="21" a="1"/>
  <c r="B156" i="21" a="1"/>
  <c r="B157" i="21" a="1"/>
  <c r="B159" i="21" a="1"/>
  <c r="B161" i="21" a="1"/>
  <c r="B163" i="21" a="1"/>
  <c r="B164" i="21" a="1"/>
  <c r="B166" i="21" a="1"/>
  <c r="B168" i="21" a="1"/>
  <c r="B170" i="21" a="1"/>
  <c r="B171" i="21" a="1"/>
  <c r="B172" i="21" a="1"/>
  <c r="B174" i="21" a="1"/>
  <c r="B175" i="21" a="1"/>
  <c r="B177" i="21" a="1"/>
  <c r="B178" i="21" a="1"/>
  <c r="B180" i="21" a="1"/>
  <c r="B181" i="21" a="1"/>
  <c r="B182" i="21" a="1"/>
  <c r="B183" i="21" a="1"/>
  <c r="B184" i="21" a="1"/>
  <c r="B185" i="21" a="1"/>
  <c r="B186" i="21" a="1"/>
  <c r="B187" i="21" a="1"/>
  <c r="B188" i="21" a="1"/>
  <c r="B189" i="21" a="1"/>
  <c r="B631" i="21" a="1"/>
  <c r="B634" i="21" a="1"/>
  <c r="B637" i="21" a="1"/>
  <c r="B641" i="21" a="1"/>
  <c r="B645" i="21" a="1"/>
  <c r="B648" i="21" a="1"/>
  <c r="B652" i="21" a="1"/>
  <c r="B655" i="21" a="1"/>
  <c r="B657" i="21" a="1"/>
  <c r="B663" i="21" a="1"/>
  <c r="B666" i="21" a="1"/>
  <c r="B670" i="21" a="1"/>
  <c r="B673" i="21" a="1"/>
  <c r="B676" i="21" a="1"/>
  <c r="B679" i="21" a="1"/>
  <c r="B684" i="21" a="1"/>
  <c r="B686" i="21" a="1"/>
  <c r="B690" i="21" a="1"/>
  <c r="B693" i="21" a="1"/>
  <c r="B696" i="21" a="1"/>
  <c r="B700" i="21" a="1"/>
  <c r="B703" i="21" a="1"/>
  <c r="B707" i="21" a="1"/>
  <c r="B710" i="21" a="1"/>
  <c r="B713" i="21" a="1"/>
  <c r="B717" i="21" a="1"/>
  <c r="B720" i="21" a="1"/>
  <c r="B725" i="21" a="1"/>
  <c r="B728" i="21" a="1"/>
  <c r="B732" i="21" a="1"/>
  <c r="B734" i="21" a="1"/>
  <c r="B738" i="21" a="1"/>
  <c r="B741" i="21" a="1"/>
  <c r="B744" i="21" a="1"/>
  <c r="B748" i="21" a="1"/>
  <c r="B766" i="21" a="1"/>
  <c r="B771" i="21" a="1"/>
  <c r="B775" i="21" a="1"/>
  <c r="B779" i="21" a="1"/>
  <c r="B783" i="21" a="1"/>
  <c r="B786" i="21" a="1"/>
  <c r="B790" i="21" a="1"/>
  <c r="B792" i="21" a="1"/>
  <c r="B795" i="21" a="1"/>
  <c r="B190" i="21" a="1"/>
  <c r="B191" i="21" a="1"/>
  <c r="B192" i="21" a="1"/>
  <c r="B193" i="21" a="1"/>
  <c r="B194" i="21" a="1"/>
  <c r="B195" i="21" a="1"/>
  <c r="B196" i="21" a="1"/>
  <c r="B197" i="21" a="1"/>
  <c r="B198" i="21" a="1"/>
  <c r="B199" i="21" a="1"/>
  <c r="B200" i="21" a="1"/>
  <c r="B201" i="21" a="1"/>
  <c r="B202" i="21" a="1"/>
  <c r="B203" i="21" a="1"/>
  <c r="B204" i="21" a="1"/>
  <c r="B205" i="21" a="1"/>
  <c r="B206" i="21" a="1"/>
  <c r="B207" i="21" a="1"/>
  <c r="B208" i="21" a="1"/>
  <c r="B209" i="21" a="1"/>
  <c r="B210" i="21" a="1"/>
  <c r="B211" i="21" a="1"/>
  <c r="B212" i="21" a="1"/>
  <c r="B213" i="21" a="1"/>
  <c r="B214" i="21" a="1"/>
  <c r="B215" i="21" a="1"/>
  <c r="B216" i="21" a="1"/>
  <c r="B217" i="21" a="1"/>
  <c r="B218" i="21" a="1"/>
  <c r="B219" i="21" a="1"/>
  <c r="B220" i="21" a="1"/>
  <c r="B221" i="21" a="1"/>
  <c r="B222" i="21" a="1"/>
  <c r="B223" i="21" a="1"/>
  <c r="B224" i="21" a="1"/>
  <c r="B225" i="21" a="1"/>
  <c r="B226" i="21" a="1"/>
  <c r="B227" i="21" a="1"/>
  <c r="B228" i="21" a="1"/>
  <c r="B229" i="21" a="1"/>
  <c r="B230" i="21" a="1"/>
  <c r="B231" i="21" a="1"/>
  <c r="B232" i="21" a="1"/>
  <c r="B233" i="21" a="1"/>
  <c r="B234" i="21" a="1"/>
  <c r="B235" i="21" a="1"/>
  <c r="B236" i="21" a="1"/>
  <c r="B237" i="21" a="1"/>
  <c r="B238" i="21" a="1"/>
  <c r="B239" i="21" a="1"/>
  <c r="B240" i="21" a="1"/>
  <c r="B241" i="21" a="1"/>
  <c r="B242" i="21" a="1"/>
  <c r="B243" i="21" a="1"/>
  <c r="B244" i="21" a="1"/>
  <c r="B245" i="21" a="1"/>
  <c r="B246" i="21" a="1"/>
  <c r="B247" i="21" a="1"/>
  <c r="B248" i="21" a="1"/>
  <c r="B249" i="21" a="1"/>
  <c r="B250" i="21" a="1"/>
  <c r="B251" i="21" a="1"/>
  <c r="B252" i="21" a="1"/>
  <c r="B253" i="21" a="1"/>
  <c r="B254" i="21" a="1"/>
  <c r="B255" i="21" a="1"/>
  <c r="B256" i="21" a="1"/>
  <c r="B257" i="21" a="1"/>
  <c r="B258" i="21" a="1"/>
  <c r="B259" i="21" a="1"/>
  <c r="B260" i="21" a="1"/>
  <c r="B261" i="21" a="1"/>
  <c r="B262" i="21" a="1"/>
  <c r="B263" i="21" a="1"/>
  <c r="B264" i="21" a="1"/>
  <c r="B265" i="21" a="1"/>
  <c r="B266" i="21" a="1"/>
  <c r="B267" i="21" a="1"/>
  <c r="B268" i="21" a="1"/>
  <c r="B269" i="21" a="1"/>
  <c r="B270" i="21" a="1"/>
  <c r="B271" i="21" a="1"/>
  <c r="B272" i="21" a="1"/>
  <c r="B273" i="21" a="1"/>
  <c r="B274" i="21" a="1"/>
  <c r="B275" i="21" a="1"/>
  <c r="B276" i="21" a="1"/>
  <c r="B277" i="21" a="1"/>
  <c r="B278" i="21" a="1"/>
  <c r="B279" i="21" a="1"/>
  <c r="B280" i="21" a="1"/>
  <c r="B281" i="21" a="1"/>
  <c r="B282" i="21" a="1"/>
  <c r="B283" i="21" a="1"/>
  <c r="B284" i="21" a="1"/>
  <c r="B285" i="21" a="1"/>
  <c r="B286" i="21" a="1"/>
  <c r="B287" i="21" a="1"/>
  <c r="B288" i="21" a="1"/>
  <c r="B289" i="21" a="1"/>
  <c r="B290" i="21" a="1"/>
  <c r="B291" i="21" a="1"/>
  <c r="B292" i="21" a="1"/>
  <c r="B293" i="21" a="1"/>
  <c r="B294" i="21" a="1"/>
  <c r="B295" i="21" a="1"/>
  <c r="B296" i="21" a="1"/>
  <c r="B297" i="21" a="1"/>
  <c r="B298" i="21" a="1"/>
  <c r="B299" i="21" a="1"/>
  <c r="B300" i="21" a="1"/>
  <c r="B301" i="21" a="1"/>
  <c r="B302" i="21" a="1"/>
  <c r="B303" i="21" a="1"/>
  <c r="B304" i="21" a="1"/>
  <c r="B305" i="21" a="1"/>
  <c r="B306" i="21" a="1"/>
  <c r="B307" i="21" a="1"/>
  <c r="B308" i="21" a="1"/>
  <c r="B309" i="21" a="1"/>
  <c r="B310" i="21" a="1"/>
  <c r="B311" i="21" a="1"/>
  <c r="B312" i="21" a="1"/>
  <c r="B313" i="21" a="1"/>
  <c r="B314" i="21" a="1"/>
  <c r="B315" i="21" a="1"/>
  <c r="B316" i="21" a="1"/>
  <c r="B317" i="21" a="1"/>
  <c r="B318" i="21" a="1"/>
  <c r="B319" i="21" a="1"/>
  <c r="B320" i="21" a="1"/>
  <c r="B321" i="21" a="1"/>
  <c r="B322" i="21" a="1"/>
  <c r="B323" i="21" a="1"/>
  <c r="B324" i="21" a="1"/>
  <c r="B325" i="21" a="1"/>
  <c r="B326" i="21" a="1"/>
  <c r="B327" i="21" a="1"/>
  <c r="B328" i="21" a="1"/>
  <c r="B329" i="21" a="1"/>
  <c r="B330" i="21" a="1"/>
  <c r="B331" i="21" a="1"/>
  <c r="B332" i="21" a="1"/>
  <c r="B333" i="21" a="1"/>
  <c r="B334" i="21" a="1"/>
  <c r="B335" i="21" a="1"/>
  <c r="B336" i="21" a="1"/>
  <c r="B337" i="21" a="1"/>
  <c r="B338" i="21" a="1"/>
  <c r="B339" i="21" a="1"/>
  <c r="B340" i="21" a="1"/>
  <c r="B341" i="21" a="1"/>
  <c r="B489" i="21" a="1"/>
  <c r="B491" i="21" a="1"/>
  <c r="B493" i="21" a="1"/>
  <c r="B495" i="21" a="1"/>
  <c r="B497" i="21" a="1"/>
  <c r="B499" i="21" a="1"/>
  <c r="B501" i="21" a="1"/>
  <c r="B503" i="21" a="1"/>
  <c r="B505" i="21" a="1"/>
  <c r="B507" i="21" a="1"/>
  <c r="B509" i="21" a="1"/>
  <c r="B511" i="21" a="1"/>
  <c r="B512" i="21" a="1"/>
  <c r="B514" i="21" a="1"/>
  <c r="B517" i="21" a="1"/>
  <c r="B519" i="21" a="1"/>
  <c r="B521" i="21" a="1"/>
  <c r="B523" i="21" a="1"/>
  <c r="B525" i="21" a="1"/>
  <c r="B530" i="21" a="1"/>
  <c r="B532" i="21" a="1"/>
  <c r="B534" i="21" a="1"/>
  <c r="B535" i="21" a="1"/>
  <c r="B536" i="21" a="1"/>
  <c r="B537" i="21" a="1"/>
  <c r="B538" i="21" a="1"/>
  <c r="B539" i="21" a="1"/>
  <c r="B540" i="21" a="1"/>
  <c r="B541" i="21" a="1"/>
  <c r="B542" i="21" a="1"/>
  <c r="B543" i="21" a="1"/>
  <c r="B544" i="21" a="1"/>
  <c r="B545" i="21" a="1"/>
  <c r="B546" i="21" a="1"/>
  <c r="B547" i="21" a="1"/>
  <c r="B548" i="21" a="1"/>
  <c r="B549" i="21" a="1"/>
  <c r="B550" i="21" a="1"/>
  <c r="B552" i="21" a="1"/>
  <c r="B554" i="21" a="1"/>
  <c r="B556" i="21" a="1"/>
  <c r="B558" i="21" a="1"/>
  <c r="B560" i="21" a="1"/>
  <c r="B562" i="21" a="1"/>
  <c r="B564" i="21" a="1"/>
  <c r="B566" i="21" a="1"/>
  <c r="B568" i="21" a="1"/>
  <c r="B570" i="21" a="1"/>
  <c r="B572" i="21" a="1"/>
  <c r="B574" i="21" a="1"/>
  <c r="B576" i="21" a="1"/>
  <c r="B578" i="21" a="1"/>
  <c r="B580" i="21" a="1"/>
  <c r="B582" i="21" a="1"/>
  <c r="B584" i="21" a="1"/>
  <c r="B585" i="21" a="1"/>
  <c r="B587" i="21" a="1"/>
  <c r="B589" i="21" a="1"/>
  <c r="B591" i="21" a="1"/>
  <c r="B592" i="21" a="1"/>
  <c r="B594" i="21" a="1"/>
  <c r="B596" i="21" a="1"/>
  <c r="B598" i="21" a="1"/>
  <c r="B600" i="21" a="1"/>
  <c r="B602" i="21" a="1"/>
  <c r="B604" i="21" a="1"/>
  <c r="B605" i="21" a="1"/>
  <c r="B607" i="21" a="1"/>
  <c r="B609" i="21" a="1"/>
  <c r="B611" i="21" a="1"/>
  <c r="B613" i="21" a="1"/>
  <c r="B615" i="21" a="1"/>
  <c r="B617" i="21" a="1"/>
  <c r="B619" i="21" a="1"/>
  <c r="B621" i="21" a="1"/>
  <c r="B623" i="21" a="1"/>
  <c r="B625" i="21" a="1"/>
  <c r="B626" i="21" a="1"/>
  <c r="B628" i="21" a="1"/>
  <c r="B630" i="21" a="1"/>
  <c r="B633" i="21" a="1"/>
  <c r="B636" i="21" a="1"/>
  <c r="B639" i="21" a="1"/>
  <c r="B642" i="21" a="1"/>
  <c r="B644" i="21" a="1"/>
  <c r="B647" i="21" a="1"/>
  <c r="B651" i="21" a="1"/>
  <c r="B654" i="21" a="1"/>
  <c r="B658" i="21" a="1"/>
  <c r="B661" i="21" a="1"/>
  <c r="B665" i="21" a="1"/>
  <c r="B668" i="21" a="1"/>
  <c r="B671" i="21" a="1"/>
  <c r="B674" i="21" a="1"/>
  <c r="B678" i="21" a="1"/>
  <c r="B681" i="21" a="1"/>
  <c r="B685" i="21" a="1"/>
  <c r="B687" i="21" a="1"/>
  <c r="B691" i="21" a="1"/>
  <c r="B694" i="21" a="1"/>
  <c r="B697" i="21" a="1"/>
  <c r="B699" i="21" a="1"/>
  <c r="B702" i="21" a="1"/>
  <c r="B705" i="21" a="1"/>
  <c r="B708" i="21" a="1"/>
  <c r="B712" i="21" a="1"/>
  <c r="B715" i="21" a="1"/>
  <c r="B718" i="21" a="1"/>
  <c r="B721" i="21" a="1"/>
  <c r="B724" i="21" a="1"/>
  <c r="B726" i="21" a="1"/>
  <c r="B730" i="21" a="1"/>
  <c r="B733" i="21" a="1"/>
  <c r="B737" i="21" a="1"/>
  <c r="B740" i="21" a="1"/>
  <c r="B743" i="21" a="1"/>
  <c r="B746" i="21" a="1"/>
  <c r="B750" i="21" a="1"/>
  <c r="B753" i="21" a="1"/>
  <c r="B755" i="21" a="1"/>
  <c r="B757" i="21" a="1"/>
  <c r="B761" i="21" a="1"/>
  <c r="B764" i="21" a="1"/>
  <c r="B770" i="21" a="1"/>
  <c r="B774" i="21" a="1"/>
  <c r="B778" i="21" a="1"/>
  <c r="B781" i="21" a="1"/>
  <c r="B785" i="21" a="1"/>
  <c r="B788" i="21" a="1"/>
  <c r="B794" i="21" a="1"/>
  <c r="B342" i="21" a="1"/>
  <c r="B343" i="21" a="1"/>
  <c r="B344" i="21" a="1"/>
  <c r="B345" i="21" a="1"/>
  <c r="B346" i="21" a="1"/>
  <c r="B347" i="21" a="1"/>
  <c r="B348" i="21" a="1"/>
  <c r="B349" i="21" a="1"/>
  <c r="B350" i="21" a="1"/>
  <c r="B351" i="21" a="1"/>
  <c r="B352" i="21" a="1"/>
  <c r="B353" i="21" a="1"/>
  <c r="B354" i="21" a="1"/>
  <c r="B355" i="21" a="1"/>
  <c r="B356" i="21" a="1"/>
  <c r="B357" i="21" a="1"/>
  <c r="B358" i="21" a="1"/>
  <c r="B359" i="21" a="1"/>
  <c r="B360" i="21" a="1"/>
  <c r="B361" i="21" a="1"/>
  <c r="B362" i="21" a="1"/>
  <c r="B363" i="21" a="1"/>
  <c r="B364" i="21" a="1"/>
  <c r="B365" i="21" a="1"/>
  <c r="B366" i="21" a="1"/>
  <c r="B367" i="21" a="1"/>
  <c r="B368" i="21" a="1"/>
  <c r="B369" i="21" a="1"/>
  <c r="B370" i="21" a="1"/>
  <c r="B371" i="21" a="1"/>
  <c r="B372" i="21" a="1"/>
  <c r="B373" i="21" a="1"/>
  <c r="B374" i="21" a="1"/>
  <c r="B375" i="21" a="1"/>
  <c r="B376" i="21" a="1"/>
  <c r="B377" i="21" a="1"/>
  <c r="B378" i="21" a="1"/>
  <c r="B379" i="21" a="1"/>
  <c r="B380" i="21" a="1"/>
  <c r="B381" i="21" a="1"/>
  <c r="B382" i="21" a="1"/>
  <c r="B383" i="21" a="1"/>
  <c r="B384" i="21" a="1"/>
  <c r="B385" i="21" a="1"/>
  <c r="B386" i="21" a="1"/>
  <c r="B387" i="21" a="1"/>
  <c r="B388" i="21" a="1"/>
  <c r="B389" i="21" a="1"/>
  <c r="B390" i="21" a="1"/>
  <c r="B391" i="21" a="1"/>
  <c r="B392" i="21" a="1"/>
  <c r="B393" i="21" a="1"/>
  <c r="B394" i="21" a="1"/>
  <c r="B395" i="21" a="1"/>
  <c r="B396" i="21" a="1"/>
  <c r="B397" i="21" a="1"/>
  <c r="B398" i="21" a="1"/>
  <c r="B399" i="21" a="1"/>
  <c r="B400" i="21" a="1"/>
  <c r="B401" i="21" a="1"/>
  <c r="B402" i="21" a="1"/>
  <c r="B403" i="21" a="1"/>
  <c r="B404" i="21" a="1"/>
  <c r="B405" i="21" a="1"/>
  <c r="B406" i="21" a="1"/>
  <c r="B407" i="21" a="1"/>
  <c r="B408" i="21" a="1"/>
  <c r="B409" i="21" a="1"/>
  <c r="B410" i="21" a="1"/>
  <c r="B411" i="21" a="1"/>
  <c r="B412" i="21" a="1"/>
  <c r="B413" i="21" a="1"/>
  <c r="B414" i="21" a="1"/>
  <c r="B415" i="21" a="1"/>
  <c r="B416" i="21" a="1"/>
  <c r="B417" i="21" a="1"/>
  <c r="B418" i="21" a="1"/>
  <c r="B419" i="21" a="1"/>
  <c r="B420" i="21" a="1"/>
  <c r="B421" i="21" a="1"/>
  <c r="B422" i="21" a="1"/>
  <c r="B423" i="21" a="1"/>
  <c r="B424" i="21" a="1"/>
  <c r="B425" i="21" a="1"/>
  <c r="B426" i="21" a="1"/>
  <c r="B427" i="21" a="1"/>
  <c r="B428" i="21" a="1"/>
  <c r="B429" i="21" a="1"/>
  <c r="B430" i="21" a="1"/>
  <c r="B431" i="21" a="1"/>
  <c r="B432" i="21" a="1"/>
  <c r="B433" i="21" a="1"/>
  <c r="B434" i="21" a="1"/>
  <c r="B435" i="21" a="1"/>
  <c r="B436" i="21" a="1"/>
  <c r="B437" i="21" a="1"/>
  <c r="B438" i="21" a="1"/>
  <c r="B439" i="21" a="1"/>
  <c r="B440" i="21" a="1"/>
  <c r="B441" i="21" a="1"/>
  <c r="B442" i="21" a="1"/>
  <c r="B443" i="21" a="1"/>
  <c r="B444" i="21" a="1"/>
  <c r="B445" i="21" a="1"/>
  <c r="B446" i="21" a="1"/>
  <c r="B447" i="21" a="1"/>
  <c r="B448" i="21" a="1"/>
  <c r="B449" i="21" a="1"/>
  <c r="B450" i="21" a="1"/>
  <c r="B451" i="21" a="1"/>
  <c r="B452" i="21" a="1"/>
  <c r="B453" i="21" a="1"/>
  <c r="B454" i="21" a="1"/>
  <c r="B455" i="21" a="1"/>
  <c r="B456" i="21" a="1"/>
  <c r="B457" i="21" a="1"/>
  <c r="B458" i="21" a="1"/>
  <c r="B459" i="21" a="1"/>
  <c r="B460" i="21" a="1"/>
  <c r="B461" i="21" a="1"/>
  <c r="B462" i="21" a="1"/>
  <c r="B463" i="21" a="1"/>
  <c r="B464" i="21" a="1"/>
  <c r="B465" i="21" a="1"/>
  <c r="B466" i="21" a="1"/>
  <c r="B467" i="21" a="1"/>
  <c r="B468" i="21" a="1"/>
  <c r="B469" i="21" a="1"/>
  <c r="B470" i="21" a="1"/>
  <c r="B471" i="21" a="1"/>
  <c r="B472" i="21" a="1"/>
  <c r="B473" i="21" a="1"/>
  <c r="B474" i="21" a="1"/>
  <c r="B475" i="21" a="1"/>
  <c r="B476" i="21" a="1"/>
  <c r="B477" i="21" a="1"/>
  <c r="B478" i="21" a="1"/>
  <c r="B479" i="21" a="1"/>
  <c r="B480" i="21" a="1"/>
  <c r="B481" i="21" a="1"/>
  <c r="B482" i="21" a="1"/>
  <c r="B483" i="21" a="1"/>
  <c r="B484" i="21" a="1"/>
  <c r="B485" i="21" a="1"/>
  <c r="B486" i="21" a="1"/>
  <c r="B487" i="21" a="1"/>
  <c r="B488" i="21" a="1"/>
  <c r="B490" i="21" a="1"/>
  <c r="B492" i="21" a="1"/>
  <c r="B494" i="21" a="1"/>
  <c r="B496" i="21" a="1"/>
  <c r="B498" i="21" a="1"/>
  <c r="B500" i="21" a="1"/>
  <c r="B502" i="21" a="1"/>
  <c r="B504" i="21" a="1"/>
  <c r="B506" i="21" a="1"/>
  <c r="B508" i="21" a="1"/>
  <c r="B510" i="21" a="1"/>
  <c r="B513" i="21" a="1"/>
  <c r="B515" i="21" a="1"/>
  <c r="B516" i="21" a="1"/>
  <c r="B518" i="21" a="1"/>
  <c r="B520" i="21" a="1"/>
  <c r="B522" i="21" a="1"/>
  <c r="B524" i="21" a="1"/>
  <c r="B526" i="21" a="1"/>
  <c r="B527" i="21" a="1"/>
  <c r="B528" i="21" a="1"/>
  <c r="B529" i="21" a="1"/>
  <c r="B531" i="21" a="1"/>
  <c r="B533" i="21" a="1"/>
  <c r="B551" i="21" a="1"/>
  <c r="B553" i="21" a="1"/>
  <c r="B555" i="21" a="1"/>
  <c r="B557" i="21" a="1"/>
  <c r="B559" i="21" a="1"/>
  <c r="B561" i="21" a="1"/>
  <c r="B563" i="21" a="1"/>
  <c r="B565" i="21" a="1"/>
  <c r="B567" i="21" a="1"/>
  <c r="B569" i="21" a="1"/>
  <c r="B571" i="21" a="1"/>
  <c r="B573" i="21" a="1"/>
  <c r="B575" i="21" a="1"/>
  <c r="B577" i="21" a="1"/>
  <c r="B579" i="21" a="1"/>
  <c r="B581" i="21" a="1"/>
  <c r="B583" i="21" a="1"/>
  <c r="B586" i="21" a="1"/>
  <c r="B588" i="21" a="1"/>
  <c r="B590" i="21" a="1"/>
  <c r="B593" i="21" a="1"/>
  <c r="B595" i="21" a="1"/>
  <c r="B597" i="21" a="1"/>
  <c r="B599" i="21" a="1"/>
  <c r="B601" i="21" a="1"/>
  <c r="B603" i="21" a="1"/>
  <c r="B606" i="21" a="1"/>
  <c r="B608" i="21" a="1"/>
  <c r="B610" i="21" a="1"/>
  <c r="B612" i="21" a="1"/>
  <c r="B614" i="21" a="1"/>
  <c r="B616" i="21" a="1"/>
  <c r="B618" i="21" a="1"/>
  <c r="B620" i="21" a="1"/>
  <c r="B622" i="21" a="1"/>
  <c r="B624" i="21" a="1"/>
  <c r="B627" i="21" a="1"/>
  <c r="B629" i="21" a="1"/>
  <c r="B632" i="21" a="1"/>
  <c r="B635" i="21" a="1"/>
  <c r="B638" i="21" a="1"/>
  <c r="B640" i="21" a="1"/>
  <c r="B643" i="21" a="1"/>
  <c r="B646" i="21" a="1"/>
  <c r="B649" i="21" a="1"/>
  <c r="B653" i="21" a="1"/>
  <c r="B656" i="21" a="1"/>
  <c r="B659" i="21" a="1"/>
  <c r="B662" i="21" a="1"/>
  <c r="B664" i="21" a="1"/>
  <c r="B669" i="21" a="1"/>
  <c r="B672" i="21" a="1"/>
  <c r="B677" i="21" a="1"/>
  <c r="B680" i="21" a="1"/>
  <c r="B683" i="21" a="1"/>
  <c r="B688" i="21" a="1"/>
  <c r="B692" i="21" a="1"/>
  <c r="B698" i="21" a="1"/>
  <c r="B701" i="21" a="1"/>
  <c r="B706" i="21" a="1"/>
  <c r="B711" i="21" a="1"/>
  <c r="B714" i="21" a="1"/>
  <c r="B719" i="21" a="1"/>
  <c r="B723" i="21" a="1"/>
  <c r="B727" i="21" a="1"/>
  <c r="B731" i="21" a="1"/>
  <c r="B735" i="21" a="1"/>
  <c r="B739" i="21" a="1"/>
  <c r="B742" i="21" a="1"/>
  <c r="B745" i="21" a="1"/>
  <c r="B749" i="21" a="1"/>
  <c r="B752" i="21" a="1"/>
  <c r="B756" i="21" a="1"/>
  <c r="B759" i="21" a="1"/>
  <c r="B762" i="21" a="1"/>
  <c r="B765" i="21" a="1"/>
  <c r="B769" i="21" a="1"/>
  <c r="B773" i="21" a="1"/>
  <c r="B776" i="21" a="1"/>
  <c r="B780" i="21" a="1"/>
  <c r="B784" i="21" a="1"/>
  <c r="B787" i="21" a="1"/>
  <c r="B791" i="21" a="1"/>
  <c r="B793" i="21" a="1"/>
  <c r="B796" i="21" a="1"/>
  <c r="B797" i="21" a="1"/>
  <c r="B798" i="21" a="1"/>
  <c r="B799" i="21" a="1"/>
  <c r="B800" i="21" a="1"/>
  <c r="B801" i="21" a="1"/>
  <c r="B802" i="21" a="1"/>
  <c r="B803" i="21" a="1"/>
  <c r="B804" i="21" a="1"/>
  <c r="B805" i="21" a="1"/>
  <c r="B806" i="21" a="1"/>
  <c r="B807" i="21" a="1"/>
  <c r="B808" i="21" a="1"/>
  <c r="B809" i="21" a="1"/>
  <c r="B810" i="21" a="1"/>
  <c r="B811" i="21" a="1"/>
  <c r="B812" i="21" a="1"/>
  <c r="B813" i="21" a="1"/>
  <c r="B11" i="21" a="1"/>
  <c r="B12" i="21" a="1"/>
  <c r="B13" i="21" a="1"/>
  <c r="B14" i="21" a="1"/>
  <c r="B15" i="21" a="1"/>
  <c r="B16" i="21" a="1"/>
  <c r="B17" i="21" a="1"/>
  <c r="B18" i="21" a="1"/>
  <c r="B19" i="21" a="1"/>
  <c r="B20" i="21" a="1"/>
  <c r="B21" i="21" a="1"/>
  <c r="B22" i="21" a="1"/>
  <c r="B23" i="21" a="1"/>
  <c r="B24" i="21" a="1"/>
  <c r="B25" i="21" a="1"/>
  <c r="B26" i="21" a="1"/>
  <c r="B27" i="21" a="1"/>
  <c r="B28" i="21" a="1"/>
  <c r="B29" i="21" a="1"/>
  <c r="B30" i="21" a="1"/>
  <c r="B31" i="21" a="1"/>
  <c r="B32" i="21" a="1"/>
  <c r="B33" i="21" a="1"/>
  <c r="B34" i="21" a="1"/>
  <c r="B35" i="21" a="1"/>
  <c r="B36" i="21" a="1"/>
  <c r="B37" i="21" a="1"/>
  <c r="B38" i="21" a="1"/>
  <c r="B39" i="21" a="1"/>
  <c r="B40" i="21" a="1"/>
  <c r="B41" i="21" a="1"/>
  <c r="B42" i="21" a="1"/>
  <c r="B43" i="21" a="1"/>
  <c r="B44" i="21" a="1"/>
  <c r="B45" i="21" a="1"/>
  <c r="B46" i="21" a="1"/>
  <c r="B47" i="21" a="1"/>
  <c r="B48" i="21" a="1"/>
  <c r="B49" i="21" a="1"/>
  <c r="B50" i="21" a="1"/>
  <c r="B51" i="21" a="1"/>
  <c r="B52" i="21" a="1"/>
  <c r="B53" i="21" a="1"/>
  <c r="B54" i="21" a="1"/>
  <c r="B55" i="21" a="1"/>
  <c r="B56" i="21" a="1"/>
  <c r="B57" i="21" a="1"/>
  <c r="B58" i="21" a="1"/>
  <c r="B59" i="21" a="1"/>
  <c r="B60" i="21" a="1"/>
  <c r="B61" i="21" a="1"/>
  <c r="B62" i="21" a="1"/>
  <c r="B63" i="21" a="1"/>
  <c r="B64" i="21" a="1"/>
  <c r="B65" i="21" a="1"/>
  <c r="B66" i="21" a="1"/>
  <c r="B67" i="21" a="1"/>
  <c r="B68" i="21" a="1"/>
  <c r="B69" i="21" a="1"/>
  <c r="B70" i="21" a="1"/>
  <c r="B71" i="21" a="1"/>
  <c r="B72" i="21" a="1"/>
  <c r="B73" i="21" a="1"/>
  <c r="B74" i="21" a="1"/>
  <c r="B75" i="21" a="1"/>
  <c r="B76" i="21" a="1"/>
  <c r="B77" i="21" a="1"/>
  <c r="B78" i="21" a="1"/>
  <c r="B79" i="21" a="1"/>
  <c r="B80" i="21" a="1"/>
  <c r="B81" i="21" a="1"/>
  <c r="B82" i="21" a="1"/>
  <c r="B83" i="21" a="1"/>
  <c r="B84" i="21" a="1"/>
  <c r="B85" i="21" a="1"/>
  <c r="B86" i="21" a="1"/>
  <c r="B87" i="21" a="1"/>
  <c r="B88" i="21" a="1"/>
  <c r="B89" i="21" a="1"/>
  <c r="B90" i="21" a="1"/>
  <c r="B91" i="21" a="1"/>
  <c r="B92" i="21" a="1"/>
  <c r="B93" i="21" a="1"/>
  <c r="B94" i="21" a="1"/>
  <c r="B95" i="21" a="1"/>
  <c r="B96" i="21" a="1"/>
  <c r="B97" i="21" a="1"/>
  <c r="B98" i="21" a="1"/>
  <c r="B99" i="21" a="1"/>
  <c r="B100" i="21" a="1"/>
  <c r="B101" i="21" a="1"/>
  <c r="B102" i="21" a="1"/>
  <c r="B103" i="21" a="1"/>
  <c r="B104" i="21" a="1"/>
  <c r="B105" i="21" a="1"/>
  <c r="B106" i="21" a="1"/>
  <c r="B107" i="21" a="1"/>
  <c r="B108" i="21" a="1"/>
  <c r="B109" i="21" a="1"/>
  <c r="B110" i="21" a="1"/>
  <c r="B111" i="21" a="1"/>
  <c r="B112" i="21" a="1"/>
  <c r="B113" i="21" a="1"/>
  <c r="B114" i="21" a="1"/>
  <c r="B3" i="21" a="1"/>
  <c r="B4" i="21" a="1"/>
  <c r="B5" i="21" a="1"/>
  <c r="B6" i="21" a="1"/>
  <c r="B7" i="21" a="1"/>
  <c r="B8" i="21" a="1"/>
  <c r="B9" i="21" a="1"/>
  <c r="B10" i="21" a="1"/>
  <c r="B2" i="21" a="1"/>
  <c r="B814" i="21" a="1"/>
  <c r="B815" i="21" a="1"/>
  <c r="B816" i="21" a="1"/>
  <c r="B817" i="21" a="1"/>
  <c r="B818" i="21" a="1"/>
  <c r="B819" i="21" a="1"/>
  <c r="B820" i="21" a="1"/>
  <c r="B821" i="21" a="1"/>
  <c r="B822" i="21" a="1"/>
  <c r="B823" i="21" a="1"/>
  <c r="B824" i="21" a="1"/>
  <c r="B825" i="21" a="1"/>
  <c r="B826" i="21" a="1"/>
  <c r="B827" i="21" a="1"/>
  <c r="B828" i="21" a="1"/>
  <c r="B829" i="21" a="1"/>
  <c r="B830" i="21" a="1"/>
  <c r="B831" i="21" a="1"/>
  <c r="B832" i="21" a="1"/>
  <c r="B833" i="21" a="1"/>
  <c r="B834" i="21" a="1"/>
  <c r="B835" i="21" a="1"/>
  <c r="B836" i="21" a="1"/>
  <c r="B837" i="21" a="1"/>
  <c r="B838" i="21" a="1"/>
  <c r="B839" i="21" a="1"/>
  <c r="B840" i="21" a="1"/>
  <c r="B841" i="21" a="1"/>
  <c r="B842" i="21" a="1"/>
  <c r="B843" i="21" a="1"/>
  <c r="B844" i="21" a="1"/>
  <c r="B845" i="21" a="1"/>
  <c r="B846" i="21" a="1"/>
  <c r="B847" i="21" a="1"/>
  <c r="B848" i="21" a="1"/>
  <c r="B849" i="21" a="1"/>
  <c r="B850" i="21" a="1"/>
  <c r="B851" i="21" a="1"/>
  <c r="B852" i="21" a="1"/>
  <c r="B853" i="21" a="1"/>
  <c r="B854" i="21" a="1"/>
  <c r="B855" i="21" a="1"/>
  <c r="B856" i="21" a="1"/>
  <c r="B857" i="21" a="1"/>
  <c r="B858" i="21" a="1"/>
  <c r="B859" i="21" a="1"/>
  <c r="B860" i="21" a="1"/>
  <c r="B861" i="21" a="1"/>
  <c r="B862" i="21" a="1"/>
  <c r="B863" i="21" a="1"/>
  <c r="B864" i="21" a="1"/>
  <c r="B865" i="21" a="1"/>
  <c r="B866" i="21" a="1"/>
  <c r="B867" i="21" a="1"/>
  <c r="B868" i="21" a="1"/>
  <c r="B869" i="21" a="1"/>
  <c r="B870" i="21" a="1"/>
  <c r="B871" i="21" a="1"/>
  <c r="B872" i="21" a="1"/>
  <c r="B873" i="21" a="1"/>
  <c r="B874" i="21" a="1"/>
  <c r="B875" i="21" a="1"/>
  <c r="B876" i="21" a="1"/>
  <c r="B877" i="21" a="1"/>
  <c r="B878" i="21" a="1"/>
  <c r="B879" i="21" a="1"/>
  <c r="B880" i="21" a="1"/>
  <c r="B881" i="21" a="1"/>
  <c r="B882" i="21" a="1"/>
  <c r="B883" i="21" a="1"/>
  <c r="B884" i="21" a="1"/>
  <c r="B886" i="21" a="1"/>
  <c r="B887" i="21" a="1"/>
  <c r="B888" i="21" a="1"/>
  <c r="B889" i="21" a="1"/>
  <c r="B115" i="21" a="1"/>
  <c r="B116" i="21" a="1"/>
  <c r="B117" i="21" a="1"/>
  <c r="B118" i="21" a="1"/>
  <c r="B119" i="21" a="1"/>
  <c r="B120" i="21" a="1"/>
  <c r="B121" i="21" a="1"/>
  <c r="B123" i="21" a="1"/>
  <c r="B124" i="21" a="1"/>
  <c r="B126" i="21" a="1"/>
  <c r="B129" i="21" a="1"/>
  <c r="B143" i="21" a="1"/>
  <c r="B146" i="21" a="1"/>
  <c r="B149" i="21" a="1"/>
  <c r="B152" i="21" a="1"/>
  <c r="B155" i="21" a="1"/>
  <c r="B158" i="21" a="1"/>
  <c r="B160" i="21" a="1"/>
  <c r="B162" i="21" a="1"/>
  <c r="B167" i="21" a="1"/>
  <c r="B169" i="21" a="1"/>
  <c r="B173" i="21" a="1"/>
  <c r="B176" i="21" a="1"/>
  <c r="B179" i="21" a="1"/>
  <c r="B751" i="21" a="1"/>
  <c r="B760" i="21" a="1"/>
  <c r="B767" i="21" a="1"/>
  <c r="B772" i="21" a="1"/>
  <c r="B777" i="21" a="1"/>
  <c r="B789" i="21" a="1"/>
  <c r="B165" i="21" a="1"/>
  <c r="B650" i="21" a="1"/>
  <c r="B660" i="21" a="1"/>
  <c r="B667" i="21" a="1"/>
  <c r="B675" i="21" a="1"/>
  <c r="B682" i="21" a="1"/>
  <c r="B689" i="21" a="1"/>
  <c r="B695" i="21" a="1"/>
  <c r="B704" i="21" a="1"/>
  <c r="B709" i="21" a="1"/>
  <c r="B716" i="21" a="1"/>
  <c r="B722" i="21" a="1"/>
  <c r="B729" i="21" a="1"/>
  <c r="B736" i="21" a="1"/>
  <c r="B747" i="21" a="1"/>
  <c r="B754" i="21" a="1"/>
  <c r="B758" i="21" a="1"/>
  <c r="B763" i="21" a="1"/>
  <c r="B768" i="21" a="1"/>
  <c r="B782" i="21" a="1"/>
  <c r="A144" i="16" a="1"/>
  <c r="A145" i="16" a="1"/>
  <c r="A146" i="16" a="1"/>
  <c r="A147" i="16" a="1"/>
  <c r="A148" i="16" a="1"/>
  <c r="A149" i="16" a="1"/>
  <c r="A150" i="16" a="1"/>
  <c r="A151" i="16" a="1"/>
  <c r="A152" i="16" a="1"/>
  <c r="A153" i="16" a="1"/>
  <c r="A154" i="16" a="1"/>
  <c r="A155" i="16" a="1"/>
  <c r="A156" i="16" a="1"/>
  <c r="A157" i="16" a="1"/>
  <c r="A158" i="16" a="1"/>
  <c r="A159" i="16" a="1"/>
  <c r="A160" i="16" a="1"/>
  <c r="A161" i="16" a="1"/>
  <c r="A162" i="16" a="1"/>
  <c r="A163" i="16" a="1"/>
  <c r="A164" i="16" a="1"/>
  <c r="A165" i="16" a="1"/>
  <c r="A166" i="16" a="1"/>
  <c r="A167" i="16" a="1"/>
  <c r="A168" i="16" a="1"/>
  <c r="A169" i="16" a="1"/>
  <c r="A170" i="16" a="1"/>
  <c r="A171" i="16" a="1"/>
  <c r="A172" i="16" a="1"/>
  <c r="A173" i="16" a="1"/>
  <c r="A174" i="16" a="1"/>
  <c r="A175" i="16" a="1"/>
  <c r="A176" i="16" a="1"/>
  <c r="A177" i="16" a="1"/>
  <c r="A178" i="16" a="1"/>
  <c r="A179" i="16" a="1"/>
  <c r="A180" i="16" a="1"/>
  <c r="A181" i="16" a="1"/>
  <c r="A182" i="16" a="1"/>
  <c r="A183" i="16" a="1"/>
  <c r="A184" i="16" a="1"/>
  <c r="A185" i="16" a="1"/>
  <c r="A186" i="16" a="1"/>
  <c r="A187" i="16" a="1"/>
  <c r="A188" i="16" a="1"/>
  <c r="A189" i="16" a="1"/>
  <c r="A190" i="16" a="1"/>
  <c r="A191" i="16" a="1"/>
  <c r="A192" i="16" a="1"/>
  <c r="A193" i="16" a="1"/>
  <c r="A195" i="16" a="1"/>
  <c r="A197" i="16" a="1"/>
  <c r="A199" i="16" a="1"/>
  <c r="A201" i="16" a="1"/>
  <c r="A203" i="16" a="1"/>
  <c r="A205" i="16" a="1"/>
  <c r="A207" i="16" a="1"/>
  <c r="A210" i="16" a="1"/>
  <c r="A212" i="16" a="1"/>
  <c r="A214" i="16" a="1"/>
  <c r="A216" i="16" a="1"/>
  <c r="A218" i="16" a="1"/>
  <c r="A221" i="16" a="1"/>
  <c r="A223" i="16" a="1"/>
  <c r="A225" i="16" a="1"/>
  <c r="A227" i="16" a="1"/>
  <c r="A229" i="16" a="1"/>
  <c r="A231" i="16" a="1"/>
  <c r="A233" i="16" a="1"/>
  <c r="A235" i="16" a="1"/>
  <c r="A237" i="16" a="1"/>
  <c r="A240" i="16" a="1"/>
  <c r="A242" i="16" a="1"/>
  <c r="A244" i="16" a="1"/>
  <c r="A246" i="16" a="1"/>
  <c r="A248" i="16" a="1"/>
  <c r="A250" i="16" a="1"/>
  <c r="A251" i="16" a="1"/>
  <c r="A252" i="16" a="1"/>
  <c r="A253" i="16" a="1"/>
  <c r="A254" i="16" a="1"/>
  <c r="A255" i="16" a="1"/>
  <c r="A256" i="16" a="1"/>
  <c r="A257" i="16" a="1"/>
  <c r="A258" i="16" a="1"/>
  <c r="A260" i="16" a="1"/>
  <c r="A270" i="16" a="1"/>
  <c r="A273" i="16" a="1"/>
  <c r="A276" i="16" a="1"/>
  <c r="A279" i="16" a="1"/>
  <c r="A282" i="16" a="1"/>
  <c r="A285" i="16" a="1"/>
  <c r="A286" i="16" a="1"/>
  <c r="A287" i="16" a="1"/>
  <c r="A288" i="16" a="1"/>
  <c r="A289" i="16" a="1"/>
  <c r="A290" i="16" a="1"/>
  <c r="A291" i="16" a="1"/>
  <c r="A292" i="16" a="1"/>
  <c r="A293" i="16" a="1"/>
  <c r="A294" i="16" a="1"/>
  <c r="A295" i="16" a="1"/>
  <c r="A296" i="16" a="1"/>
  <c r="A297" i="16" a="1"/>
  <c r="A298" i="16" a="1"/>
  <c r="A299" i="16" a="1"/>
  <c r="A300" i="16" a="1"/>
  <c r="A301" i="16" a="1"/>
  <c r="A302" i="16" a="1"/>
  <c r="A303" i="16" a="1"/>
  <c r="A304" i="16" a="1"/>
  <c r="A305" i="16" a="1"/>
  <c r="A306" i="16" a="1"/>
  <c r="A307" i="16" a="1"/>
  <c r="A308" i="16" a="1"/>
  <c r="A309" i="16" a="1"/>
  <c r="A310" i="16" a="1"/>
  <c r="A311" i="16" a="1"/>
  <c r="A312" i="16" a="1"/>
  <c r="A313" i="16" a="1"/>
  <c r="A314" i="16" a="1"/>
  <c r="A315" i="16" a="1"/>
  <c r="A316" i="16" a="1"/>
  <c r="A317" i="16" a="1"/>
  <c r="A318" i="16" a="1"/>
  <c r="A319" i="16" a="1"/>
  <c r="A320" i="16" a="1"/>
  <c r="A321" i="16" a="1"/>
  <c r="A322" i="16" a="1"/>
  <c r="A323" i="16" a="1"/>
  <c r="A324" i="16" a="1"/>
  <c r="A325" i="16" a="1"/>
  <c r="A326" i="16" a="1"/>
  <c r="A327" i="16" a="1"/>
  <c r="A328" i="16" a="1"/>
  <c r="A329" i="16" a="1"/>
  <c r="A330" i="16" a="1"/>
  <c r="A331" i="16" a="1"/>
  <c r="A332" i="16" a="1"/>
  <c r="A333" i="16" a="1"/>
  <c r="A334" i="16" a="1"/>
  <c r="A335" i="16" a="1"/>
  <c r="A336" i="16" a="1"/>
  <c r="A337" i="16" a="1"/>
  <c r="A338" i="16" a="1"/>
  <c r="A339" i="16" a="1"/>
  <c r="A340" i="16" a="1"/>
  <c r="A341" i="16" a="1"/>
  <c r="A342" i="16" a="1"/>
  <c r="A343" i="16" a="1"/>
  <c r="A344" i="16" a="1"/>
  <c r="A345" i="16" a="1"/>
  <c r="A346" i="16" a="1"/>
  <c r="A347" i="16" a="1"/>
  <c r="A348" i="16" a="1"/>
  <c r="A349" i="16" a="1"/>
  <c r="A350" i="16" a="1"/>
  <c r="A351" i="16" a="1"/>
  <c r="A352" i="16" a="1"/>
  <c r="A353" i="16" a="1"/>
  <c r="A354" i="16" a="1"/>
  <c r="A355" i="16" a="1"/>
  <c r="A356" i="16" a="1"/>
  <c r="A357" i="16" a="1"/>
  <c r="A358" i="16" a="1"/>
  <c r="A359" i="16" a="1"/>
  <c r="A360" i="16" a="1"/>
  <c r="A361" i="16" a="1"/>
  <c r="A362" i="16" a="1"/>
  <c r="A363" i="16" a="1"/>
  <c r="A364" i="16" a="1"/>
  <c r="A365" i="16" a="1"/>
  <c r="A366" i="16" a="1"/>
  <c r="A367" i="16" a="1"/>
  <c r="A368" i="16" a="1"/>
  <c r="A369" i="16" a="1"/>
  <c r="A370" i="16" a="1"/>
  <c r="A371" i="16" a="1"/>
  <c r="A372" i="16" a="1"/>
  <c r="A373" i="16" a="1"/>
  <c r="A374" i="16" a="1"/>
  <c r="A375" i="16" a="1"/>
  <c r="A376" i="16" a="1"/>
  <c r="A377" i="16" a="1"/>
  <c r="A378" i="16" a="1"/>
  <c r="A379" i="16" a="1"/>
  <c r="A380" i="16" a="1"/>
  <c r="A381" i="16" a="1"/>
  <c r="A382" i="16" a="1"/>
  <c r="A383" i="16" a="1"/>
  <c r="A384" i="16" a="1"/>
  <c r="A385" i="16" a="1"/>
  <c r="A386" i="16" a="1"/>
  <c r="A387" i="16" a="1"/>
  <c r="A388" i="16" a="1"/>
  <c r="A389" i="16" a="1"/>
  <c r="A390" i="16" a="1"/>
  <c r="A391" i="16" a="1"/>
  <c r="A392" i="16" a="1"/>
  <c r="A393" i="16" a="1"/>
  <c r="A394" i="16" a="1"/>
  <c r="A395" i="16" a="1"/>
  <c r="A396" i="16" a="1"/>
  <c r="A397" i="16" a="1"/>
  <c r="A398" i="16" a="1"/>
  <c r="A399" i="16" a="1"/>
  <c r="A400" i="16" a="1"/>
  <c r="A401" i="16" a="1"/>
  <c r="A402" i="16" a="1"/>
  <c r="A403" i="16" a="1"/>
  <c r="A404" i="16" a="1"/>
  <c r="A405" i="16" a="1"/>
  <c r="A406" i="16" a="1"/>
  <c r="A407" i="16" a="1"/>
  <c r="A408" i="16" a="1"/>
  <c r="A409" i="16" a="1"/>
  <c r="A410" i="16" a="1"/>
  <c r="A411" i="16" a="1"/>
  <c r="A412" i="16" a="1"/>
  <c r="A413" i="16" a="1"/>
  <c r="A414" i="16" a="1"/>
  <c r="A415" i="16" a="1"/>
  <c r="A416" i="16" a="1"/>
  <c r="A417" i="16" a="1"/>
  <c r="A418" i="16" a="1"/>
  <c r="A419" i="16" a="1"/>
  <c r="A420" i="16" a="1"/>
  <c r="A421" i="16" a="1"/>
  <c r="A422" i="16" a="1"/>
  <c r="A423" i="16" a="1"/>
  <c r="A424" i="16" a="1"/>
  <c r="A425" i="16" a="1"/>
  <c r="A426" i="16" a="1"/>
  <c r="A427" i="16" a="1"/>
  <c r="A771" i="16" a="1"/>
  <c r="A259" i="16" a="1"/>
  <c r="A262" i="16" a="1"/>
  <c r="A263" i="16" a="1"/>
  <c r="A265" i="16" a="1"/>
  <c r="A267" i="16" a="1"/>
  <c r="A269" i="16" a="1"/>
  <c r="A272" i="16" a="1"/>
  <c r="A275" i="16" a="1"/>
  <c r="A278" i="16" a="1"/>
  <c r="A281" i="16" a="1"/>
  <c r="A283" i="16" a="1"/>
  <c r="A428" i="16" a="1"/>
  <c r="A429" i="16" a="1"/>
  <c r="A430" i="16" a="1"/>
  <c r="A431" i="16" a="1"/>
  <c r="A432" i="16" a="1"/>
  <c r="A433" i="16" a="1"/>
  <c r="A434" i="16" a="1"/>
  <c r="A435" i="16" a="1"/>
  <c r="A436" i="16" a="1"/>
  <c r="A437" i="16" a="1"/>
  <c r="A438" i="16" a="1"/>
  <c r="A439" i="16" a="1"/>
  <c r="A440" i="16" a="1"/>
  <c r="A441" i="16" a="1"/>
  <c r="A442" i="16" a="1"/>
  <c r="A443" i="16" a="1"/>
  <c r="A444" i="16" a="1"/>
  <c r="A445" i="16" a="1"/>
  <c r="A446" i="16" a="1"/>
  <c r="A447" i="16" a="1"/>
  <c r="A448" i="16" a="1"/>
  <c r="A449" i="16" a="1"/>
  <c r="A450" i="16" a="1"/>
  <c r="A451" i="16" a="1"/>
  <c r="A452" i="16" a="1"/>
  <c r="A453" i="16" a="1"/>
  <c r="A454" i="16" a="1"/>
  <c r="A455" i="16" a="1"/>
  <c r="A456" i="16" a="1"/>
  <c r="A457" i="16" a="1"/>
  <c r="A458" i="16" a="1"/>
  <c r="A459" i="16" a="1"/>
  <c r="A460" i="16" a="1"/>
  <c r="A461" i="16" a="1"/>
  <c r="A462" i="16" a="1"/>
  <c r="A463" i="16" a="1"/>
  <c r="A464" i="16" a="1"/>
  <c r="A465" i="16" a="1"/>
  <c r="A466" i="16" a="1"/>
  <c r="A467" i="16" a="1"/>
  <c r="A468" i="16" a="1"/>
  <c r="A469" i="16" a="1"/>
  <c r="A470" i="16" a="1"/>
  <c r="A471" i="16" a="1"/>
  <c r="A472" i="16" a="1"/>
  <c r="A473" i="16" a="1"/>
  <c r="A474" i="16" a="1"/>
  <c r="A475" i="16" a="1"/>
  <c r="A476" i="16" a="1"/>
  <c r="A477" i="16" a="1"/>
  <c r="A478" i="16" a="1"/>
  <c r="A479" i="16" a="1"/>
  <c r="A480" i="16" a="1"/>
  <c r="A481" i="16" a="1"/>
  <c r="A482" i="16" a="1"/>
  <c r="A483" i="16" a="1"/>
  <c r="A484" i="16" a="1"/>
  <c r="A485" i="16" a="1"/>
  <c r="A486" i="16" a="1"/>
  <c r="A487" i="16" a="1"/>
  <c r="A488" i="16" a="1"/>
  <c r="A489" i="16" a="1"/>
  <c r="A490" i="16" a="1"/>
  <c r="A491" i="16" a="1"/>
  <c r="A492" i="16" a="1"/>
  <c r="A493" i="16" a="1"/>
  <c r="A494" i="16" a="1"/>
  <c r="A495" i="16" a="1"/>
  <c r="A496" i="16" a="1"/>
  <c r="A497" i="16" a="1"/>
  <c r="A498" i="16" a="1"/>
  <c r="A499" i="16" a="1"/>
  <c r="A500" i="16" a="1"/>
  <c r="A501" i="16" a="1"/>
  <c r="A502" i="16" a="1"/>
  <c r="A503" i="16" a="1"/>
  <c r="A504" i="16" a="1"/>
  <c r="A505" i="16" a="1"/>
  <c r="A506" i="16" a="1"/>
  <c r="A507" i="16" a="1"/>
  <c r="A508" i="16" a="1"/>
  <c r="A509" i="16" a="1"/>
  <c r="A510" i="16" a="1"/>
  <c r="A511" i="16" a="1"/>
  <c r="A512" i="16" a="1"/>
  <c r="A513" i="16" a="1"/>
  <c r="A514" i="16" a="1"/>
  <c r="A515" i="16" a="1"/>
  <c r="A516" i="16" a="1"/>
  <c r="A517" i="16" a="1"/>
  <c r="A518" i="16" a="1"/>
  <c r="A519" i="16" a="1"/>
  <c r="A520" i="16" a="1"/>
  <c r="A521" i="16" a="1"/>
  <c r="A522" i="16" a="1"/>
  <c r="A523" i="16" a="1"/>
  <c r="A524" i="16" a="1"/>
  <c r="A525" i="16" a="1"/>
  <c r="A526" i="16" a="1"/>
  <c r="A527" i="16" a="1"/>
  <c r="A528" i="16" a="1"/>
  <c r="A529" i="16" a="1"/>
  <c r="A530" i="16" a="1"/>
  <c r="A531" i="16" a="1"/>
  <c r="A532" i="16" a="1"/>
  <c r="A533" i="16" a="1"/>
  <c r="A534" i="16" a="1"/>
  <c r="A535" i="16" a="1"/>
  <c r="A536" i="16" a="1"/>
  <c r="A537" i="16" a="1"/>
  <c r="A538" i="16" a="1"/>
  <c r="A539" i="16" a="1"/>
  <c r="A540" i="16" a="1"/>
  <c r="A541" i="16" a="1"/>
  <c r="A542" i="16" a="1"/>
  <c r="A543" i="16" a="1"/>
  <c r="A544" i="16" a="1"/>
  <c r="A545" i="16" a="1"/>
  <c r="A546" i="16" a="1"/>
  <c r="A547" i="16" a="1"/>
  <c r="A548" i="16" a="1"/>
  <c r="A549" i="16" a="1"/>
  <c r="A550" i="16" a="1"/>
  <c r="A551" i="16" a="1"/>
  <c r="A552" i="16" a="1"/>
  <c r="A553" i="16" a="1"/>
  <c r="A554" i="16" a="1"/>
  <c r="A555" i="16" a="1"/>
  <c r="A556" i="16" a="1"/>
  <c r="A557" i="16" a="1"/>
  <c r="A558" i="16" a="1"/>
  <c r="A559" i="16" a="1"/>
  <c r="A560" i="16" a="1"/>
  <c r="A561" i="16" a="1"/>
  <c r="A562" i="16" a="1"/>
  <c r="A563" i="16" a="1"/>
  <c r="A564" i="16" a="1"/>
  <c r="A565" i="16" a="1"/>
  <c r="A566" i="16" a="1"/>
  <c r="A567" i="16" a="1"/>
  <c r="A568" i="16" a="1"/>
  <c r="A631" i="16" a="1"/>
  <c r="A633" i="16" a="1"/>
  <c r="A636" i="16" a="1"/>
  <c r="A638" i="16" a="1"/>
  <c r="A640" i="16" a="1"/>
  <c r="A642" i="16" a="1"/>
  <c r="A644" i="16" a="1"/>
  <c r="A646" i="16" a="1"/>
  <c r="A649" i="16" a="1"/>
  <c r="A651" i="16" a="1"/>
  <c r="A653" i="16" a="1"/>
  <c r="A655" i="16" a="1"/>
  <c r="A658" i="16" a="1"/>
  <c r="A660" i="16" a="1"/>
  <c r="A662" i="16" a="1"/>
  <c r="A664" i="16" a="1"/>
  <c r="A667" i="16" a="1"/>
  <c r="A669" i="16" a="1"/>
  <c r="A671" i="16" a="1"/>
  <c r="A674" i="16" a="1"/>
  <c r="A675" i="16" a="1"/>
  <c r="A676" i="16" a="1"/>
  <c r="A677" i="16" a="1"/>
  <c r="A678" i="16" a="1"/>
  <c r="A679" i="16" a="1"/>
  <c r="A681" i="16" a="1"/>
  <c r="A683" i="16" a="1"/>
  <c r="A685" i="16" a="1"/>
  <c r="A687" i="16" a="1"/>
  <c r="A689" i="16" a="1"/>
  <c r="A732" i="16" a="1"/>
  <c r="A735" i="16" a="1"/>
  <c r="A738" i="16" a="1"/>
  <c r="A740" i="16" a="1"/>
  <c r="A742" i="16" a="1"/>
  <c r="A744" i="16" a="1"/>
  <c r="A747" i="16" a="1"/>
  <c r="A749" i="16" a="1"/>
  <c r="A751" i="16" a="1"/>
  <c r="A753" i="16" a="1"/>
  <c r="A756" i="16" a="1"/>
  <c r="A758" i="16" a="1"/>
  <c r="A760" i="16" a="1"/>
  <c r="A762" i="16" a="1"/>
  <c r="A765" i="16" a="1"/>
  <c r="A767" i="16" a="1"/>
  <c r="A769" i="16" a="1"/>
  <c r="A2" i="16" a="1"/>
  <c r="A261" i="16" a="1"/>
  <c r="A264" i="16" a="1"/>
  <c r="A266" i="16" a="1"/>
  <c r="A268" i="16" a="1"/>
  <c r="A271" i="16" a="1"/>
  <c r="A274" i="16" a="1"/>
  <c r="A277" i="16" a="1"/>
  <c r="A280" i="16" a="1"/>
  <c r="A284" i="16" a="1"/>
  <c r="A569" i="16" a="1"/>
  <c r="A570" i="16" a="1"/>
  <c r="A571" i="16" a="1"/>
  <c r="A572" i="16" a="1"/>
  <c r="A573" i="16" a="1"/>
  <c r="A574" i="16" a="1"/>
  <c r="A575" i="16" a="1"/>
  <c r="A576" i="16" a="1"/>
  <c r="A577" i="16" a="1"/>
  <c r="A578" i="16" a="1"/>
  <c r="A579" i="16" a="1"/>
  <c r="A580" i="16" a="1"/>
  <c r="A581" i="16" a="1"/>
  <c r="A582" i="16" a="1"/>
  <c r="A583" i="16" a="1"/>
  <c r="A584" i="16" a="1"/>
  <c r="A585" i="16" a="1"/>
  <c r="A586" i="16" a="1"/>
  <c r="A587" i="16" a="1"/>
  <c r="A588" i="16" a="1"/>
  <c r="A589" i="16" a="1"/>
  <c r="A590" i="16" a="1"/>
  <c r="A591" i="16" a="1"/>
  <c r="A592" i="16" a="1"/>
  <c r="A593" i="16" a="1"/>
  <c r="A594" i="16" a="1"/>
  <c r="A595" i="16" a="1"/>
  <c r="A596" i="16" a="1"/>
  <c r="A597" i="16" a="1"/>
  <c r="A598" i="16" a="1"/>
  <c r="A599" i="16" a="1"/>
  <c r="A600" i="16" a="1"/>
  <c r="A601" i="16" a="1"/>
  <c r="A602" i="16" a="1"/>
  <c r="A603" i="16" a="1"/>
  <c r="A604" i="16" a="1"/>
  <c r="A605" i="16" a="1"/>
  <c r="A606" i="16" a="1"/>
  <c r="A607" i="16" a="1"/>
  <c r="A608" i="16" a="1"/>
  <c r="A609" i="16" a="1"/>
  <c r="A610" i="16" a="1"/>
  <c r="A611" i="16" a="1"/>
  <c r="A612" i="16" a="1"/>
  <c r="A613" i="16" a="1"/>
  <c r="A614" i="16" a="1"/>
  <c r="A615" i="16" a="1"/>
  <c r="A616" i="16" a="1"/>
  <c r="A617" i="16" a="1"/>
  <c r="A618" i="16" a="1"/>
  <c r="A619" i="16" a="1"/>
  <c r="A620" i="16" a="1"/>
  <c r="A621" i="16" a="1"/>
  <c r="A622" i="16" a="1"/>
  <c r="A623" i="16" a="1"/>
  <c r="A624" i="16" a="1"/>
  <c r="A625" i="16" a="1"/>
  <c r="A626" i="16" a="1"/>
  <c r="A627" i="16" a="1"/>
  <c r="A628" i="16" a="1"/>
  <c r="A629" i="16" a="1"/>
  <c r="A630" i="16" a="1"/>
  <c r="A632" i="16" a="1"/>
  <c r="A634" i="16" a="1"/>
  <c r="A635" i="16" a="1"/>
  <c r="A637" i="16" a="1"/>
  <c r="A639" i="16" a="1"/>
  <c r="A641" i="16" a="1"/>
  <c r="A643" i="16" a="1"/>
  <c r="A645" i="16" a="1"/>
  <c r="A647" i="16" a="1"/>
  <c r="A648" i="16" a="1"/>
  <c r="A650" i="16" a="1"/>
  <c r="A652" i="16" a="1"/>
  <c r="A654" i="16" a="1"/>
  <c r="A656" i="16" a="1"/>
  <c r="A657" i="16" a="1"/>
  <c r="A659" i="16" a="1"/>
  <c r="A661" i="16" a="1"/>
  <c r="A663" i="16" a="1"/>
  <c r="A665" i="16" a="1"/>
  <c r="A666" i="16" a="1"/>
  <c r="A668" i="16" a="1"/>
  <c r="A670" i="16" a="1"/>
  <c r="A672" i="16" a="1"/>
  <c r="A673" i="16" a="1"/>
  <c r="A680" i="16" a="1"/>
  <c r="A682" i="16" a="1"/>
  <c r="A684" i="16" a="1"/>
  <c r="A686" i="16" a="1"/>
  <c r="A688" i="16" a="1"/>
  <c r="A690" i="16" a="1"/>
  <c r="A691" i="16" a="1"/>
  <c r="A692" i="16" a="1"/>
  <c r="A693" i="16" a="1"/>
  <c r="A694" i="16" a="1"/>
  <c r="A695" i="16" a="1"/>
  <c r="A696" i="16" a="1"/>
  <c r="A697" i="16" a="1"/>
  <c r="A698" i="16" a="1"/>
  <c r="A699" i="16" a="1"/>
  <c r="A700" i="16" a="1"/>
  <c r="A701" i="16" a="1"/>
  <c r="A702" i="16" a="1"/>
  <c r="A703" i="16" a="1"/>
  <c r="A704" i="16" a="1"/>
  <c r="A705" i="16" a="1"/>
  <c r="A706" i="16" a="1"/>
  <c r="A707" i="16" a="1"/>
  <c r="A708" i="16" a="1"/>
  <c r="A709" i="16" a="1"/>
  <c r="A710" i="16" a="1"/>
  <c r="A711" i="16" a="1"/>
  <c r="A712" i="16" a="1"/>
  <c r="A713" i="16" a="1"/>
  <c r="A714" i="16" a="1"/>
  <c r="A715" i="16" a="1"/>
  <c r="A716" i="16" a="1"/>
  <c r="A717" i="16" a="1"/>
  <c r="A718" i="16" a="1"/>
  <c r="A719" i="16" a="1"/>
  <c r="A720" i="16" a="1"/>
  <c r="A721" i="16" a="1"/>
  <c r="A722" i="16" a="1"/>
  <c r="A723" i="16" a="1"/>
  <c r="A724" i="16" a="1"/>
  <c r="A725" i="16" a="1"/>
  <c r="A726" i="16" a="1"/>
  <c r="A727" i="16" a="1"/>
  <c r="A728" i="16" a="1"/>
  <c r="A729" i="16" a="1"/>
  <c r="A730" i="16" a="1"/>
  <c r="A731" i="16" a="1"/>
  <c r="A733" i="16" a="1"/>
  <c r="A734" i="16" a="1"/>
  <c r="A736" i="16" a="1"/>
  <c r="A737" i="16" a="1"/>
  <c r="A739" i="16" a="1"/>
  <c r="A741" i="16" a="1"/>
  <c r="A743" i="16" a="1"/>
  <c r="A745" i="16" a="1"/>
  <c r="A746" i="16" a="1"/>
  <c r="A748" i="16" a="1"/>
  <c r="A750" i="16" a="1"/>
  <c r="A752" i="16" a="1"/>
  <c r="A754" i="16" a="1"/>
  <c r="A755" i="16" a="1"/>
  <c r="A757" i="16" a="1"/>
  <c r="A759" i="16" a="1"/>
  <c r="A761" i="16" a="1"/>
  <c r="A763" i="16" a="1"/>
  <c r="A764" i="16" a="1"/>
  <c r="A766" i="16" a="1"/>
  <c r="A768" i="16" a="1"/>
  <c r="A770" i="16" a="1"/>
  <c r="A772" i="16" a="1"/>
  <c r="A3" i="16" a="1"/>
  <c r="A4" i="16" a="1"/>
  <c r="A5" i="16" a="1"/>
  <c r="A6" i="16" a="1"/>
  <c r="A7" i="16" a="1"/>
  <c r="A8" i="16" a="1"/>
  <c r="A9" i="16" a="1"/>
  <c r="A10" i="16" a="1"/>
  <c r="A11" i="16" a="1"/>
  <c r="A12" i="16" a="1"/>
  <c r="A13" i="16" a="1"/>
  <c r="A14" i="16" a="1"/>
  <c r="A15" i="16" a="1"/>
  <c r="A16" i="16" a="1"/>
  <c r="A17" i="16" a="1"/>
  <c r="A18" i="16" a="1"/>
  <c r="A19" i="16" a="1"/>
  <c r="A20" i="16" a="1"/>
  <c r="A21" i="16" a="1"/>
  <c r="A22" i="16" a="1"/>
  <c r="A23" i="16" a="1"/>
  <c r="A24" i="16" a="1"/>
  <c r="A25" i="16" a="1"/>
  <c r="A26" i="16" a="1"/>
  <c r="A27" i="16" a="1"/>
  <c r="A28" i="16" a="1"/>
  <c r="A29" i="16" a="1"/>
  <c r="A30" i="16" a="1"/>
  <c r="A31" i="16" a="1"/>
  <c r="A32" i="16" a="1"/>
  <c r="A33" i="16" a="1"/>
  <c r="A34" i="16" a="1"/>
  <c r="A35" i="16" a="1"/>
  <c r="A36" i="16" a="1"/>
  <c r="A37" i="16" a="1"/>
  <c r="A38" i="16" a="1"/>
  <c r="A39" i="16" a="1"/>
  <c r="A40" i="16" a="1"/>
  <c r="A41" i="16" a="1"/>
  <c r="A42" i="16" a="1"/>
  <c r="A43" i="16" a="1"/>
  <c r="A44" i="16" a="1"/>
  <c r="A45" i="16" a="1"/>
  <c r="A46" i="16" a="1"/>
  <c r="A47" i="16" a="1"/>
  <c r="A48" i="16" a="1"/>
  <c r="A49" i="16" a="1"/>
  <c r="A50" i="16" a="1"/>
  <c r="A51" i="16" a="1"/>
  <c r="A52" i="16" a="1"/>
  <c r="A53" i="16" a="1"/>
  <c r="A54" i="16" a="1"/>
  <c r="A55" i="16" a="1"/>
  <c r="A56" i="16" a="1"/>
  <c r="A57" i="16" a="1"/>
  <c r="A58" i="16" a="1"/>
  <c r="A59" i="16" a="1"/>
  <c r="A60" i="16" a="1"/>
  <c r="A61" i="16" a="1"/>
  <c r="A62" i="16" a="1"/>
  <c r="A63" i="16" a="1"/>
  <c r="A64" i="16" a="1"/>
  <c r="A65" i="16" a="1"/>
  <c r="A66" i="16" a="1"/>
  <c r="A67" i="16" a="1"/>
  <c r="A68" i="16" a="1"/>
  <c r="A69" i="16" a="1"/>
  <c r="A70" i="16" a="1"/>
  <c r="A71" i="16" a="1"/>
  <c r="A72" i="16" a="1"/>
  <c r="A73" i="16" a="1"/>
  <c r="A74" i="16" a="1"/>
  <c r="A75" i="16" a="1"/>
  <c r="A76" i="16" a="1"/>
  <c r="A77" i="16" a="1"/>
  <c r="A78" i="16" a="1"/>
  <c r="A79" i="16" a="1"/>
  <c r="A80" i="16" a="1"/>
  <c r="A81" i="16" a="1"/>
  <c r="A82" i="16" a="1"/>
  <c r="A83" i="16" a="1"/>
  <c r="A84" i="16" a="1"/>
  <c r="A85" i="16" a="1"/>
  <c r="A86" i="16" a="1"/>
  <c r="A87" i="16" a="1"/>
  <c r="A88" i="16" a="1"/>
  <c r="A89" i="16" a="1"/>
  <c r="A90" i="16" a="1"/>
  <c r="A91" i="16" a="1"/>
  <c r="A92" i="16" a="1"/>
  <c r="A93" i="16" a="1"/>
  <c r="A94" i="16" a="1"/>
  <c r="A95" i="16" a="1"/>
  <c r="A96" i="16" a="1"/>
  <c r="A97" i="16" a="1"/>
  <c r="A98" i="16" a="1"/>
  <c r="A99" i="16" a="1"/>
  <c r="A100" i="16" a="1"/>
  <c r="A101" i="16" a="1"/>
  <c r="A102" i="16" a="1"/>
  <c r="A103" i="16" a="1"/>
  <c r="A104" i="16" a="1"/>
  <c r="A105" i="16" a="1"/>
  <c r="A106" i="16" a="1"/>
  <c r="A107" i="16" a="1"/>
  <c r="A108" i="16" a="1"/>
  <c r="A109" i="16" a="1"/>
  <c r="A110" i="16" a="1"/>
  <c r="A111" i="16" a="1"/>
  <c r="A112" i="16" a="1"/>
  <c r="A113" i="16" a="1"/>
  <c r="A114" i="16" a="1"/>
  <c r="A115" i="16" a="1"/>
  <c r="A116" i="16" a="1"/>
  <c r="A117" i="16" a="1"/>
  <c r="A118" i="16" a="1"/>
  <c r="A119" i="16" a="1"/>
  <c r="A120" i="16" a="1"/>
  <c r="A121" i="16" a="1"/>
  <c r="A122" i="16" a="1"/>
  <c r="A123" i="16" a="1"/>
  <c r="A124" i="16" a="1"/>
  <c r="A125" i="16" a="1"/>
  <c r="A126" i="16" a="1"/>
  <c r="A127" i="16" a="1"/>
  <c r="A128" i="16" a="1"/>
  <c r="A129" i="16" a="1"/>
  <c r="A130" i="16" a="1"/>
  <c r="A131" i="16" a="1"/>
  <c r="A132" i="16" a="1"/>
  <c r="A133" i="16" a="1"/>
  <c r="A134" i="16" a="1"/>
  <c r="A135" i="16" a="1"/>
  <c r="A136" i="16" a="1"/>
  <c r="A137" i="16" a="1"/>
  <c r="A138" i="16" a="1"/>
  <c r="A139" i="16" a="1"/>
  <c r="A140" i="16" a="1"/>
  <c r="A141" i="16" a="1"/>
  <c r="A142" i="16" a="1"/>
  <c r="A143" i="16" a="1"/>
  <c r="A194" i="16" a="1"/>
  <c r="A196" i="16" a="1"/>
  <c r="A198" i="16" a="1"/>
  <c r="A200" i="16" a="1"/>
  <c r="A202" i="16" a="1"/>
  <c r="A204" i="16" a="1"/>
  <c r="A206" i="16" a="1"/>
  <c r="A208" i="16" a="1"/>
  <c r="A209" i="16" a="1"/>
  <c r="A211" i="16" a="1"/>
  <c r="A213" i="16" a="1"/>
  <c r="A215" i="16" a="1"/>
  <c r="A217" i="16" a="1"/>
  <c r="A219" i="16" a="1"/>
  <c r="A220" i="16" a="1"/>
  <c r="A222" i="16" a="1"/>
  <c r="A224" i="16" a="1"/>
  <c r="A226" i="16" a="1"/>
  <c r="A228" i="16" a="1"/>
  <c r="A230" i="16" a="1"/>
  <c r="A232" i="16" a="1"/>
  <c r="A234" i="16" a="1"/>
  <c r="A236" i="16" a="1"/>
  <c r="A238" i="16" a="1"/>
  <c r="A239" i="16" a="1"/>
  <c r="A241" i="16" a="1"/>
  <c r="A243" i="16" a="1"/>
  <c r="A245" i="16" a="1"/>
  <c r="A247" i="16" a="1"/>
  <c r="A249" i="16" a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2" i="2"/>
  <c r="F2" i="2"/>
  <c r="F407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3" i="2"/>
  <c r="F84" i="2"/>
  <c r="F85" i="2"/>
  <c r="F86" i="2"/>
  <c r="F87" i="2"/>
  <c r="F88" i="2"/>
  <c r="F89" i="2"/>
  <c r="F100" i="2"/>
  <c r="F102" i="2"/>
  <c r="F104" i="2"/>
  <c r="F106" i="2"/>
  <c r="F108" i="2"/>
  <c r="F110" i="2"/>
  <c r="F112" i="2"/>
  <c r="F114" i="2"/>
  <c r="F116" i="2"/>
  <c r="F118" i="2"/>
  <c r="F119" i="2"/>
  <c r="F121" i="2"/>
  <c r="F123" i="2"/>
  <c r="F125" i="2"/>
  <c r="F127" i="2"/>
  <c r="F129" i="2"/>
  <c r="F131" i="2"/>
  <c r="F133" i="2"/>
  <c r="F135" i="2"/>
  <c r="F137" i="2"/>
  <c r="F139" i="2"/>
  <c r="F141" i="2"/>
  <c r="F143" i="2"/>
  <c r="F145" i="2"/>
  <c r="F148" i="2"/>
  <c r="F150" i="2"/>
  <c r="F152" i="2"/>
  <c r="F153" i="2"/>
  <c r="F155" i="2"/>
  <c r="F157" i="2"/>
  <c r="F159" i="2"/>
  <c r="F161" i="2"/>
  <c r="F163" i="2"/>
  <c r="F165" i="2"/>
  <c r="F167" i="2"/>
  <c r="F169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6" i="2"/>
  <c r="F187" i="2"/>
  <c r="F189" i="2"/>
  <c r="F190" i="2"/>
  <c r="F192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7" i="2"/>
  <c r="F208" i="2"/>
  <c r="F210" i="2"/>
  <c r="F212" i="2"/>
  <c r="F213" i="2"/>
  <c r="F216" i="2"/>
  <c r="F218" i="2"/>
  <c r="F220" i="2"/>
  <c r="F221" i="2"/>
  <c r="F223" i="2"/>
  <c r="F225" i="2"/>
  <c r="F227" i="2"/>
  <c r="F229" i="2"/>
  <c r="F231" i="2"/>
  <c r="F233" i="2"/>
  <c r="F234" i="2"/>
  <c r="F236" i="2"/>
  <c r="F238" i="2"/>
  <c r="F246" i="2"/>
  <c r="F248" i="2"/>
  <c r="F250" i="2"/>
  <c r="F252" i="2"/>
  <c r="F254" i="2"/>
  <c r="F256" i="2"/>
  <c r="F258" i="2"/>
  <c r="F261" i="2"/>
  <c r="F263" i="2"/>
  <c r="F265" i="2"/>
  <c r="F267" i="2"/>
  <c r="F269" i="2"/>
  <c r="F271" i="2"/>
  <c r="F273" i="2"/>
  <c r="F274" i="2"/>
  <c r="F275" i="2"/>
  <c r="F276" i="2"/>
  <c r="F277" i="2"/>
  <c r="F279" i="2"/>
  <c r="F281" i="2"/>
  <c r="F283" i="2"/>
  <c r="F285" i="2"/>
  <c r="F287" i="2"/>
  <c r="F288" i="2"/>
  <c r="F290" i="2"/>
  <c r="F292" i="2"/>
  <c r="F294" i="2"/>
  <c r="F296" i="2"/>
  <c r="F298" i="2"/>
  <c r="F299" i="2"/>
  <c r="F301" i="2"/>
  <c r="F303" i="2"/>
  <c r="F305" i="2"/>
  <c r="F307" i="2"/>
  <c r="F309" i="2"/>
  <c r="F311" i="2"/>
  <c r="F312" i="2"/>
  <c r="F314" i="2"/>
  <c r="F316" i="2"/>
  <c r="F318" i="2"/>
  <c r="F320" i="2"/>
  <c r="F322" i="2"/>
  <c r="F324" i="2"/>
  <c r="F326" i="2"/>
  <c r="F328" i="2"/>
  <c r="F330" i="2"/>
  <c r="F331" i="2"/>
  <c r="F333" i="2"/>
  <c r="F335" i="2"/>
  <c r="F337" i="2"/>
  <c r="F339" i="2"/>
  <c r="F341" i="2"/>
  <c r="F343" i="2"/>
  <c r="F345" i="2"/>
  <c r="F347" i="2"/>
  <c r="F349" i="2"/>
  <c r="F351" i="2"/>
  <c r="F352" i="2"/>
  <c r="F354" i="2"/>
  <c r="F356" i="2"/>
  <c r="F358" i="2"/>
  <c r="F360" i="2"/>
  <c r="F362" i="2"/>
  <c r="F364" i="2"/>
  <c r="F367" i="2"/>
  <c r="F368" i="2"/>
  <c r="F370" i="2"/>
  <c r="F373" i="2"/>
  <c r="F375" i="2"/>
  <c r="F377" i="2"/>
  <c r="F379" i="2"/>
  <c r="F381" i="2"/>
  <c r="F384" i="2"/>
  <c r="F386" i="2"/>
  <c r="F389" i="2"/>
  <c r="F392" i="2"/>
  <c r="F395" i="2"/>
  <c r="F398" i="2"/>
  <c r="F401" i="2"/>
  <c r="F404" i="2"/>
  <c r="F408" i="2"/>
  <c r="F410" i="2"/>
  <c r="F412" i="2"/>
  <c r="F414" i="2"/>
  <c r="F82" i="2"/>
  <c r="F90" i="2"/>
  <c r="F91" i="2"/>
  <c r="F92" i="2"/>
  <c r="F93" i="2"/>
  <c r="F94" i="2"/>
  <c r="F95" i="2"/>
  <c r="F96" i="2"/>
  <c r="F97" i="2"/>
  <c r="F98" i="2"/>
  <c r="F99" i="2"/>
  <c r="F101" i="2"/>
  <c r="F103" i="2"/>
  <c r="F105" i="2"/>
  <c r="F107" i="2"/>
  <c r="F109" i="2"/>
  <c r="F111" i="2"/>
  <c r="F113" i="2"/>
  <c r="F115" i="2"/>
  <c r="F117" i="2"/>
  <c r="F120" i="2"/>
  <c r="F122" i="2"/>
  <c r="F124" i="2"/>
  <c r="F126" i="2"/>
  <c r="F128" i="2"/>
  <c r="F130" i="2"/>
  <c r="F132" i="2"/>
  <c r="F134" i="2"/>
  <c r="F136" i="2"/>
  <c r="F138" i="2"/>
  <c r="F140" i="2"/>
  <c r="F142" i="2"/>
  <c r="F144" i="2"/>
  <c r="F146" i="2"/>
  <c r="F147" i="2"/>
  <c r="F149" i="2"/>
  <c r="F151" i="2"/>
  <c r="F154" i="2"/>
  <c r="F156" i="2"/>
  <c r="F158" i="2"/>
  <c r="F160" i="2"/>
  <c r="F162" i="2"/>
  <c r="F164" i="2"/>
  <c r="F166" i="2"/>
  <c r="F168" i="2"/>
  <c r="F170" i="2"/>
  <c r="F185" i="2"/>
  <c r="F188" i="2"/>
  <c r="F191" i="2"/>
  <c r="F193" i="2"/>
  <c r="F206" i="2"/>
  <c r="F209" i="2"/>
  <c r="F211" i="2"/>
  <c r="F214" i="2"/>
  <c r="F215" i="2"/>
  <c r="F217" i="2"/>
  <c r="F219" i="2"/>
  <c r="F222" i="2"/>
  <c r="F224" i="2"/>
  <c r="F226" i="2"/>
  <c r="F228" i="2"/>
  <c r="F230" i="2"/>
  <c r="F232" i="2"/>
  <c r="F235" i="2"/>
  <c r="F237" i="2"/>
  <c r="F239" i="2"/>
  <c r="F240" i="2"/>
  <c r="F241" i="2"/>
  <c r="F242" i="2"/>
  <c r="F243" i="2"/>
  <c r="F244" i="2"/>
  <c r="F245" i="2"/>
  <c r="F247" i="2"/>
  <c r="F249" i="2"/>
  <c r="F251" i="2"/>
  <c r="F253" i="2"/>
  <c r="F255" i="2"/>
  <c r="F257" i="2"/>
  <c r="F259" i="2"/>
  <c r="F260" i="2"/>
  <c r="F262" i="2"/>
  <c r="F264" i="2"/>
  <c r="F266" i="2"/>
  <c r="F268" i="2"/>
  <c r="F270" i="2"/>
  <c r="F272" i="2"/>
  <c r="F278" i="2"/>
  <c r="F280" i="2"/>
  <c r="F282" i="2"/>
  <c r="F284" i="2"/>
  <c r="F286" i="2"/>
  <c r="F289" i="2"/>
  <c r="F291" i="2"/>
  <c r="F293" i="2"/>
  <c r="F295" i="2"/>
  <c r="F297" i="2"/>
  <c r="F300" i="2"/>
  <c r="F302" i="2"/>
  <c r="F304" i="2"/>
  <c r="F306" i="2"/>
  <c r="F308" i="2"/>
  <c r="F310" i="2"/>
  <c r="F313" i="2"/>
  <c r="F315" i="2"/>
  <c r="F317" i="2"/>
  <c r="F319" i="2"/>
  <c r="F321" i="2"/>
  <c r="F323" i="2"/>
  <c r="F325" i="2"/>
  <c r="F327" i="2"/>
  <c r="F329" i="2"/>
  <c r="F332" i="2"/>
  <c r="F334" i="2"/>
  <c r="F336" i="2"/>
  <c r="F338" i="2"/>
  <c r="F340" i="2"/>
  <c r="F342" i="2"/>
  <c r="F344" i="2"/>
  <c r="F346" i="2"/>
  <c r="F348" i="2"/>
  <c r="F350" i="2"/>
  <c r="F353" i="2"/>
  <c r="F355" i="2"/>
  <c r="F357" i="2"/>
  <c r="F359" i="2"/>
  <c r="F361" i="2"/>
  <c r="F363" i="2"/>
  <c r="F366" i="2"/>
  <c r="F369" i="2"/>
  <c r="F371" i="2"/>
  <c r="F372" i="2"/>
  <c r="F374" i="2"/>
  <c r="F376" i="2"/>
  <c r="F378" i="2"/>
  <c r="F380" i="2"/>
  <c r="F383" i="2"/>
  <c r="F385" i="2"/>
  <c r="F388" i="2"/>
  <c r="F391" i="2"/>
  <c r="F394" i="2"/>
  <c r="F397" i="2"/>
  <c r="F399" i="2"/>
  <c r="F402" i="2"/>
  <c r="F405" i="2"/>
  <c r="F365" i="2"/>
  <c r="F382" i="2"/>
  <c r="F387" i="2"/>
  <c r="F390" i="2"/>
  <c r="F393" i="2"/>
  <c r="F396" i="2"/>
  <c r="F400" i="2"/>
  <c r="F403" i="2"/>
  <c r="F406" i="2"/>
  <c r="F409" i="2"/>
  <c r="F411" i="2"/>
  <c r="F413" i="2"/>
  <c r="F4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BB590E-331E-4FA3-BBDF-D386D1D6967C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<sst xmlns="http://schemas.openxmlformats.org/spreadsheetml/2006/main" count="31890" uniqueCount="3484">
  <si>
    <t>Name</t>
  </si>
  <si>
    <t>Gender</t>
  </si>
  <si>
    <t>Profession</t>
  </si>
  <si>
    <t>Region/Locality</t>
  </si>
  <si>
    <t>Smoking Habit</t>
  </si>
  <si>
    <t>Physical Activity Level</t>
  </si>
  <si>
    <t>Fast Food Consumption Frequency</t>
  </si>
  <si>
    <t>Current Health Conditions</t>
  </si>
  <si>
    <t>Common Regional Health Concerns</t>
  </si>
  <si>
    <t>Access to Clean Water &amp; Sanitation</t>
  </si>
  <si>
    <t>Pollution Exposure Area</t>
  </si>
  <si>
    <t>Mental Health Frequency</t>
  </si>
  <si>
    <t>Healthcare Access Method</t>
  </si>
  <si>
    <t>Preferred Language for Chatbot</t>
  </si>
  <si>
    <t>Sleep Issues</t>
  </si>
  <si>
    <t>Diet Type</t>
  </si>
  <si>
    <t>Water Intake per Day</t>
  </si>
  <si>
    <t>preferred platform</t>
  </si>
  <si>
    <t>Aditi</t>
  </si>
  <si>
    <t>no</t>
  </si>
  <si>
    <t>chiken pox, flu,</t>
  </si>
  <si>
    <t>very less</t>
  </si>
  <si>
    <t>headache,memory loss</t>
  </si>
  <si>
    <t>whatsapp</t>
  </si>
  <si>
    <t>O+</t>
  </si>
  <si>
    <t>Anjali</t>
  </si>
  <si>
    <t>chicken pox, flu</t>
  </si>
  <si>
    <t>cold.cough</t>
  </si>
  <si>
    <t>A+</t>
  </si>
  <si>
    <t>Priya</t>
  </si>
  <si>
    <t>chicken pox, flu, malaria</t>
  </si>
  <si>
    <t>cold,</t>
  </si>
  <si>
    <t>Kavya</t>
  </si>
  <si>
    <t>food poisoning, cough, cold</t>
  </si>
  <si>
    <t>headache</t>
  </si>
  <si>
    <t>Sneha</t>
  </si>
  <si>
    <t>body pain</t>
  </si>
  <si>
    <t>wp</t>
  </si>
  <si>
    <t>Nisha</t>
  </si>
  <si>
    <t>chicken pox, flu, malaria, food poisoning</t>
  </si>
  <si>
    <t>stomach pain</t>
  </si>
  <si>
    <t>Riya</t>
  </si>
  <si>
    <t>body main , weaknees</t>
  </si>
  <si>
    <t>both</t>
  </si>
  <si>
    <t>Shreya</t>
  </si>
  <si>
    <t>haeadach</t>
  </si>
  <si>
    <t>B+</t>
  </si>
  <si>
    <t>Pooja</t>
  </si>
  <si>
    <t>food poisoning, chicken pox</t>
  </si>
  <si>
    <t>cough sneez weaknees</t>
  </si>
  <si>
    <t>Meera</t>
  </si>
  <si>
    <t>chicken pox, viral fever, flu</t>
  </si>
  <si>
    <t>cough cold</t>
  </si>
  <si>
    <t>Sanya</t>
  </si>
  <si>
    <t>body pain,headache, eye</t>
  </si>
  <si>
    <t>Divya</t>
  </si>
  <si>
    <t>weakness</t>
  </si>
  <si>
    <t>Ayesha</t>
  </si>
  <si>
    <t>body pain,</t>
  </si>
  <si>
    <t>Neha</t>
  </si>
  <si>
    <t>Smita</t>
  </si>
  <si>
    <t>seasonal</t>
  </si>
  <si>
    <t>Hindi</t>
  </si>
  <si>
    <t>Radhika</t>
  </si>
  <si>
    <t>Chiken pox ,cold hair fall,scabies</t>
  </si>
  <si>
    <t>Ananya</t>
  </si>
  <si>
    <t>normal</t>
  </si>
  <si>
    <t>pimples</t>
  </si>
  <si>
    <t>Isha</t>
  </si>
  <si>
    <t>headache cough</t>
  </si>
  <si>
    <t>website , wp</t>
  </si>
  <si>
    <t>Swati</t>
  </si>
  <si>
    <t>Jyoti</t>
  </si>
  <si>
    <t>Kiran</t>
  </si>
  <si>
    <t>Sapna</t>
  </si>
  <si>
    <t>eye pain , Headache,weakness</t>
  </si>
  <si>
    <t>Alka</t>
  </si>
  <si>
    <t>eye oain body oain</t>
  </si>
  <si>
    <t>Rekha</t>
  </si>
  <si>
    <t>Mansi</t>
  </si>
  <si>
    <t>Pallavi</t>
  </si>
  <si>
    <t>Bhavna</t>
  </si>
  <si>
    <t>Sheetal</t>
  </si>
  <si>
    <t>Nupur</t>
  </si>
  <si>
    <t>Charu</t>
  </si>
  <si>
    <t>Rajat</t>
  </si>
  <si>
    <t>flu</t>
  </si>
  <si>
    <t>loose motion,headache</t>
  </si>
  <si>
    <t>Nishant</t>
  </si>
  <si>
    <t>Pranav</t>
  </si>
  <si>
    <t>Aryan</t>
  </si>
  <si>
    <t>Ravi</t>
  </si>
  <si>
    <t>Ajay</t>
  </si>
  <si>
    <t>Harsh</t>
  </si>
  <si>
    <t>Shivam</t>
  </si>
  <si>
    <t>Ayush</t>
  </si>
  <si>
    <t>Tejas</t>
  </si>
  <si>
    <t>Veer</t>
  </si>
  <si>
    <t>Abhiram</t>
  </si>
  <si>
    <t>chicken pox, fever</t>
  </si>
  <si>
    <t>body pain ,weakness</t>
  </si>
  <si>
    <t>Rajesh</t>
  </si>
  <si>
    <t>flu, food poisoning</t>
  </si>
  <si>
    <t>normal,heart pain</t>
  </si>
  <si>
    <t>Bhopal</t>
  </si>
  <si>
    <t>skin</t>
  </si>
  <si>
    <t>hygene problems</t>
  </si>
  <si>
    <t>Village</t>
  </si>
  <si>
    <t>gawakheda</t>
  </si>
  <si>
    <t>Aditya</t>
  </si>
  <si>
    <t>Rahul</t>
  </si>
  <si>
    <t>Karan</t>
  </si>
  <si>
    <t>Siddharth</t>
  </si>
  <si>
    <t>Ankit</t>
  </si>
  <si>
    <t>Vikram</t>
  </si>
  <si>
    <t>Arjun</t>
  </si>
  <si>
    <t>Rohan</t>
  </si>
  <si>
    <t>Manish</t>
  </si>
  <si>
    <t>Abhishek</t>
  </si>
  <si>
    <t>website,wp</t>
  </si>
  <si>
    <t>Nikhil</t>
  </si>
  <si>
    <t>Sameer</t>
  </si>
  <si>
    <t>Sanjay</t>
  </si>
  <si>
    <t>Rohit</t>
  </si>
  <si>
    <t>Deepak</t>
  </si>
  <si>
    <t>Amit</t>
  </si>
  <si>
    <t>Anil</t>
  </si>
  <si>
    <t>Suresh</t>
  </si>
  <si>
    <t>Vijay</t>
  </si>
  <si>
    <t>Mohit</t>
  </si>
  <si>
    <t>Harish</t>
  </si>
  <si>
    <t>Gaurav</t>
  </si>
  <si>
    <t>Ashish</t>
  </si>
  <si>
    <t>Tarun</t>
  </si>
  <si>
    <t>Naveen</t>
  </si>
  <si>
    <t>Vinay</t>
  </si>
  <si>
    <t>Ravindra</t>
  </si>
  <si>
    <t>Aakriti</t>
  </si>
  <si>
    <t>s</t>
  </si>
  <si>
    <t>Aarav</t>
  </si>
  <si>
    <t>Aashish</t>
  </si>
  <si>
    <t>Abhinav</t>
  </si>
  <si>
    <t>Akash</t>
  </si>
  <si>
    <t>Akshay</t>
  </si>
  <si>
    <t>Ankur</t>
  </si>
  <si>
    <t>Ansh</t>
  </si>
  <si>
    <t>Ashok</t>
  </si>
  <si>
    <t>Atul</t>
  </si>
  <si>
    <t>Bharat</t>
  </si>
  <si>
    <t>B-</t>
  </si>
  <si>
    <t>Bhavya</t>
  </si>
  <si>
    <t>Chetan</t>
  </si>
  <si>
    <t>Daksh</t>
  </si>
  <si>
    <t>Dev</t>
  </si>
  <si>
    <t>Dhruv</t>
  </si>
  <si>
    <t>Divyansh</t>
  </si>
  <si>
    <t>Himanshu</t>
  </si>
  <si>
    <t>Hitesh</t>
  </si>
  <si>
    <t>Ishaan</t>
  </si>
  <si>
    <t>Jaideep</t>
  </si>
  <si>
    <t>Jayant</t>
  </si>
  <si>
    <t>Jatin</t>
  </si>
  <si>
    <t>Jitesh</t>
  </si>
  <si>
    <t>Kabir</t>
  </si>
  <si>
    <t>Kunal</t>
  </si>
  <si>
    <t>Lakshay</t>
  </si>
  <si>
    <t>Manav</t>
  </si>
  <si>
    <t>Mayank</t>
  </si>
  <si>
    <t>Mukesh</t>
  </si>
  <si>
    <t>Neeraj</t>
  </si>
  <si>
    <t>Om</t>
  </si>
  <si>
    <t>Parth</t>
  </si>
  <si>
    <t>Prateek</t>
  </si>
  <si>
    <t>Pratik</t>
  </si>
  <si>
    <t>Praveen</t>
  </si>
  <si>
    <t>Prem</t>
  </si>
  <si>
    <t>Raj</t>
  </si>
  <si>
    <t>Rakesh</t>
  </si>
  <si>
    <t>Raman</t>
  </si>
  <si>
    <t>Rishabh</t>
  </si>
  <si>
    <t>Sachin</t>
  </si>
  <si>
    <t>Sahil</t>
  </si>
  <si>
    <t>Sandeep</t>
  </si>
  <si>
    <t>Sanket</t>
  </si>
  <si>
    <t>Saurabh</t>
  </si>
  <si>
    <t>Shashank</t>
  </si>
  <si>
    <t>Shekhar</t>
  </si>
  <si>
    <t>Shubham</t>
  </si>
  <si>
    <t>Sumit</t>
  </si>
  <si>
    <t>Sunny</t>
  </si>
  <si>
    <t>Utkarsh</t>
  </si>
  <si>
    <t>Varun</t>
  </si>
  <si>
    <t>Vikas</t>
  </si>
  <si>
    <t>Vineet</t>
  </si>
  <si>
    <t>Vishal</t>
  </si>
  <si>
    <t>Vivek</t>
  </si>
  <si>
    <t>Yash</t>
  </si>
  <si>
    <t>Yogesh</t>
  </si>
  <si>
    <t>Aanchal</t>
  </si>
  <si>
    <t>Aishwarya</t>
  </si>
  <si>
    <t>Akansha</t>
  </si>
  <si>
    <t>Akriti</t>
  </si>
  <si>
    <t>Alisha</t>
  </si>
  <si>
    <t>Amrita</t>
  </si>
  <si>
    <t>Anamika</t>
  </si>
  <si>
    <t>Ankita</t>
  </si>
  <si>
    <t>Anu</t>
  </si>
  <si>
    <t>Anushka</t>
  </si>
  <si>
    <t>Apurva</t>
  </si>
  <si>
    <t>Aradhana</t>
  </si>
  <si>
    <t>Arpita</t>
  </si>
  <si>
    <t>Ashima</t>
  </si>
  <si>
    <t>Avantika</t>
  </si>
  <si>
    <t>Avni</t>
  </si>
  <si>
    <t>Bhumika</t>
  </si>
  <si>
    <t>Chhavi</t>
  </si>
  <si>
    <t>Damini</t>
  </si>
  <si>
    <t>Deepika</t>
  </si>
  <si>
    <t>Devika</t>
  </si>
  <si>
    <t>Disha</t>
  </si>
  <si>
    <t>Ekta</t>
  </si>
  <si>
    <t>Garima</t>
  </si>
  <si>
    <t>Geetika</t>
  </si>
  <si>
    <t>Gauri</t>
  </si>
  <si>
    <t>Gunjan</t>
  </si>
  <si>
    <t>Hina</t>
  </si>
  <si>
    <t>Jaya</t>
  </si>
  <si>
    <t>Kajol</t>
  </si>
  <si>
    <t>Kanika</t>
  </si>
  <si>
    <t>Kavita</t>
  </si>
  <si>
    <t>Khushi</t>
  </si>
  <si>
    <t>Kriti</t>
  </si>
  <si>
    <t>Latika</t>
  </si>
  <si>
    <t>Madhuri</t>
  </si>
  <si>
    <t>Mahima</t>
  </si>
  <si>
    <t>Malika</t>
  </si>
  <si>
    <t>Meena</t>
  </si>
  <si>
    <t>Megha</t>
  </si>
  <si>
    <t>Misha</t>
  </si>
  <si>
    <t>Monika</t>
  </si>
  <si>
    <t>Muskan</t>
  </si>
  <si>
    <t>Naina</t>
  </si>
  <si>
    <t>Nandini</t>
  </si>
  <si>
    <t>Nikita</t>
  </si>
  <si>
    <t>Prachi</t>
  </si>
  <si>
    <t>Pratibha</t>
  </si>
  <si>
    <t>Priyanka</t>
  </si>
  <si>
    <t>Purvi</t>
  </si>
  <si>
    <t>Radha</t>
  </si>
  <si>
    <t>Rani</t>
  </si>
  <si>
    <t>Rati</t>
  </si>
  <si>
    <t>Reena</t>
  </si>
  <si>
    <t>Ria</t>
  </si>
  <si>
    <t>Ritu</t>
  </si>
  <si>
    <t>Saloni</t>
  </si>
  <si>
    <t>Samiksha</t>
  </si>
  <si>
    <t>Sangeeta</t>
  </si>
  <si>
    <t>Sarika</t>
  </si>
  <si>
    <t>Seema</t>
  </si>
  <si>
    <t>Shalini</t>
  </si>
  <si>
    <t>Shikha</t>
  </si>
  <si>
    <t>Shivani</t>
  </si>
  <si>
    <t>Shraddha</t>
  </si>
  <si>
    <t>Shruti</t>
  </si>
  <si>
    <t>Simran</t>
  </si>
  <si>
    <t>Smriti</t>
  </si>
  <si>
    <t>Sonia</t>
  </si>
  <si>
    <t>Sonam</t>
  </si>
  <si>
    <t>Sonali</t>
  </si>
  <si>
    <t>Surbhi</t>
  </si>
  <si>
    <t>Tanvi</t>
  </si>
  <si>
    <t>Tanuja</t>
  </si>
  <si>
    <t>Tarini</t>
  </si>
  <si>
    <t>Tina</t>
  </si>
  <si>
    <t>Usha</t>
  </si>
  <si>
    <t>Vaishnavi</t>
  </si>
  <si>
    <t>Vandana</t>
  </si>
  <si>
    <t>Vani</t>
  </si>
  <si>
    <t>Vidisha</t>
  </si>
  <si>
    <t>Vidya</t>
  </si>
  <si>
    <t>Yamini</t>
  </si>
  <si>
    <t>Yashika</t>
  </si>
  <si>
    <t>Yashvi</t>
  </si>
  <si>
    <t>Aaditya</t>
  </si>
  <si>
    <t>Abhay</t>
  </si>
  <si>
    <t>Adarsh</t>
  </si>
  <si>
    <t>Ajit</t>
  </si>
  <si>
    <t>Akshat</t>
  </si>
  <si>
    <t>Aman</t>
  </si>
  <si>
    <t>Anand</t>
  </si>
  <si>
    <t>Animesh</t>
  </si>
  <si>
    <t>Anirudh</t>
  </si>
  <si>
    <t>Anmol</t>
  </si>
  <si>
    <t>Anuj</t>
  </si>
  <si>
    <t>Arnav</t>
  </si>
  <si>
    <t>Arvind</t>
  </si>
  <si>
    <t>Ayushman</t>
  </si>
  <si>
    <t>Balram</t>
  </si>
  <si>
    <t>Bhushan</t>
  </si>
  <si>
    <t>Bipin</t>
  </si>
  <si>
    <t>Chandan</t>
  </si>
  <si>
    <t>Dinesh</t>
  </si>
  <si>
    <t>Ganesh</t>
  </si>
  <si>
    <t>Gagan</t>
  </si>
  <si>
    <t>Hemant</t>
  </si>
  <si>
    <t>Inder</t>
  </si>
  <si>
    <t>Jai</t>
  </si>
  <si>
    <t>Jitendra</t>
  </si>
  <si>
    <t>Kailash</t>
  </si>
  <si>
    <t>Kanak</t>
  </si>
  <si>
    <t>Kartik</t>
  </si>
  <si>
    <t>Krishna</t>
  </si>
  <si>
    <t>Lalit</t>
  </si>
  <si>
    <t>Mahesh</t>
  </si>
  <si>
    <t>Manoj</t>
  </si>
  <si>
    <t>Niranjan</t>
  </si>
  <si>
    <t>Nirmal</t>
  </si>
  <si>
    <t>Omkar</t>
  </si>
  <si>
    <t>Pankaj</t>
  </si>
  <si>
    <t>Parag</t>
  </si>
  <si>
    <t>Paras</t>
  </si>
  <si>
    <t>Piyush</t>
  </si>
  <si>
    <t>Punit</t>
  </si>
  <si>
    <t>Ranjan</t>
  </si>
  <si>
    <t>Ritesh</t>
  </si>
  <si>
    <t>Santosh</t>
  </si>
  <si>
    <t>Saurav</t>
  </si>
  <si>
    <t>Shailesh</t>
  </si>
  <si>
    <t>Shantanu</t>
  </si>
  <si>
    <t>Siddhant</t>
  </si>
  <si>
    <t>Subhash</t>
  </si>
  <si>
    <t>Sudhir</t>
  </si>
  <si>
    <t>Sushil</t>
  </si>
  <si>
    <t>Swaraj</t>
  </si>
  <si>
    <t>Tanish</t>
  </si>
  <si>
    <t>Tanmay</t>
  </si>
  <si>
    <t>Uday</t>
  </si>
  <si>
    <t>Vinod</t>
  </si>
  <si>
    <t>Yogendra</t>
  </si>
  <si>
    <t>Akshara</t>
  </si>
  <si>
    <t>Amisha</t>
  </si>
  <si>
    <t>Anika</t>
  </si>
  <si>
    <t>Anjana</t>
  </si>
  <si>
    <t>Anshika</t>
  </si>
  <si>
    <t>Anuja</t>
  </si>
  <si>
    <t>Aparna</t>
  </si>
  <si>
    <t>Arti</t>
  </si>
  <si>
    <t>Ashwariya</t>
  </si>
  <si>
    <t>Bhavika</t>
  </si>
  <si>
    <t>Bhawna</t>
  </si>
  <si>
    <t>Chanchal</t>
  </si>
  <si>
    <t>Chitra</t>
  </si>
  <si>
    <t>Darshana</t>
  </si>
  <si>
    <t>Debasmita</t>
  </si>
  <si>
    <t>Deepa</t>
  </si>
  <si>
    <t>Dipti</t>
  </si>
  <si>
    <t>Gargi</t>
  </si>
  <si>
    <t>Gitanjali</t>
  </si>
  <si>
    <t>Hema</t>
  </si>
  <si>
    <t>Indu</t>
  </si>
  <si>
    <t>Ishita</t>
  </si>
  <si>
    <t>Janvi</t>
  </si>
  <si>
    <t>Jigyasa</t>
  </si>
  <si>
    <t>Juhi</t>
  </si>
  <si>
    <t>Kajal</t>
  </si>
  <si>
    <t>Kalpana</t>
  </si>
  <si>
    <t>Kanishka</t>
  </si>
  <si>
    <t>Komal</t>
  </si>
  <si>
    <t>Lakshmi</t>
  </si>
  <si>
    <t>Madhulika</t>
  </si>
  <si>
    <t>Manisha</t>
  </si>
  <si>
    <t>Maithili</t>
  </si>
  <si>
    <t>Mamta</t>
  </si>
  <si>
    <t>Meenakshi</t>
  </si>
  <si>
    <t>Minakshi</t>
  </si>
  <si>
    <t>Mohini</t>
  </si>
  <si>
    <t>Muskaan</t>
  </si>
  <si>
    <t>Namrata</t>
  </si>
  <si>
    <t>Nandita</t>
  </si>
  <si>
    <t>Nidhi</t>
  </si>
  <si>
    <t>Prerna</t>
  </si>
  <si>
    <t>Rachna</t>
  </si>
  <si>
    <t>Rashmi</t>
  </si>
  <si>
    <t>Rukmini</t>
  </si>
  <si>
    <t>Sadhana</t>
  </si>
  <si>
    <t>Sagarika</t>
  </si>
  <si>
    <t>Sakshi</t>
  </si>
  <si>
    <t>Shivangi</t>
  </si>
  <si>
    <t>Shobha</t>
  </si>
  <si>
    <t>Shradha</t>
  </si>
  <si>
    <t>Sweta</t>
  </si>
  <si>
    <t>Tanushree</t>
  </si>
  <si>
    <t>Tejaswini</t>
  </si>
  <si>
    <t>Trupti</t>
  </si>
  <si>
    <t>Uma</t>
  </si>
  <si>
    <t>Vaishali</t>
  </si>
  <si>
    <t>Vibha</t>
  </si>
  <si>
    <t>Vidhi</t>
  </si>
  <si>
    <t>Yogita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</si>
  <si>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</si>
  <si>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</si>
  <si>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</si>
  <si>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</si>
  <si>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</si>
  <si>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</si>
  <si>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</si>
  <si>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</si>
  <si>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</si>
  <si>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</si>
  <si>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</si>
  <si>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</si>
  <si>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</si>
  <si>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</si>
  <si>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</si>
  <si>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</si>
  <si>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</si>
  <si>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 xml:space="preserve">Age </t>
  </si>
  <si>
    <t>Female</t>
  </si>
  <si>
    <t>Student</t>
  </si>
  <si>
    <t>Kothri Kalan</t>
  </si>
  <si>
    <t>No</t>
  </si>
  <si>
    <t>Low</t>
  </si>
  <si>
    <t>Good</t>
  </si>
  <si>
    <t>Yes</t>
  </si>
  <si>
    <t>4 Times In Week</t>
  </si>
  <si>
    <t>5 Times In Week</t>
  </si>
  <si>
    <t>Moderate</t>
  </si>
  <si>
    <t>Once In Week</t>
  </si>
  <si>
    <t>3 Times In Week</t>
  </si>
  <si>
    <t>Not Good</t>
  </si>
  <si>
    <t>Twice In Week</t>
  </si>
  <si>
    <t>Hard</t>
  </si>
  <si>
    <t>Weak</t>
  </si>
  <si>
    <t>Filter</t>
  </si>
  <si>
    <t>High</t>
  </si>
  <si>
    <t>Medium</t>
  </si>
  <si>
    <t>Normal</t>
  </si>
  <si>
    <t>Male</t>
  </si>
  <si>
    <t>Ameya</t>
  </si>
  <si>
    <t>Devansh</t>
  </si>
  <si>
    <t>Harshit</t>
  </si>
  <si>
    <t>Laksh</t>
  </si>
  <si>
    <t>Shopkeeper</t>
  </si>
  <si>
    <t>Hariom</t>
  </si>
  <si>
    <t>Borewell</t>
  </si>
  <si>
    <t>Anurag</t>
  </si>
  <si>
    <t>Mess Incharge</t>
  </si>
  <si>
    <t>Chetan Singh</t>
  </si>
  <si>
    <t>Supervisor House Keeping</t>
  </si>
  <si>
    <t>Abhijeet Mewada</t>
  </si>
  <si>
    <t>Mix</t>
  </si>
  <si>
    <t>Divan Anjan Maity</t>
  </si>
  <si>
    <t>Hostel Supervisor</t>
  </si>
  <si>
    <t>Hostel</t>
  </si>
  <si>
    <t>Akilesh Vishvakarma</t>
  </si>
  <si>
    <t>Ichawar</t>
  </si>
  <si>
    <t>Sanjay Kumar Jain</t>
  </si>
  <si>
    <t>Dheeraj</t>
  </si>
  <si>
    <t>Hostel Admin</t>
  </si>
  <si>
    <t>Guard</t>
  </si>
  <si>
    <t>Miner</t>
  </si>
  <si>
    <t>Azhar</t>
  </si>
  <si>
    <t>Mess Guard</t>
  </si>
  <si>
    <t>Pradumman</t>
  </si>
  <si>
    <t>Lala Khedi</t>
  </si>
  <si>
    <t>House Keeping</t>
  </si>
  <si>
    <t>Parvind</t>
  </si>
  <si>
    <t>Ratanpur</t>
  </si>
  <si>
    <t>Dharam Singhg</t>
  </si>
  <si>
    <t>Golukheda</t>
  </si>
  <si>
    <t>Ujjwaal</t>
  </si>
  <si>
    <t>Jayram</t>
  </si>
  <si>
    <t>Kaushal</t>
  </si>
  <si>
    <t>Worker</t>
  </si>
  <si>
    <t>Suresh Patil</t>
  </si>
  <si>
    <t>Arjun Gawai</t>
  </si>
  <si>
    <t>Binod Kumar Thakur</t>
  </si>
  <si>
    <t>Gorakhpur</t>
  </si>
  <si>
    <t>Yug</t>
  </si>
  <si>
    <t>Astitva</t>
  </si>
  <si>
    <t>Sparsh</t>
  </si>
  <si>
    <t>Aniket</t>
  </si>
  <si>
    <t>Kartik Rajput</t>
  </si>
  <si>
    <t/>
  </si>
  <si>
    <t>Demographics ID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</si>
  <si>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</si>
  <si>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</si>
  <si>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</si>
  <si>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</si>
  <si>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</si>
  <si>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</si>
  <si>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</si>
  <si>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</si>
  <si>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</si>
  <si>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</si>
  <si>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</si>
  <si>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</si>
  <si>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</si>
  <si>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</si>
  <si>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</si>
  <si>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</si>
  <si>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</si>
  <si>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</si>
  <si>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</si>
  <si>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</si>
  <si>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</si>
  <si>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</si>
  <si>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</si>
  <si>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</si>
  <si>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</si>
  <si>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</si>
  <si>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</si>
  <si>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</si>
  <si>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</si>
  <si>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</si>
  <si>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</si>
  <si>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</si>
  <si>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</si>
  <si>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</si>
  <si>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</si>
  <si>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</si>
  <si>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</si>
  <si>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</si>
  <si>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</si>
  <si>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</si>
  <si>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</si>
  <si>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</si>
  <si>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</si>
  <si>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</si>
  <si>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</si>
  <si>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</si>
  <si>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</si>
  <si>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</si>
  <si>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</si>
  <si>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</si>
  <si>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</si>
  <si>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</si>
  <si>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</si>
  <si>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</si>
  <si>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</si>
  <si>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</si>
  <si>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</si>
  <si>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</si>
  <si>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</si>
  <si>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</si>
  <si>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</si>
  <si>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</si>
  <si>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</si>
  <si>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</si>
  <si>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</si>
  <si>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</si>
  <si>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</si>
  <si>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</si>
  <si>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</si>
  <si>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</si>
  <si>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</si>
  <si>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</si>
  <si>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</si>
  <si>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</si>
  <si>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</si>
  <si>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</si>
  <si>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</si>
  <si>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</si>
  <si>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</si>
  <si>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</si>
  <si>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</si>
  <si>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</si>
  <si>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</si>
  <si>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</si>
  <si>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</si>
  <si>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</si>
  <si>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</si>
  <si>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</si>
  <si>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</si>
  <si>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</si>
  <si>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</si>
  <si>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</si>
  <si>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</si>
  <si>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</si>
  <si>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</si>
  <si>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</si>
  <si>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</si>
  <si>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</si>
  <si>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</si>
  <si>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</si>
  <si>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</si>
  <si>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</si>
  <si>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</si>
  <si>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</si>
  <si>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</si>
  <si>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</si>
  <si>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</si>
  <si>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</si>
  <si>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</si>
  <si>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</si>
  <si>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</si>
  <si>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</si>
  <si>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</si>
  <si>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</si>
  <si>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</si>
  <si>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</si>
  <si>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</si>
  <si>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</si>
  <si>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</si>
  <si>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</si>
  <si>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</si>
  <si>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</si>
  <si>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</si>
  <si>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</si>
  <si>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</si>
  <si>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</si>
  <si>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</si>
  <si>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</si>
  <si>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</si>
  <si>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</si>
  <si>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</si>
  <si>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</si>
  <si>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</si>
  <si>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</si>
  <si>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</si>
  <si>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</si>
  <si>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</si>
  <si>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</si>
  <si>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</si>
  <si>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</si>
  <si>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</si>
  <si>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</si>
  <si>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</si>
  <si>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</si>
  <si>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</si>
  <si>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</si>
  <si>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</si>
  <si>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</si>
  <si>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</si>
  <si>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</si>
  <si>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</si>
  <si>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</si>
  <si>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</si>
  <si>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</si>
  <si>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</si>
  <si>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</si>
  <si>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</si>
  <si>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</si>
  <si>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</si>
  <si>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</si>
  <si>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</si>
  <si>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</si>
  <si>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</si>
  <si>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</si>
  <si>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</si>
  <si>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</si>
  <si>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</si>
  <si>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</si>
  <si>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</si>
  <si>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</si>
  <si>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</si>
  <si>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</si>
  <si>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</si>
  <si>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</si>
  <si>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</si>
  <si>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</si>
  <si>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</si>
  <si>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</si>
  <si>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</si>
  <si>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</si>
  <si>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</si>
  <si>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</si>
  <si>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</si>
  <si>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</si>
  <si>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</si>
  <si>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</si>
  <si>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</si>
  <si>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</si>
  <si>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</si>
  <si>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</si>
  <si>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</si>
  <si>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</si>
  <si>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</si>
  <si>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</si>
  <si>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</si>
  <si>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</si>
  <si>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</si>
  <si>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</si>
  <si>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</si>
  <si>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</si>
  <si>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</si>
  <si>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</si>
  <si>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</si>
  <si>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</si>
  <si>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</si>
  <si>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</si>
  <si>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</si>
  <si>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</si>
  <si>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</si>
  <si>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</si>
  <si>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</si>
  <si>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</si>
  <si>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</si>
  <si>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</si>
  <si>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</si>
  <si>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</si>
  <si>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</si>
  <si>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</si>
  <si>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</si>
  <si>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</si>
  <si>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</si>
  <si>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</si>
  <si>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</si>
  <si>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</si>
  <si>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</si>
  <si>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</si>
  <si>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</si>
  <si>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</si>
  <si>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</si>
  <si>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</si>
  <si>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</si>
  <si>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</si>
  <si>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</si>
  <si>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</si>
  <si>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</si>
  <si>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</si>
  <si>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</si>
  <si>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</si>
  <si>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</si>
  <si>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</si>
  <si>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</si>
  <si>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</si>
  <si>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</si>
  <si>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</si>
  <si>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</si>
  <si>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</si>
  <si>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</si>
  <si>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</si>
  <si>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</si>
  <si>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</si>
  <si>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</si>
  <si>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</si>
  <si>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</si>
  <si>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</si>
  <si>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</si>
  <si>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</si>
  <si>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</si>
  <si>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</si>
  <si>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</si>
  <si>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</si>
  <si>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</si>
  <si>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</si>
  <si>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</si>
  <si>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</si>
  <si>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</si>
  <si>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</si>
  <si>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</si>
  <si>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</si>
  <si>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</si>
  <si>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</si>
  <si>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</si>
  <si>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</si>
  <si>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</si>
  <si>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</si>
  <si>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</si>
  <si>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</si>
  <si>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</si>
  <si>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</si>
  <si>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</si>
  <si>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</si>
  <si>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</si>
  <si>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</si>
  <si>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</si>
  <si>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</si>
  <si>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</si>
  <si>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</si>
  <si>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</si>
  <si>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</si>
  <si>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</si>
  <si>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</si>
  <si>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</si>
  <si>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</si>
  <si>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</si>
  <si>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</si>
  <si>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</si>
  <si>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</si>
  <si>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</si>
  <si>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</si>
  <si>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</si>
  <si>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</si>
  <si>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</si>
  <si>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</si>
  <si>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</si>
  <si>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</si>
  <si>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</si>
  <si>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</si>
  <si>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</si>
  <si>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</si>
  <si>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</si>
  <si>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</si>
  <si>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</si>
  <si>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</si>
  <si>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</si>
  <si>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</si>
  <si>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</si>
  <si>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</si>
  <si>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</si>
  <si>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</si>
  <si>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</si>
  <si>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</si>
  <si>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</si>
  <si>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</si>
  <si>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</si>
  <si>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</si>
  <si>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</si>
  <si>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</si>
  <si>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</si>
  <si>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</si>
  <si>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</si>
  <si>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</si>
  <si>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</si>
  <si>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</si>
  <si>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</si>
  <si>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</si>
  <si>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</si>
  <si>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</si>
  <si>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</si>
  <si>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</si>
  <si>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</si>
  <si>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</si>
  <si>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</si>
  <si>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</si>
  <si>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</si>
  <si>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</si>
  <si>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</si>
  <si>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</si>
  <si>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</si>
  <si>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</si>
  <si>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</si>
  <si>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</si>
  <si>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</si>
  <si>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</si>
  <si>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</si>
  <si>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</si>
  <si>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</si>
  <si>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</si>
  <si>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</si>
  <si>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</si>
  <si>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</si>
  <si>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</si>
  <si>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</si>
  <si>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</si>
  <si>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</si>
  <si>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</si>
  <si>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</si>
  <si>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</si>
  <si>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</si>
  <si>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</si>
  <si>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</si>
  <si>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</si>
  <si>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</si>
  <si>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</si>
  <si>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</si>
  <si>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</si>
  <si>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</si>
  <si>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</si>
  <si>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</si>
  <si>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</si>
  <si>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</si>
  <si>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</si>
  <si>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</si>
  <si>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</si>
  <si>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</si>
  <si>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</si>
  <si>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</si>
  <si>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</si>
  <si>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</si>
  <si>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</si>
  <si>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</si>
  <si>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</si>
  <si>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</si>
  <si>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</si>
  <si>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</si>
  <si>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</si>
  <si>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</si>
  <si>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</si>
  <si>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</si>
  <si>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</si>
  <si>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</si>
  <si>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</si>
  <si>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</si>
  <si>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</si>
  <si>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</si>
  <si>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</si>
  <si>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</si>
  <si>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</si>
  <si>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</si>
  <si>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</si>
  <si>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</si>
  <si>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</si>
  <si>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</si>
  <si>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</si>
  <si>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</si>
  <si>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</si>
  <si>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</si>
  <si>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</si>
  <si>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</si>
  <si>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</si>
  <si>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</si>
  <si>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</si>
  <si>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</si>
  <si>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</si>
  <si>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</si>
  <si>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</si>
  <si>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</si>
  <si>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</si>
  <si>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</si>
  <si>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</si>
  <si>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</si>
  <si>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</si>
  <si>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</si>
  <si>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</si>
  <si>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</si>
  <si>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</si>
  <si>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</si>
  <si>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</si>
  <si>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</si>
  <si>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</si>
  <si>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</si>
  <si>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</si>
  <si>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</si>
  <si>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</si>
  <si>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</si>
  <si>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</si>
  <si>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</si>
  <si>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</si>
  <si>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</si>
  <si>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</si>
  <si>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</si>
  <si>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</si>
  <si>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</si>
  <si>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</si>
  <si>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</si>
  <si>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</si>
  <si>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</si>
  <si>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</si>
  <si>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</si>
  <si>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</si>
  <si>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</si>
  <si>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</si>
  <si>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</si>
  <si>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</si>
  <si>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</si>
  <si>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</si>
  <si>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</si>
  <si>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</si>
  <si>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</si>
  <si>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</si>
  <si>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</si>
  <si>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</si>
  <si>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</si>
  <si>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</si>
  <si>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</si>
  <si>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</si>
  <si>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</si>
  <si>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</si>
  <si>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</si>
  <si>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</si>
  <si>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</si>
  <si>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</si>
  <si>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</si>
  <si>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</si>
  <si>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</si>
  <si>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</si>
  <si>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</si>
  <si>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</si>
  <si>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</si>
  <si>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</si>
  <si>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</si>
  <si>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</si>
  <si>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</si>
  <si>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</si>
  <si>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</si>
  <si>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</si>
  <si>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</si>
  <si>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</si>
  <si>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</si>
  <si>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</si>
  <si>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</si>
  <si>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</si>
  <si>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</si>
  <si>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</si>
  <si>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</si>
  <si>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</si>
  <si>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</si>
  <si>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</si>
  <si>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</si>
  <si>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</si>
  <si>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</si>
  <si>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</si>
  <si>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</si>
  <si>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</si>
  <si>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</si>
  <si>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</si>
  <si>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</si>
  <si>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</si>
  <si>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</si>
  <si>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</si>
  <si>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</si>
  <si>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</si>
  <si>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</si>
  <si>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</si>
  <si>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</si>
  <si>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</si>
  <si>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</si>
  <si>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</si>
  <si>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</si>
  <si>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</si>
  <si>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</si>
  <si>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</si>
  <si>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</si>
  <si>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</si>
  <si>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</si>
  <si>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</si>
  <si>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</si>
  <si>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</si>
  <si>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</si>
  <si>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</si>
  <si>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</si>
  <si>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</si>
  <si>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</si>
  <si>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</si>
  <si>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</si>
  <si>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</si>
  <si>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</si>
  <si>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</si>
  <si>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</si>
  <si>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</si>
  <si>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</si>
  <si>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</si>
  <si>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</si>
  <si>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</si>
  <si>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</si>
  <si>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</si>
  <si>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</si>
  <si>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</si>
  <si>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</si>
  <si>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</si>
  <si>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</si>
  <si>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</si>
  <si>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</si>
  <si>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</si>
  <si>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</si>
  <si>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</si>
  <si>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</si>
  <si>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</si>
  <si>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</si>
  <si>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</si>
  <si>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</si>
  <si>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Automobile Manager</t>
  </si>
  <si>
    <t>Hostel Guard</t>
  </si>
  <si>
    <t>Alcohol CoNosumptioNo</t>
  </si>
  <si>
    <t>Once in Week</t>
  </si>
  <si>
    <t>0 Fast Food</t>
  </si>
  <si>
    <t>Very Less</t>
  </si>
  <si>
    <t>Goodrmal</t>
  </si>
  <si>
    <t>Stress</t>
  </si>
  <si>
    <t>Low Access</t>
  </si>
  <si>
    <t>Below Average</t>
  </si>
  <si>
    <t>Bad</t>
  </si>
  <si>
    <t>Doctor</t>
  </si>
  <si>
    <t>College Doctor</t>
  </si>
  <si>
    <t>Pvt Hospital</t>
  </si>
  <si>
    <t>Clinic</t>
  </si>
  <si>
    <t>Average</t>
  </si>
  <si>
    <t>Hospital</t>
  </si>
  <si>
    <t>Home Treatment</t>
  </si>
  <si>
    <t>Family Doctor</t>
  </si>
  <si>
    <t>Anxiety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</si>
  <si>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</si>
  <si>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</si>
  <si>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</si>
  <si>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</si>
  <si>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</si>
  <si>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</si>
  <si>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</si>
  <si>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</si>
  <si>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</si>
  <si>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</si>
  <si>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</si>
  <si>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</si>
  <si>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</si>
  <si>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</si>
  <si>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Government Officer</t>
  </si>
  <si>
    <t>Profession Name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</si>
  <si>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</si>
  <si>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</si>
  <si>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</si>
  <si>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</si>
  <si>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</si>
  <si>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</si>
  <si>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</si>
  <si>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</si>
  <si>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</si>
  <si>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</si>
  <si>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</si>
  <si>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</si>
  <si>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</si>
  <si>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</si>
  <si>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</si>
  <si>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RegionID</t>
  </si>
  <si>
    <t>Region Name</t>
  </si>
  <si>
    <t>Profession ID</t>
  </si>
  <si>
    <t>Daily Wage Worker</t>
  </si>
  <si>
    <t>Region ID</t>
  </si>
  <si>
    <t>Ahmedabad</t>
  </si>
  <si>
    <t>Ashta</t>
  </si>
  <si>
    <t>Goa</t>
  </si>
  <si>
    <t>Kratanpur</t>
  </si>
  <si>
    <t>Sakharkherda</t>
  </si>
  <si>
    <t>Vita</t>
  </si>
  <si>
    <t>LifeStyle ID</t>
  </si>
  <si>
    <t>L001</t>
  </si>
  <si>
    <t>L003</t>
  </si>
  <si>
    <t>M004</t>
  </si>
  <si>
    <t>L006</t>
  </si>
  <si>
    <t>L007</t>
  </si>
  <si>
    <t>L008</t>
  </si>
  <si>
    <t>M010</t>
  </si>
  <si>
    <t>M011</t>
  </si>
  <si>
    <t>L013</t>
  </si>
  <si>
    <t>M014</t>
  </si>
  <si>
    <t>H015</t>
  </si>
  <si>
    <t>H016</t>
  </si>
  <si>
    <t>M017</t>
  </si>
  <si>
    <t>M018</t>
  </si>
  <si>
    <t>M019</t>
  </si>
  <si>
    <t>M020</t>
  </si>
  <si>
    <t>M021</t>
  </si>
  <si>
    <t>M022</t>
  </si>
  <si>
    <t>M023</t>
  </si>
  <si>
    <t>M024</t>
  </si>
  <si>
    <t>H025</t>
  </si>
  <si>
    <t>H026</t>
  </si>
  <si>
    <t>H027</t>
  </si>
  <si>
    <t>H028</t>
  </si>
  <si>
    <t>M029</t>
  </si>
  <si>
    <t>H030</t>
  </si>
  <si>
    <t>M031</t>
  </si>
  <si>
    <t>L032</t>
  </si>
  <si>
    <t>L002</t>
  </si>
  <si>
    <t>L004</t>
  </si>
  <si>
    <t>L005</t>
  </si>
  <si>
    <t>L009</t>
  </si>
  <si>
    <t>L010</t>
  </si>
  <si>
    <t>L011</t>
  </si>
  <si>
    <t>L012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</si>
  <si>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</si>
  <si>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</si>
  <si>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</si>
  <si>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</si>
  <si>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</si>
  <si>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</si>
  <si>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</si>
  <si>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</si>
  <si>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</si>
  <si>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</si>
  <si>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</si>
  <si>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</si>
  <si>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</si>
  <si>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</si>
  <si>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</si>
  <si>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</si>
  <si>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</si>
  <si>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</si>
  <si>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</si>
  <si>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</si>
  <si>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</si>
  <si>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</si>
  <si>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</si>
  <si>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</si>
  <si>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</si>
  <si>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</si>
  <si>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</si>
  <si>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</si>
  <si>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</si>
  <si>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</si>
  <si>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</si>
  <si>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</si>
  <si>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</si>
  <si>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</si>
  <si>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</si>
  <si>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</si>
  <si>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</si>
  <si>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</si>
  <si>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</si>
  <si>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</si>
  <si>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</si>
  <si>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</si>
  <si>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</si>
  <si>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</si>
  <si>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</si>
  <si>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</si>
  <si>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</si>
  <si>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</si>
  <si>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</si>
  <si>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</si>
  <si>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</si>
  <si>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</si>
  <si>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</si>
  <si>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</si>
  <si>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</si>
  <si>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</si>
  <si>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</si>
  <si>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</si>
  <si>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</si>
  <si>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</si>
  <si>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</si>
  <si>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</si>
  <si>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</si>
  <si>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</si>
  <si>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</si>
  <si>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</si>
  <si>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</si>
  <si>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</si>
  <si>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</si>
  <si>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</si>
  <si>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</si>
  <si>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</si>
  <si>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</si>
  <si>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</si>
  <si>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</si>
  <si>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</si>
  <si>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</si>
  <si>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</si>
  <si>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</si>
  <si>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</si>
  <si>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</si>
  <si>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</si>
  <si>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</si>
  <si>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</si>
  <si>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</si>
  <si>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</si>
  <si>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</si>
  <si>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</si>
  <si>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</si>
  <si>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</si>
  <si>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</si>
  <si>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</si>
  <si>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</si>
  <si>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</si>
  <si>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</si>
  <si>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</si>
  <si>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</si>
  <si>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</si>
  <si>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</si>
  <si>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</si>
  <si>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</si>
  <si>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</si>
  <si>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</si>
  <si>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</si>
  <si>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</si>
  <si>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</si>
  <si>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</si>
  <si>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</si>
  <si>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</si>
  <si>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</si>
  <si>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</si>
  <si>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</si>
  <si>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</si>
  <si>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</si>
  <si>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</si>
  <si>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</si>
  <si>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</si>
  <si>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</si>
  <si>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</si>
  <si>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</si>
  <si>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</si>
  <si>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</si>
  <si>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</si>
  <si>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</si>
  <si>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</si>
  <si>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</si>
  <si>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</si>
  <si>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</si>
  <si>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</si>
  <si>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</si>
  <si>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</si>
  <si>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</si>
  <si>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</si>
  <si>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</si>
  <si>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</si>
  <si>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</si>
  <si>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</si>
  <si>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</si>
  <si>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</si>
  <si>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</si>
  <si>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</si>
  <si>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</si>
  <si>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</si>
  <si>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</si>
  <si>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</si>
  <si>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</si>
  <si>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</si>
  <si>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</si>
  <si>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</si>
  <si>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</si>
  <si>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</si>
  <si>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</si>
  <si>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</si>
  <si>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</si>
  <si>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</si>
  <si>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</si>
  <si>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</si>
  <si>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</si>
  <si>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</si>
  <si>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</si>
  <si>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</si>
  <si>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</si>
  <si>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</si>
  <si>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</si>
  <si>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</si>
  <si>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</si>
  <si>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</si>
  <si>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</si>
  <si>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</si>
  <si>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</si>
  <si>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</si>
  <si>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</si>
  <si>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</si>
  <si>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</si>
  <si>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</si>
  <si>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</si>
  <si>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</si>
  <si>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</si>
  <si>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</si>
  <si>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</si>
  <si>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</si>
  <si>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</si>
  <si>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</si>
  <si>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</si>
  <si>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</si>
  <si>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</si>
  <si>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</si>
  <si>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</si>
  <si>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</si>
  <si>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</si>
  <si>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</si>
  <si>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</si>
  <si>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</si>
  <si>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</si>
  <si>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</si>
  <si>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</si>
  <si>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</si>
  <si>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</si>
  <si>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</si>
  <si>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</si>
  <si>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</si>
  <si>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</si>
  <si>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</si>
  <si>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</si>
  <si>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</si>
  <si>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</si>
  <si>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</si>
  <si>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</si>
  <si>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</si>
  <si>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</si>
  <si>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</si>
  <si>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</si>
  <si>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</si>
  <si>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</si>
  <si>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</si>
  <si>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</si>
  <si>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</si>
  <si>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</si>
  <si>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</si>
  <si>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</si>
  <si>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</si>
  <si>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</si>
  <si>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</si>
  <si>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</si>
  <si>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</si>
  <si>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</si>
  <si>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</si>
  <si>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</si>
  <si>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</si>
  <si>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</si>
  <si>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</si>
  <si>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</si>
  <si>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</si>
  <si>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</si>
  <si>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</si>
  <si>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</si>
  <si>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</si>
  <si>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</si>
  <si>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</si>
  <si>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</si>
  <si>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</si>
  <si>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L256</t>
  </si>
  <si>
    <t>L257</t>
  </si>
  <si>
    <t>L258</t>
  </si>
  <si>
    <t>L259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</si>
  <si>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</si>
  <si>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</si>
  <si>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</si>
  <si>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</si>
  <si>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</si>
  <si>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</si>
  <si>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</si>
  <si>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</si>
  <si>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</si>
  <si>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</si>
  <si>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</si>
  <si>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</si>
  <si>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</si>
  <si>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</si>
  <si>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</si>
  <si>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</si>
  <si>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</si>
  <si>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</si>
  <si>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</si>
  <si>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</si>
  <si>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</si>
  <si>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</si>
  <si>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</si>
  <si>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</si>
  <si>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</si>
  <si>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</si>
  <si>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</si>
  <si>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</si>
  <si>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</si>
  <si>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</si>
  <si>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</si>
  <si>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</si>
  <si>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</si>
  <si>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</si>
  <si>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</si>
  <si>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</si>
  <si>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</si>
  <si>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</si>
  <si>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</si>
  <si>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</si>
  <si>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</si>
  <si>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</si>
  <si>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</si>
  <si>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</si>
  <si>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</si>
  <si>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</si>
  <si>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</si>
  <si>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</si>
  <si>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</si>
  <si>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</si>
  <si>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</si>
  <si>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</si>
  <si>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</si>
  <si>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</si>
  <si>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</si>
  <si>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</si>
  <si>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</si>
  <si>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</si>
  <si>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</si>
  <si>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</si>
  <si>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</si>
  <si>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</si>
  <si>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</si>
  <si>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</si>
  <si>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</si>
  <si>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</si>
  <si>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</si>
  <si>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</si>
  <si>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</si>
  <si>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</si>
  <si>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</si>
  <si>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</si>
  <si>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</si>
  <si>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</si>
  <si>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</si>
  <si>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</si>
  <si>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</si>
  <si>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</si>
  <si>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</si>
  <si>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</si>
  <si>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</si>
  <si>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</si>
  <si>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</si>
  <si>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</si>
  <si>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</si>
  <si>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</si>
  <si>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</si>
  <si>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</si>
  <si>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</si>
  <si>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</si>
  <si>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</si>
  <si>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</si>
  <si>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</si>
  <si>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</si>
  <si>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</si>
  <si>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</si>
  <si>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</si>
  <si>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</si>
  <si>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</si>
  <si>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</si>
  <si>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</si>
  <si>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</si>
  <si>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</si>
  <si>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</si>
  <si>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</si>
  <si>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</si>
  <si>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</si>
  <si>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</si>
  <si>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</si>
  <si>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</si>
  <si>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</si>
  <si>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</si>
  <si>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</si>
  <si>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</si>
  <si>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</si>
  <si>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</si>
  <si>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</si>
  <si>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</si>
  <si>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</si>
  <si>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</si>
  <si>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</si>
  <si>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</si>
  <si>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</si>
  <si>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</si>
  <si>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</si>
  <si>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</si>
  <si>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</si>
  <si>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</si>
  <si>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</si>
  <si>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</si>
  <si>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</si>
  <si>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</si>
  <si>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</si>
  <si>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</si>
  <si>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</si>
  <si>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</si>
  <si>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</si>
  <si>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</si>
  <si>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</si>
  <si>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</si>
  <si>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</si>
  <si>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</si>
  <si>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</si>
  <si>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</si>
  <si>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</si>
  <si>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</si>
  <si>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</si>
  <si>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</si>
  <si>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</si>
  <si>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</si>
  <si>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</si>
  <si>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</si>
  <si>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</si>
  <si>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</si>
  <si>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</si>
  <si>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</si>
  <si>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</si>
  <si>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</si>
  <si>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</si>
  <si>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</si>
  <si>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</si>
  <si>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</si>
  <si>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</si>
  <si>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</si>
  <si>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</si>
  <si>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</si>
  <si>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</si>
  <si>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</si>
  <si>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</si>
  <si>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</si>
  <si>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</si>
  <si>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</si>
  <si>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</si>
  <si>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</si>
  <si>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</si>
  <si>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</si>
  <si>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</si>
  <si>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</si>
  <si>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</si>
  <si>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</si>
  <si>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</si>
  <si>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</si>
  <si>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</si>
  <si>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</si>
  <si>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</si>
  <si>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</si>
  <si>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</si>
  <si>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</si>
  <si>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</si>
  <si>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</si>
  <si>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</si>
  <si>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</si>
  <si>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</si>
  <si>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</si>
  <si>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</si>
  <si>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</si>
  <si>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</si>
  <si>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</si>
  <si>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</si>
  <si>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</si>
  <si>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</si>
  <si>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</si>
  <si>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</si>
  <si>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</si>
  <si>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</si>
  <si>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</si>
  <si>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</si>
  <si>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</si>
  <si>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</si>
  <si>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</si>
  <si>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</si>
  <si>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</si>
  <si>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</si>
  <si>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</si>
  <si>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</si>
  <si>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</si>
  <si>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</si>
  <si>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</si>
  <si>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</si>
  <si>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</si>
  <si>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</si>
  <si>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</si>
  <si>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</si>
  <si>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</si>
  <si>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</si>
  <si>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</si>
  <si>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</si>
  <si>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</si>
  <si>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</si>
  <si>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</si>
  <si>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</si>
  <si>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</si>
  <si>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</si>
  <si>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</si>
  <si>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</si>
  <si>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</si>
  <si>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</si>
  <si>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</si>
  <si>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</si>
  <si>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</si>
  <si>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</si>
  <si>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</si>
  <si>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</si>
  <si>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</si>
  <si>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</si>
  <si>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</si>
  <si>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</si>
  <si>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</si>
  <si>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</si>
  <si>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</si>
  <si>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</si>
  <si>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</si>
  <si>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</si>
  <si>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</si>
  <si>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L514</t>
  </si>
  <si>
    <t>L515</t>
  </si>
  <si>
    <t>L516</t>
  </si>
  <si>
    <t>L517</t>
  </si>
  <si>
    <t>L518</t>
  </si>
  <si>
    <t>L519</t>
  </si>
  <si>
    <t>L520</t>
  </si>
  <si>
    <t>L521</t>
  </si>
  <si>
    <t>L522</t>
  </si>
  <si>
    <t>L523</t>
  </si>
  <si>
    <t>L524</t>
  </si>
  <si>
    <t>L525</t>
  </si>
  <si>
    <t>L526</t>
  </si>
  <si>
    <t>L527</t>
  </si>
  <si>
    <t>L528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</si>
  <si>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</si>
  <si>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</si>
  <si>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</si>
  <si>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</si>
  <si>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</si>
  <si>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</si>
  <si>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</si>
  <si>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</si>
  <si>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</si>
  <si>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</si>
  <si>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</si>
  <si>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</si>
  <si>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</si>
  <si>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</si>
  <si>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</si>
  <si>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</si>
  <si>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</si>
  <si>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</si>
  <si>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</si>
  <si>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</si>
  <si>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</si>
  <si>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</si>
  <si>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</si>
  <si>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</si>
  <si>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</si>
  <si>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</si>
  <si>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</si>
  <si>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</si>
  <si>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</si>
  <si>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</si>
  <si>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</si>
  <si>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</si>
  <si>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</si>
  <si>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</si>
  <si>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</si>
  <si>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</si>
  <si>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</si>
  <si>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</si>
  <si>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</si>
  <si>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</si>
  <si>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</si>
  <si>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HealthID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</si>
  <si>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</si>
  <si>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</si>
  <si>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</si>
  <si>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</si>
  <si>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</si>
  <si>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</si>
  <si>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</si>
  <si>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</si>
  <si>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</si>
  <si>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</si>
  <si>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</si>
  <si>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</si>
  <si>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</si>
  <si>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</si>
  <si>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H017</t>
  </si>
  <si>
    <t>H018</t>
  </si>
  <si>
    <t>H019</t>
  </si>
  <si>
    <t>H020</t>
  </si>
  <si>
    <t>H021</t>
  </si>
  <si>
    <t>H022</t>
  </si>
  <si>
    <t>H023</t>
  </si>
  <si>
    <t>H024</t>
  </si>
  <si>
    <t>H029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</si>
  <si>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</si>
  <si>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</si>
  <si>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</si>
  <si>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</si>
  <si>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</si>
  <si>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</si>
  <si>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</si>
  <si>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</si>
  <si>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</si>
  <si>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</si>
  <si>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</si>
  <si>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</si>
  <si>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</si>
  <si>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</si>
  <si>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</si>
  <si>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</si>
  <si>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</si>
  <si>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</si>
  <si>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</si>
  <si>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</si>
  <si>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</si>
  <si>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</si>
  <si>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</si>
  <si>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</si>
  <si>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</si>
  <si>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</si>
  <si>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</si>
  <si>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</si>
  <si>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</si>
  <si>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</si>
  <si>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</si>
  <si>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</si>
  <si>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</si>
  <si>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</si>
  <si>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</si>
  <si>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</si>
  <si>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</si>
  <si>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</si>
  <si>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</si>
  <si>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</si>
  <si>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</si>
  <si>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</si>
  <si>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</si>
  <si>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</si>
  <si>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</si>
  <si>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</si>
  <si>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</si>
  <si>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</si>
  <si>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</si>
  <si>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</si>
  <si>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</si>
  <si>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</si>
  <si>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</si>
  <si>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</si>
  <si>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</si>
  <si>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</si>
  <si>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</si>
  <si>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</si>
  <si>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</si>
  <si>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</si>
  <si>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</si>
  <si>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</si>
  <si>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</si>
  <si>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</si>
  <si>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</si>
  <si>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</si>
  <si>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</si>
  <si>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</si>
  <si>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</si>
  <si>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</si>
  <si>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</si>
  <si>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</si>
  <si>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</si>
  <si>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</si>
  <si>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</si>
  <si>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</si>
  <si>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</si>
  <si>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</si>
  <si>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</si>
  <si>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</si>
  <si>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</si>
  <si>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</si>
  <si>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</si>
  <si>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</si>
  <si>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</si>
  <si>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</si>
  <si>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</si>
  <si>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</si>
  <si>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</si>
  <si>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</si>
  <si>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</si>
  <si>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</si>
  <si>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</si>
  <si>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</si>
  <si>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</si>
  <si>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</si>
  <si>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</si>
  <si>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</si>
  <si>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</si>
  <si>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</si>
  <si>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</si>
  <si>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</si>
  <si>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</si>
  <si>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</si>
  <si>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</si>
  <si>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</si>
  <si>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</si>
  <si>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</si>
  <si>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</si>
  <si>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</si>
  <si>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</si>
  <si>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</si>
  <si>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</si>
  <si>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</si>
  <si>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</si>
  <si>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</si>
  <si>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</si>
  <si>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</si>
  <si>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</si>
  <si>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</si>
  <si>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</si>
  <si>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</si>
  <si>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</si>
  <si>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</si>
  <si>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</si>
  <si>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</si>
  <si>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</si>
  <si>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</si>
  <si>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</si>
  <si>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</si>
  <si>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</si>
  <si>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</si>
  <si>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</si>
  <si>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</si>
  <si>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</si>
  <si>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</si>
  <si>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</si>
  <si>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</si>
  <si>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</si>
  <si>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</si>
  <si>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</si>
  <si>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</si>
  <si>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</si>
  <si>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</si>
  <si>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</si>
  <si>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</si>
  <si>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</si>
  <si>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</si>
  <si>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</si>
  <si>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</si>
  <si>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</si>
  <si>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</si>
  <si>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</si>
  <si>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</si>
  <si>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</si>
  <si>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</si>
  <si>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</si>
  <si>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</si>
  <si>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</si>
  <si>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</si>
  <si>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</si>
  <si>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</si>
  <si>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</si>
  <si>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</si>
  <si>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</si>
  <si>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</si>
  <si>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</si>
  <si>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</si>
  <si>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</si>
  <si>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</si>
  <si>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</si>
  <si>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</si>
  <si>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</si>
  <si>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</si>
  <si>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</si>
  <si>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</si>
  <si>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</si>
  <si>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</si>
  <si>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</si>
  <si>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</si>
  <si>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</si>
  <si>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</si>
  <si>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</si>
  <si>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</si>
  <si>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</si>
  <si>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</si>
  <si>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</si>
  <si>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</si>
  <si>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</si>
  <si>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</si>
  <si>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</si>
  <si>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</si>
  <si>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</si>
  <si>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</si>
  <si>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</si>
  <si>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</si>
  <si>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</si>
  <si>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</si>
  <si>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</si>
  <si>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</si>
  <si>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</si>
  <si>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</si>
  <si>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</si>
  <si>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</si>
  <si>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</si>
  <si>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</si>
  <si>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</si>
  <si>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</si>
  <si>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</si>
  <si>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</si>
  <si>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</si>
  <si>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</si>
  <si>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</si>
  <si>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</si>
  <si>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</si>
  <si>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</si>
  <si>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</si>
  <si>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</si>
  <si>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</si>
  <si>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</si>
  <si>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</si>
  <si>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</si>
  <si>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</si>
  <si>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</si>
  <si>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</si>
  <si>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</si>
  <si>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</si>
  <si>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</si>
  <si>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</si>
  <si>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</si>
  <si>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</si>
  <si>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</si>
  <si>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</si>
  <si>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</si>
  <si>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</si>
  <si>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</si>
  <si>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</si>
  <si>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</si>
  <si>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</si>
  <si>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</si>
  <si>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</si>
  <si>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</si>
  <si>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</si>
  <si>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</si>
  <si>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</si>
  <si>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</si>
  <si>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</si>
  <si>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</si>
  <si>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</si>
  <si>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</si>
  <si>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</si>
  <si>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</si>
  <si>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</si>
  <si>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</si>
  <si>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</si>
  <si>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</si>
  <si>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</si>
  <si>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</si>
  <si>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</si>
  <si>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</si>
  <si>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</si>
  <si>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</si>
  <si>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</si>
  <si>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</si>
  <si>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</si>
  <si>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</si>
  <si>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</si>
  <si>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</si>
  <si>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</si>
  <si>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</si>
  <si>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</si>
  <si>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</si>
  <si>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</si>
  <si>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</si>
  <si>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</si>
  <si>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</si>
  <si>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</si>
  <si>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</si>
  <si>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</si>
  <si>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</si>
  <si>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</si>
  <si>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</si>
  <si>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</si>
  <si>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</si>
  <si>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</si>
  <si>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</si>
  <si>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</si>
  <si>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</si>
  <si>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</si>
  <si>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</si>
  <si>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</si>
  <si>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</si>
  <si>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</si>
  <si>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</si>
  <si>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</si>
  <si>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</si>
  <si>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</si>
  <si>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</si>
  <si>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</si>
  <si>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</si>
  <si>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</si>
  <si>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</si>
  <si>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</si>
  <si>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</si>
  <si>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</si>
  <si>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</si>
  <si>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</si>
  <si>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</si>
  <si>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</si>
  <si>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</si>
  <si>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</si>
  <si>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</si>
  <si>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</si>
  <si>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</si>
  <si>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</si>
  <si>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</si>
  <si>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</si>
  <si>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</si>
  <si>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</si>
  <si>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</si>
  <si>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</si>
  <si>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</si>
  <si>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</si>
  <si>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</si>
  <si>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</si>
  <si>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</si>
  <si>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</si>
  <si>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</si>
  <si>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</si>
  <si>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</si>
  <si>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</si>
  <si>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</si>
  <si>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</si>
  <si>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</si>
  <si>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</si>
  <si>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</si>
  <si>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</si>
  <si>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</si>
  <si>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</si>
  <si>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</si>
  <si>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</si>
  <si>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</si>
  <si>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</si>
  <si>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</si>
  <si>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</si>
  <si>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</si>
  <si>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</si>
  <si>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</si>
  <si>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</si>
  <si>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</si>
  <si>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</si>
  <si>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</si>
  <si>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</si>
  <si>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</si>
  <si>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</si>
  <si>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</si>
  <si>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</si>
  <si>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</si>
  <si>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</si>
  <si>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</si>
  <si>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</si>
  <si>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</si>
  <si>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</si>
  <si>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</si>
  <si>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</si>
  <si>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</si>
  <si>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</si>
  <si>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</si>
  <si>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</si>
  <si>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</si>
  <si>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</si>
  <si>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</si>
  <si>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</si>
  <si>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</si>
  <si>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</si>
  <si>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</si>
  <si>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</si>
  <si>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</si>
  <si>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</si>
  <si>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</si>
  <si>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</si>
  <si>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</si>
  <si>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</si>
  <si>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</si>
  <si>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</si>
  <si>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</si>
  <si>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</si>
  <si>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</si>
  <si>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</si>
  <si>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</si>
  <si>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</si>
  <si>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</si>
  <si>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</si>
  <si>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</si>
  <si>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</si>
  <si>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</si>
  <si>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</si>
  <si>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</si>
  <si>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</si>
  <si>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</si>
  <si>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</si>
  <si>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</si>
  <si>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</si>
  <si>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</si>
  <si>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</si>
  <si>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</si>
  <si>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</si>
  <si>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</si>
  <si>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</si>
  <si>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</si>
  <si>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</si>
  <si>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</si>
  <si>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</si>
  <si>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</si>
  <si>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</si>
  <si>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</si>
  <si>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</si>
  <si>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</si>
  <si>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</si>
  <si>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</si>
  <si>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</si>
  <si>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</si>
  <si>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</si>
  <si>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</si>
  <si>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</si>
  <si>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</si>
  <si>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</si>
  <si>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</si>
  <si>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</si>
  <si>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</si>
  <si>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</si>
  <si>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</si>
  <si>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</si>
  <si>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</si>
  <si>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</si>
  <si>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</si>
  <si>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</si>
  <si>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</si>
  <si>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</si>
  <si>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</si>
  <si>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</si>
  <si>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</si>
  <si>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</si>
  <si>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</si>
  <si>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</si>
  <si>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</si>
  <si>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</si>
  <si>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</si>
  <si>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</si>
  <si>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</si>
  <si>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</si>
  <si>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</si>
  <si>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</si>
  <si>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</si>
  <si>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</si>
  <si>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</si>
  <si>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</si>
  <si>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</si>
  <si>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</si>
  <si>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</si>
  <si>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</si>
  <si>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</si>
  <si>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</si>
  <si>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</si>
  <si>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</si>
  <si>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</si>
  <si>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</si>
  <si>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</si>
  <si>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</si>
  <si>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</si>
  <si>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</si>
  <si>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</si>
  <si>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</si>
  <si>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</si>
  <si>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</si>
  <si>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</si>
  <si>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</si>
  <si>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</si>
  <si>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</si>
  <si>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</si>
  <si>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</si>
  <si>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</si>
  <si>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</si>
  <si>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</si>
  <si>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</si>
  <si>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</si>
  <si>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</si>
  <si>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</si>
  <si>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</si>
  <si>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</si>
  <si>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</si>
  <si>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</si>
  <si>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</si>
  <si>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</si>
  <si>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</si>
  <si>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</si>
  <si>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</si>
  <si>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</si>
  <si>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</si>
  <si>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</si>
  <si>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</si>
  <si>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</si>
  <si>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</si>
  <si>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</si>
  <si>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</si>
  <si>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</si>
  <si>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</si>
  <si>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</si>
  <si>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</si>
  <si>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</si>
  <si>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</si>
  <si>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</si>
  <si>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</si>
  <si>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</si>
  <si>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</si>
  <si>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</si>
  <si>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</si>
  <si>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</si>
  <si>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</si>
  <si>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</si>
  <si>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</si>
  <si>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</si>
  <si>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</si>
  <si>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</si>
  <si>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</si>
  <si>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</si>
  <si>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</si>
  <si>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</si>
  <si>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</si>
  <si>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</si>
  <si>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</si>
  <si>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</si>
  <si>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</si>
  <si>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</si>
  <si>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</si>
  <si>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</si>
  <si>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</si>
  <si>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</si>
  <si>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</si>
  <si>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Sleep Duration in Hours</t>
  </si>
  <si>
    <t>Late Wakeup</t>
  </si>
  <si>
    <t>Yes Initial</t>
  </si>
  <si>
    <t>Initial Without Tv</t>
  </si>
  <si>
    <t>Some Times</t>
  </si>
  <si>
    <t>No Problem</t>
  </si>
  <si>
    <t xml:space="preserve">Sleep Paralysis </t>
  </si>
  <si>
    <t>Veg</t>
  </si>
  <si>
    <t>Non Veg</t>
  </si>
  <si>
    <t>Fever</t>
  </si>
  <si>
    <t>Stomach Pain</t>
  </si>
  <si>
    <t>Asthma</t>
  </si>
  <si>
    <t>Acidity</t>
  </si>
  <si>
    <t>Particular Disease</t>
  </si>
  <si>
    <t>Symptoms</t>
  </si>
  <si>
    <t>Medical ID</t>
  </si>
  <si>
    <t>M001</t>
  </si>
  <si>
    <t>M002</t>
  </si>
  <si>
    <t>M003</t>
  </si>
  <si>
    <t>M005</t>
  </si>
  <si>
    <t>M006</t>
  </si>
  <si>
    <t>M007</t>
  </si>
  <si>
    <t>M008</t>
  </si>
  <si>
    <t>M009</t>
  </si>
  <si>
    <t>M012</t>
  </si>
  <si>
    <t>M013</t>
  </si>
  <si>
    <t>M015</t>
  </si>
  <si>
    <t>M016</t>
  </si>
  <si>
    <t>M025</t>
  </si>
  <si>
    <t>M026</t>
  </si>
  <si>
    <t>M027</t>
  </si>
  <si>
    <t>M028</t>
  </si>
  <si>
    <t>M030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</si>
  <si>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</si>
  <si>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</si>
  <si>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</si>
  <si>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</si>
  <si>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</si>
  <si>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</si>
  <si>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</si>
  <si>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</si>
  <si>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</si>
  <si>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</si>
  <si>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</si>
  <si>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</si>
  <si>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</si>
  <si>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</si>
  <si>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</si>
  <si>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</si>
  <si>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</si>
  <si>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</si>
  <si>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</si>
  <si>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</si>
  <si>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</si>
  <si>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</si>
  <si>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</si>
  <si>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</si>
  <si>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</si>
  <si>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</si>
  <si>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</si>
  <si>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</si>
  <si>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</si>
  <si>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</si>
  <si>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</si>
  <si>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</si>
  <si>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</si>
  <si>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</si>
  <si>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</si>
  <si>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</si>
  <si>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</si>
  <si>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</si>
  <si>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</si>
  <si>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</si>
  <si>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</si>
  <si>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</si>
  <si>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</si>
  <si>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</si>
  <si>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</si>
  <si>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</si>
  <si>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</si>
  <si>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</si>
  <si>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</si>
  <si>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</si>
  <si>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</si>
  <si>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</si>
  <si>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</si>
  <si>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</si>
  <si>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</si>
  <si>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</si>
  <si>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</si>
  <si>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</si>
  <si>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</si>
  <si>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</si>
  <si>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</si>
  <si>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</si>
  <si>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</si>
  <si>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</si>
  <si>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</si>
  <si>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</si>
  <si>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</si>
  <si>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</si>
  <si>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</si>
  <si>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</si>
  <si>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</si>
  <si>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</si>
  <si>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</si>
  <si>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</si>
  <si>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</si>
  <si>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</si>
  <si>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</si>
  <si>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</si>
  <si>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</si>
  <si>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</si>
  <si>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</si>
  <si>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</si>
  <si>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</si>
  <si>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</si>
  <si>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</si>
  <si>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</si>
  <si>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</si>
  <si>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</si>
  <si>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</si>
  <si>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</si>
  <si>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</si>
  <si>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</si>
  <si>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</si>
  <si>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</si>
  <si>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</si>
  <si>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</si>
  <si>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</si>
  <si>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</si>
  <si>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</si>
  <si>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</si>
  <si>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</si>
  <si>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</si>
  <si>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</si>
  <si>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</si>
  <si>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</si>
  <si>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</si>
  <si>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</si>
  <si>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</si>
  <si>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</si>
  <si>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</si>
  <si>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</si>
  <si>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</si>
  <si>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</si>
  <si>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</si>
  <si>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</si>
  <si>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</si>
  <si>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</si>
  <si>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</si>
  <si>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</si>
  <si>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</si>
  <si>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</si>
  <si>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</si>
  <si>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</si>
  <si>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</si>
  <si>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</si>
  <si>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</si>
  <si>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</si>
  <si>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</si>
  <si>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</si>
  <si>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</si>
  <si>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</si>
  <si>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</si>
  <si>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</si>
  <si>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</si>
  <si>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</si>
  <si>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</si>
  <si>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</si>
  <si>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</si>
  <si>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</si>
  <si>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</si>
  <si>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</si>
  <si>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</si>
  <si>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</si>
  <si>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</si>
  <si>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</si>
  <si>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</si>
  <si>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</si>
  <si>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</si>
  <si>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</si>
  <si>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</si>
  <si>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</si>
  <si>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</si>
  <si>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</si>
  <si>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</si>
  <si>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</si>
  <si>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</si>
  <si>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</si>
  <si>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</si>
  <si>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</si>
  <si>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</si>
  <si>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</si>
  <si>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</si>
  <si>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</si>
  <si>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</si>
  <si>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</si>
  <si>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</si>
  <si>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</si>
  <si>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</si>
  <si>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</si>
  <si>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</si>
  <si>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</si>
  <si>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</si>
  <si>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</si>
  <si>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</si>
  <si>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</si>
  <si>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</si>
  <si>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</si>
  <si>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</si>
  <si>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</si>
  <si>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</si>
  <si>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</si>
  <si>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</si>
  <si>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</si>
  <si>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</si>
  <si>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</si>
  <si>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</si>
  <si>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</si>
  <si>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</si>
  <si>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</si>
  <si>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</si>
  <si>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</si>
  <si>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</si>
  <si>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</si>
  <si>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</si>
  <si>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</si>
  <si>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</si>
  <si>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</si>
  <si>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</si>
  <si>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</si>
  <si>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</si>
  <si>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</si>
  <si>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</si>
  <si>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</si>
  <si>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</si>
  <si>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</si>
  <si>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</si>
  <si>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</si>
  <si>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</si>
  <si>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</si>
  <si>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</si>
  <si>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</si>
  <si>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</si>
  <si>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</si>
  <si>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</si>
  <si>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</si>
  <si>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</si>
  <si>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</si>
  <si>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</si>
  <si>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</si>
  <si>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</si>
  <si>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</si>
  <si>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</si>
  <si>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</si>
  <si>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</si>
  <si>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</si>
  <si>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</si>
  <si>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</si>
  <si>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</si>
  <si>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</si>
  <si>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</si>
  <si>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</si>
  <si>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</si>
  <si>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</si>
  <si>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</si>
  <si>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</si>
  <si>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</si>
  <si>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</si>
  <si>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</si>
  <si>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</si>
  <si>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</si>
  <si>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</si>
  <si>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</si>
  <si>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</si>
  <si>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</si>
  <si>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</si>
  <si>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</si>
  <si>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</si>
  <si>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</si>
  <si>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</si>
  <si>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</si>
  <si>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</si>
  <si>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</si>
  <si>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</si>
  <si>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</si>
  <si>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</si>
  <si>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</si>
  <si>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</si>
  <si>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</si>
  <si>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</si>
  <si>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</si>
  <si>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</si>
  <si>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</si>
  <si>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</si>
  <si>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</si>
  <si>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</si>
  <si>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</si>
  <si>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</si>
  <si>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</si>
  <si>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</si>
  <si>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</si>
  <si>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</si>
  <si>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</si>
  <si>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</si>
  <si>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</si>
  <si>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</si>
  <si>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</si>
  <si>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</si>
  <si>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</si>
  <si>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</si>
  <si>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</si>
  <si>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</si>
  <si>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</si>
  <si>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</si>
  <si>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</si>
  <si>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</si>
  <si>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</si>
  <si>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</si>
  <si>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</si>
  <si>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</si>
  <si>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</si>
  <si>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</si>
  <si>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</si>
  <si>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</si>
  <si>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</si>
  <si>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</si>
  <si>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</si>
  <si>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</si>
  <si>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</si>
  <si>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</si>
  <si>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</si>
  <si>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</si>
  <si>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</si>
  <si>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</si>
  <si>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</si>
  <si>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</si>
  <si>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</si>
  <si>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</si>
  <si>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</si>
  <si>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</si>
  <si>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</si>
  <si>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</si>
  <si>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</si>
  <si>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</si>
  <si>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</si>
  <si>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</si>
  <si>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</si>
  <si>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</si>
  <si>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</si>
  <si>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</si>
  <si>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</si>
  <si>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</si>
  <si>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</si>
  <si>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</si>
  <si>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</si>
  <si>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</si>
  <si>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</si>
  <si>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</si>
  <si>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</si>
  <si>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</si>
  <si>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</si>
  <si>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</si>
  <si>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</si>
  <si>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</si>
  <si>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</si>
  <si>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</si>
  <si>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</si>
  <si>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</si>
  <si>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</si>
  <si>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</si>
  <si>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</si>
  <si>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</si>
  <si>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</si>
  <si>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</si>
  <si>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</si>
  <si>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</si>
  <si>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</si>
  <si>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</si>
  <si>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</si>
  <si>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</si>
  <si>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</si>
  <si>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</si>
  <si>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</si>
  <si>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</si>
  <si>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</si>
  <si>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</si>
  <si>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</si>
  <si>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</si>
  <si>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</si>
  <si>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</si>
  <si>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</si>
  <si>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</si>
  <si>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</si>
  <si>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</si>
  <si>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</si>
  <si>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</si>
  <si>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</si>
  <si>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</si>
  <si>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</si>
  <si>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</si>
  <si>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</si>
  <si>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</si>
  <si>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</si>
  <si>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</si>
  <si>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</si>
  <si>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</si>
  <si>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</si>
  <si>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</si>
  <si>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</si>
  <si>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</si>
  <si>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</si>
  <si>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</si>
  <si>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</si>
  <si>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</si>
  <si>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</si>
  <si>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</si>
  <si>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</si>
  <si>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</si>
  <si>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</si>
  <si>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</si>
  <si>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</si>
  <si>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</si>
  <si>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</si>
  <si>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</si>
  <si>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</si>
  <si>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</si>
  <si>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</si>
  <si>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</si>
  <si>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</si>
  <si>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</si>
  <si>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</si>
  <si>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</si>
  <si>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</si>
  <si>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</si>
  <si>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</si>
  <si>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</si>
  <si>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</si>
  <si>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</si>
  <si>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</si>
  <si>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</si>
  <si>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</si>
  <si>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</si>
  <si>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</si>
  <si>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</si>
  <si>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</si>
  <si>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</si>
  <si>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</si>
  <si>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</si>
  <si>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</si>
  <si>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</si>
  <si>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</si>
  <si>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</si>
  <si>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</si>
  <si>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</si>
  <si>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</si>
  <si>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</si>
  <si>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</si>
  <si>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</si>
  <si>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</si>
  <si>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</si>
  <si>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</si>
  <si>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</si>
  <si>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</si>
  <si>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</si>
  <si>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</si>
  <si>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</si>
  <si>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</si>
  <si>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</si>
  <si>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</si>
  <si>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</si>
  <si>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</si>
  <si>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</si>
  <si>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</si>
  <si>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</si>
  <si>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</si>
  <si>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</si>
  <si>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</si>
  <si>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</si>
  <si>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</si>
  <si>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</si>
  <si>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</si>
  <si>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</si>
  <si>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</si>
  <si>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</si>
  <si>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</si>
  <si>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</si>
  <si>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</si>
  <si>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</si>
  <si>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</si>
  <si>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</si>
  <si>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</si>
  <si>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</si>
  <si>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</si>
  <si>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</si>
  <si>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</si>
  <si>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</si>
  <si>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</si>
  <si>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</si>
  <si>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</si>
  <si>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</si>
  <si>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</si>
  <si>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</si>
  <si>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</si>
  <si>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</si>
  <si>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</si>
  <si>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</si>
  <si>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</si>
  <si>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</si>
  <si>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</si>
  <si>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</si>
  <si>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</si>
  <si>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</si>
  <si>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</si>
  <si>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</si>
  <si>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</si>
  <si>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</si>
  <si>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</si>
  <si>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</si>
  <si>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</si>
  <si>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</si>
  <si>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</si>
  <si>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</si>
  <si>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</si>
  <si>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</si>
  <si>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</si>
  <si>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</si>
  <si>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</si>
  <si>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</si>
  <si>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</si>
  <si>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</si>
  <si>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</si>
  <si>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</si>
  <si>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</si>
  <si>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</si>
  <si>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</si>
  <si>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</si>
  <si>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</si>
  <si>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</si>
  <si>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</si>
  <si>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</si>
  <si>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</si>
  <si>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</si>
  <si>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</si>
  <si>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</si>
  <si>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</si>
  <si>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</si>
  <si>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</si>
  <si>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</si>
  <si>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</si>
  <si>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</si>
  <si>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</si>
  <si>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</si>
  <si>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</si>
  <si>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</si>
  <si>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</si>
  <si>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</si>
  <si>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</si>
  <si>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</si>
  <si>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</si>
  <si>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</si>
  <si>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</si>
  <si>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</si>
  <si>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</si>
  <si>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</si>
  <si>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</si>
  <si>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</si>
  <si>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</si>
  <si>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</si>
  <si>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</si>
  <si>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Ab+</t>
  </si>
  <si>
    <t>Ab-</t>
  </si>
  <si>
    <t>A-</t>
  </si>
  <si>
    <t>O-</t>
  </si>
  <si>
    <t>Blood Group</t>
  </si>
  <si>
    <t>Alzheimer's</t>
  </si>
  <si>
    <t>Diabetes</t>
  </si>
  <si>
    <t>Migraine</t>
  </si>
  <si>
    <t>No Disease</t>
  </si>
  <si>
    <t>Overthinking</t>
  </si>
  <si>
    <t xml:space="preserve"> Stress</t>
  </si>
  <si>
    <t xml:space="preserve"> Anxiety</t>
  </si>
  <si>
    <t>Seasonal</t>
  </si>
  <si>
    <t>Pimples</t>
  </si>
  <si>
    <t>Flu</t>
  </si>
  <si>
    <t>Skin</t>
  </si>
  <si>
    <t>CRH001</t>
  </si>
  <si>
    <t>CRH002</t>
  </si>
  <si>
    <t>CRH003</t>
  </si>
  <si>
    <t>CRH004</t>
  </si>
  <si>
    <t>CRH005</t>
  </si>
  <si>
    <t>CRH006</t>
  </si>
  <si>
    <t>CRH007</t>
  </si>
  <si>
    <t>CRH008</t>
  </si>
  <si>
    <t>CRH009</t>
  </si>
  <si>
    <t>CRH010</t>
  </si>
  <si>
    <t>CRH011</t>
  </si>
  <si>
    <t>CRH012</t>
  </si>
  <si>
    <t>CRH013</t>
  </si>
  <si>
    <t>CRH014</t>
  </si>
  <si>
    <t>Food Poisoning</t>
  </si>
  <si>
    <t>Scabies</t>
  </si>
  <si>
    <t>Common Region Health Concerns</t>
  </si>
  <si>
    <t>Chickenpox</t>
  </si>
  <si>
    <t>Cold</t>
  </si>
  <si>
    <t>Cough</t>
  </si>
  <si>
    <t>Hygiene Problem</t>
  </si>
  <si>
    <t>Malaria</t>
  </si>
  <si>
    <t>No Problems</t>
  </si>
  <si>
    <t>Viral Fever</t>
  </si>
  <si>
    <t>Common Regional Health Concern ID</t>
  </si>
  <si>
    <t>Common Region Health Concerns ID</t>
  </si>
  <si>
    <t xml:space="preserve">Common Region Health Concerns </t>
  </si>
  <si>
    <t>English</t>
  </si>
  <si>
    <t>Gujarati</t>
  </si>
  <si>
    <t>Haryanvi</t>
  </si>
  <si>
    <t>Communication 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</si>
  <si>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</si>
  <si>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</si>
  <si>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</si>
  <si>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</si>
  <si>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</si>
  <si>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</si>
  <si>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</si>
  <si>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</si>
  <si>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</si>
  <si>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</si>
  <si>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</si>
  <si>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</si>
  <si>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</si>
  <si>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</si>
  <si>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</si>
  <si>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</si>
  <si>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</si>
  <si>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</si>
  <si>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</si>
  <si>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</si>
  <si>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</si>
  <si>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</si>
  <si>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</si>
  <si>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</si>
  <si>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</si>
  <si>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</si>
  <si>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</si>
  <si>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</si>
  <si>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</si>
  <si>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</si>
  <si>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</si>
  <si>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</si>
  <si>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</si>
  <si>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</si>
  <si>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</si>
  <si>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</si>
  <si>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</si>
  <si>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</si>
  <si>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</si>
  <si>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</si>
  <si>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</si>
  <si>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</si>
  <si>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</si>
  <si>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</si>
  <si>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</si>
  <si>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</si>
  <si>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</si>
  <si>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</si>
  <si>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</si>
  <si>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</si>
  <si>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</si>
  <si>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</si>
  <si>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</si>
  <si>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</si>
  <si>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</si>
  <si>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</si>
  <si>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</si>
  <si>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</si>
  <si>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</si>
  <si>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</si>
  <si>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</si>
  <si>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</si>
  <si>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</si>
  <si>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</si>
  <si>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</si>
  <si>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</si>
  <si>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</si>
  <si>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</si>
  <si>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</si>
  <si>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</si>
  <si>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</si>
  <si>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</si>
  <si>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</si>
  <si>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</si>
  <si>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</si>
  <si>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</si>
  <si>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</si>
  <si>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</si>
  <si>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</si>
  <si>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</si>
  <si>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</si>
  <si>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</si>
  <si>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</si>
  <si>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</si>
  <si>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</si>
  <si>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</si>
  <si>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</si>
  <si>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</si>
  <si>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</si>
  <si>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</si>
  <si>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</si>
  <si>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</si>
  <si>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</si>
  <si>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</si>
  <si>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</si>
  <si>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</si>
  <si>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</si>
  <si>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</si>
  <si>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</si>
  <si>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</si>
  <si>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</si>
  <si>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</si>
  <si>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</si>
  <si>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</si>
  <si>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</si>
  <si>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</si>
  <si>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</si>
  <si>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</si>
  <si>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</si>
  <si>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</si>
  <si>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</si>
  <si>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</si>
  <si>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</si>
  <si>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</si>
  <si>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</si>
  <si>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</si>
  <si>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</si>
  <si>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</si>
  <si>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</si>
  <si>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</si>
  <si>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</si>
  <si>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</si>
  <si>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</si>
  <si>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</si>
  <si>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</si>
  <si>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</si>
  <si>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</si>
  <si>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</si>
  <si>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</si>
  <si>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</si>
  <si>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</si>
  <si>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</si>
  <si>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</si>
  <si>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</si>
  <si>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</si>
  <si>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</si>
  <si>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</si>
  <si>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</si>
  <si>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</si>
  <si>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</si>
  <si>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</si>
  <si>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</si>
  <si>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</si>
  <si>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</si>
  <si>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</si>
  <si>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</si>
  <si>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</si>
  <si>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</si>
  <si>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</si>
  <si>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</si>
  <si>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</si>
  <si>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</si>
  <si>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</si>
  <si>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</si>
  <si>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</si>
  <si>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</si>
  <si>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</si>
  <si>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</si>
  <si>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</si>
  <si>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</si>
  <si>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</si>
  <si>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</si>
  <si>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</si>
  <si>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</si>
  <si>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</si>
  <si>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</si>
  <si>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</si>
  <si>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</si>
  <si>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</si>
  <si>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</si>
  <si>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</si>
  <si>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</si>
  <si>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</si>
  <si>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</si>
  <si>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</si>
  <si>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</si>
  <si>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</si>
  <si>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</si>
  <si>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</si>
  <si>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</si>
  <si>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</si>
  <si>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</si>
  <si>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</si>
  <si>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</si>
  <si>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</si>
  <si>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</si>
  <si>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</si>
  <si>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</si>
  <si>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</si>
  <si>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</si>
  <si>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</si>
  <si>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</si>
  <si>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</si>
  <si>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</si>
  <si>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</si>
  <si>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</si>
  <si>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</si>
  <si>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</si>
  <si>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</si>
  <si>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</si>
  <si>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</si>
  <si>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</si>
  <si>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</si>
  <si>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</si>
  <si>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</si>
  <si>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</si>
  <si>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</si>
  <si>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</si>
  <si>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</si>
  <si>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</si>
  <si>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</si>
  <si>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</si>
  <si>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</si>
  <si>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</si>
  <si>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</si>
  <si>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</si>
  <si>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</si>
  <si>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</si>
  <si>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</si>
  <si>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</si>
  <si>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</si>
  <si>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</si>
  <si>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</si>
  <si>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</si>
  <si>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</si>
  <si>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</si>
  <si>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</si>
  <si>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</si>
  <si>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</si>
  <si>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</si>
  <si>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</si>
  <si>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</si>
  <si>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</si>
  <si>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</si>
  <si>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</si>
  <si>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</si>
  <si>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</si>
  <si>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</si>
  <si>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</si>
  <si>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</si>
  <si>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</si>
  <si>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</si>
  <si>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</si>
  <si>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</si>
  <si>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</si>
  <si>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</si>
  <si>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</si>
  <si>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</si>
  <si>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</si>
  <si>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</si>
  <si>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</si>
  <si>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</si>
  <si>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</si>
  <si>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</si>
  <si>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</si>
  <si>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</si>
  <si>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</si>
  <si>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</si>
  <si>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</si>
  <si>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</si>
  <si>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</si>
  <si>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</si>
  <si>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</si>
  <si>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</si>
  <si>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</si>
  <si>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</si>
  <si>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</si>
  <si>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</si>
  <si>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</si>
  <si>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</si>
  <si>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</si>
  <si>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</si>
  <si>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</si>
  <si>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</si>
  <si>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</si>
  <si>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</si>
  <si>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</si>
  <si>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</si>
  <si>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</si>
  <si>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</si>
  <si>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</si>
  <si>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</si>
  <si>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</si>
  <si>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</si>
  <si>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</si>
  <si>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</si>
  <si>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</si>
  <si>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</si>
  <si>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</si>
  <si>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</si>
  <si>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</si>
  <si>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</si>
  <si>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</si>
  <si>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</si>
  <si>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</si>
  <si>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</si>
  <si>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</si>
  <si>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</si>
  <si>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</si>
  <si>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</si>
  <si>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</si>
  <si>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</si>
  <si>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</si>
  <si>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</si>
  <si>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</si>
  <si>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</si>
  <si>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</si>
  <si>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</si>
  <si>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</si>
  <si>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</si>
  <si>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</si>
  <si>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</si>
  <si>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</si>
  <si>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</si>
  <si>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</si>
  <si>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</si>
  <si>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</si>
  <si>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</si>
  <si>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</si>
  <si>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</si>
  <si>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</si>
  <si>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</si>
  <si>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</si>
  <si>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</si>
  <si>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</si>
  <si>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</si>
  <si>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</si>
  <si>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</si>
  <si>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</si>
  <si>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</si>
  <si>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</si>
  <si>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</si>
  <si>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</si>
  <si>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</si>
  <si>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</si>
  <si>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</si>
  <si>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</si>
  <si>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</si>
  <si>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</si>
  <si>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</si>
  <si>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</si>
  <si>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</si>
  <si>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</si>
  <si>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</si>
  <si>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</si>
  <si>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</si>
  <si>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</si>
  <si>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</si>
  <si>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</si>
  <si>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</si>
  <si>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</si>
  <si>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</si>
  <si>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</si>
  <si>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</si>
  <si>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</si>
  <si>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</si>
  <si>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</si>
  <si>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</si>
  <si>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</si>
  <si>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</si>
  <si>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</si>
  <si>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</si>
  <si>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</si>
  <si>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</si>
  <si>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</si>
  <si>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</si>
  <si>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</si>
  <si>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</si>
  <si>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</si>
  <si>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</si>
  <si>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</si>
  <si>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</si>
  <si>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</si>
  <si>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</si>
  <si>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</si>
  <si>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</si>
  <si>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</si>
  <si>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</si>
  <si>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</si>
  <si>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</si>
  <si>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</si>
  <si>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</si>
  <si>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</si>
  <si>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</si>
  <si>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</si>
  <si>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</si>
  <si>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</si>
  <si>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</si>
  <si>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</si>
  <si>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</si>
  <si>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</si>
  <si>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</si>
  <si>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</si>
  <si>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</si>
  <si>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</si>
  <si>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</si>
  <si>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</si>
  <si>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</si>
  <si>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</si>
  <si>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</si>
  <si>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</si>
  <si>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</si>
  <si>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</si>
  <si>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</si>
  <si>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</si>
  <si>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</si>
  <si>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</si>
  <si>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</si>
  <si>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</si>
  <si>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</si>
  <si>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</si>
  <si>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</si>
  <si>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</si>
  <si>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</si>
  <si>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</si>
  <si>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</si>
  <si>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</si>
  <si>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</si>
  <si>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</si>
  <si>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</si>
  <si>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</si>
  <si>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</si>
  <si>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</si>
  <si>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</si>
  <si>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</si>
  <si>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</si>
  <si>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</si>
  <si>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</si>
  <si>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</si>
  <si>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</si>
  <si>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</si>
  <si>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</si>
  <si>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</si>
  <si>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</si>
  <si>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</si>
  <si>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</si>
  <si>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</si>
  <si>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</si>
  <si>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</si>
  <si>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</si>
  <si>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</si>
  <si>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</si>
  <si>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</si>
  <si>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</si>
  <si>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</si>
  <si>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</si>
  <si>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</si>
  <si>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</si>
  <si>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</si>
  <si>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</si>
  <si>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</si>
  <si>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</si>
  <si>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</si>
  <si>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</si>
  <si>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</si>
  <si>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</si>
  <si>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</si>
  <si>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</si>
  <si>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</si>
  <si>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</si>
  <si>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</si>
  <si>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</si>
  <si>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</si>
  <si>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</si>
  <si>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</si>
  <si>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</si>
  <si>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</si>
  <si>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</si>
  <si>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</si>
  <si>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</si>
  <si>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</si>
  <si>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</si>
  <si>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</si>
  <si>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</si>
  <si>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</si>
  <si>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</si>
  <si>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</si>
  <si>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</si>
  <si>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</si>
  <si>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</si>
  <si>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</si>
  <si>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</si>
  <si>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</si>
  <si>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</si>
  <si>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</si>
  <si>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</si>
  <si>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</si>
  <si>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</si>
  <si>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</si>
  <si>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</si>
  <si>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</si>
  <si>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</si>
  <si>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</si>
  <si>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</si>
  <si>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</si>
  <si>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</si>
  <si>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</si>
  <si>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</si>
  <si>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</si>
  <si>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</si>
  <si>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</si>
  <si>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</si>
  <si>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</si>
  <si>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</si>
  <si>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</si>
  <si>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</si>
  <si>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</si>
  <si>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</si>
  <si>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</si>
  <si>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</si>
  <si>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</si>
  <si>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</si>
  <si>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</si>
  <si>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</si>
  <si>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</si>
  <si>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</si>
  <si>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</si>
  <si>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</si>
  <si>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</si>
  <si>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</si>
  <si>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</si>
  <si>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</si>
  <si>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</si>
  <si>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</si>
  <si>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</si>
  <si>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</si>
  <si>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</si>
  <si>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</si>
  <si>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</si>
  <si>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</si>
  <si>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</si>
  <si>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</si>
  <si>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</si>
  <si>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</si>
  <si>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</si>
  <si>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</si>
  <si>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</si>
  <si>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</si>
  <si>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</si>
  <si>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</si>
  <si>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</si>
  <si>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</si>
  <si>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</si>
  <si>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</si>
  <si>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</si>
  <si>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</si>
  <si>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</si>
  <si>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</si>
  <si>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</si>
  <si>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</si>
  <si>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</si>
  <si>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</si>
  <si>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</si>
  <si>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</si>
  <si>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</si>
  <si>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</si>
  <si>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</si>
  <si>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</si>
  <si>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</si>
  <si>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</si>
  <si>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</si>
  <si>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</si>
  <si>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</si>
  <si>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</si>
  <si>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</si>
  <si>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</si>
  <si>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</si>
  <si>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</si>
  <si>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</si>
  <si>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Whatsapp</t>
  </si>
  <si>
    <t>Both</t>
  </si>
  <si>
    <t>DemoID</t>
  </si>
  <si>
    <t>Platform</t>
  </si>
  <si>
    <t>Body Pain</t>
  </si>
  <si>
    <t>Headache</t>
  </si>
  <si>
    <t>Weakness</t>
  </si>
  <si>
    <t>Eye Pain</t>
  </si>
  <si>
    <t>Loose Motion</t>
  </si>
  <si>
    <t>Memory Loss</t>
  </si>
  <si>
    <t>Sneez</t>
  </si>
  <si>
    <t>Heart Pain</t>
  </si>
  <si>
    <t>SymptomsID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</si>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</sst>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0" xfId="0" applyBorder="1"/>
    <xf numFmtId="0" fontId="0" fillId="0" borderId="0" xfId="0" applyAlignment="1">
      <alignment vertical="center" wrapText="1"/>
    </xf>
    <xf numFmtId="0" fontId="16" fillId="33" borderId="10" xfId="0" applyFont="1" applyFill="1" applyBorder="1"/>
    <xf numFmtId="164" fontId="0" fillId="0" borderId="0" xfId="0" applyNumberFormat="1"/>
    <xf numFmtId="1" fontId="0" fillId="0" borderId="0" xfId="0" applyNumberFormat="1"/>
    <xf numFmtId="49" fontId="0" fillId="0" borderId="10" xfId="0" applyNumberFormat="1" applyBorder="1"/>
    <xf numFmtId="1" fontId="0" fillId="0" borderId="10" xfId="0" applyNumberFormat="1" applyBorder="1" applyAlignment="1">
      <alignment horizontal="center" vertical="center"/>
    </xf>
    <xf numFmtId="0" fontId="0" fillId="34" borderId="0" xfId="0" applyFill="1"/>
    <xf numFmtId="49" fontId="0" fillId="34" borderId="0" xfId="0" applyNumberFormat="1" applyFill="1"/>
    <xf numFmtId="1" fontId="0" fillId="34" borderId="0" xfId="0" applyNumberFormat="1" applyFill="1" applyAlignment="1">
      <alignment horizontal="center" vertical="center"/>
    </xf>
    <xf numFmtId="1" fontId="0" fillId="34" borderId="0" xfId="0" applyNumberFormat="1" applyFill="1"/>
    <xf numFmtId="0" fontId="19" fillId="34" borderId="0" xfId="0" applyFont="1" applyFill="1" applyAlignment="1">
      <alignment vertical="center"/>
    </xf>
    <xf numFmtId="0" fontId="0" fillId="34" borderId="0" xfId="0" applyFill="1" applyAlignment="1">
      <alignment horizontal="center" vertical="center"/>
    </xf>
    <xf numFmtId="49" fontId="0" fillId="34" borderId="0" xfId="0" applyNumberFormat="1" applyFill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vertical="center" wrapText="1"/>
    </xf>
    <xf numFmtId="49" fontId="16" fillId="33" borderId="10" xfId="0" applyNumberFormat="1" applyFont="1" applyFill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49" fontId="0" fillId="33" borderId="14" xfId="0" applyNumberFormat="1" applyFill="1" applyBorder="1"/>
    <xf numFmtId="1" fontId="0" fillId="33" borderId="14" xfId="0" applyNumberFormat="1" applyFill="1" applyBorder="1" applyAlignment="1">
      <alignment horizontal="center" vertical="center"/>
    </xf>
    <xf numFmtId="0" fontId="0" fillId="33" borderId="14" xfId="0" applyFill="1" applyBorder="1"/>
    <xf numFmtId="0" fontId="0" fillId="33" borderId="15" xfId="0" applyFill="1" applyBorder="1"/>
    <xf numFmtId="0" fontId="0" fillId="0" borderId="16" xfId="0" applyBorder="1"/>
    <xf numFmtId="49" fontId="0" fillId="0" borderId="17" xfId="0" applyNumberFormat="1" applyBorder="1"/>
    <xf numFmtId="1" fontId="0" fillId="0" borderId="17" xfId="0" applyNumberForma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2" xfId="0" applyBorder="1" applyAlignment="1">
      <alignment horizontal="center"/>
    </xf>
    <xf numFmtId="49" fontId="0" fillId="33" borderId="14" xfId="0" applyNumberFormat="1" applyFill="1" applyBorder="1" applyAlignment="1">
      <alignment horizontal="center"/>
    </xf>
    <xf numFmtId="49" fontId="0" fillId="33" borderId="15" xfId="0" applyNumberFormat="1" applyFill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13" fillId="33" borderId="18" xfId="0" applyFont="1" applyFill="1" applyBorder="1" applyAlignment="1">
      <alignment horizontal="center" vertical="center" wrapText="1"/>
    </xf>
    <xf numFmtId="49" fontId="13" fillId="33" borderId="17" xfId="0" applyNumberFormat="1" applyFont="1" applyFill="1" applyBorder="1" applyAlignment="1">
      <alignment horizontal="center" vertical="center" wrapText="1"/>
    </xf>
    <xf numFmtId="0" fontId="0" fillId="35" borderId="18" xfId="0" applyFill="1" applyBorder="1" applyAlignment="1">
      <alignment vertical="center" wrapText="1"/>
    </xf>
    <xf numFmtId="49" fontId="0" fillId="35" borderId="17" xfId="0" applyNumberFormat="1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49" fontId="0" fillId="0" borderId="17" xfId="0" applyNumberForma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0" fontId="13" fillId="33" borderId="18" xfId="0" applyFont="1" applyFill="1" applyBorder="1"/>
    <xf numFmtId="0" fontId="13" fillId="33" borderId="17" xfId="0" applyFont="1" applyFill="1" applyBorder="1"/>
    <xf numFmtId="0" fontId="0" fillId="35" borderId="18" xfId="0" applyFill="1" applyBorder="1"/>
    <xf numFmtId="0" fontId="0" fillId="35" borderId="17" xfId="0" applyFill="1" applyBorder="1"/>
    <xf numFmtId="0" fontId="0" fillId="0" borderId="19" xfId="0" applyBorder="1"/>
    <xf numFmtId="0" fontId="13" fillId="33" borderId="20" xfId="0" applyFont="1" applyFill="1" applyBorder="1"/>
    <xf numFmtId="0" fontId="0" fillId="35" borderId="19" xfId="0" applyFill="1" applyBorder="1"/>
    <xf numFmtId="0" fontId="13" fillId="33" borderId="0" xfId="0" applyFont="1" applyFill="1"/>
    <xf numFmtId="2" fontId="0" fillId="0" borderId="0" xfId="0" applyNumberFormat="1"/>
    <xf numFmtId="2" fontId="13" fillId="33" borderId="18" xfId="0" applyNumberFormat="1" applyFont="1" applyFill="1" applyBorder="1" applyAlignment="1">
      <alignment horizontal="center" vertical="center"/>
    </xf>
    <xf numFmtId="49" fontId="13" fillId="33" borderId="18" xfId="0" applyNumberFormat="1" applyFont="1" applyFill="1" applyBorder="1"/>
    <xf numFmtId="164" fontId="13" fillId="33" borderId="18" xfId="0" applyNumberFormat="1" applyFont="1" applyFill="1" applyBorder="1" applyAlignment="1">
      <alignment horizontal="center" vertical="center"/>
    </xf>
    <xf numFmtId="0" fontId="0" fillId="35" borderId="18" xfId="0" applyFont="1" applyFill="1" applyBorder="1"/>
    <xf numFmtId="2" fontId="0" fillId="35" borderId="18" xfId="0" applyNumberFormat="1" applyFont="1" applyFill="1" applyBorder="1" applyAlignment="1">
      <alignment horizontal="center" vertical="center"/>
    </xf>
    <xf numFmtId="49" fontId="0" fillId="35" borderId="18" xfId="0" applyNumberFormat="1" applyFont="1" applyFill="1" applyBorder="1"/>
    <xf numFmtId="164" fontId="0" fillId="35" borderId="18" xfId="0" applyNumberFormat="1" applyFont="1" applyFill="1" applyBorder="1" applyAlignment="1">
      <alignment horizontal="center" vertical="center"/>
    </xf>
    <xf numFmtId="0" fontId="0" fillId="0" borderId="18" xfId="0" applyFont="1" applyBorder="1"/>
    <xf numFmtId="2" fontId="0" fillId="0" borderId="18" xfId="0" applyNumberFormat="1" applyFont="1" applyBorder="1" applyAlignment="1">
      <alignment horizontal="center" vertical="center"/>
    </xf>
    <xf numFmtId="49" fontId="0" fillId="0" borderId="18" xfId="0" applyNumberFormat="1" applyFont="1" applyBorder="1"/>
    <xf numFmtId="164" fontId="0" fillId="0" borderId="18" xfId="0" applyNumberFormat="1" applyFont="1" applyBorder="1" applyAlignment="1">
      <alignment horizontal="center" vertical="center"/>
    </xf>
    <xf numFmtId="0" fontId="0" fillId="0" borderId="21" xfId="0" applyFont="1" applyBorder="1"/>
    <xf numFmtId="0" fontId="0" fillId="0" borderId="19" xfId="0" applyFont="1" applyBorder="1"/>
    <xf numFmtId="2" fontId="0" fillId="0" borderId="19" xfId="0" applyNumberFormat="1" applyFont="1" applyBorder="1" applyAlignment="1">
      <alignment horizontal="center" vertical="center"/>
    </xf>
    <xf numFmtId="49" fontId="0" fillId="0" borderId="19" xfId="0" applyNumberFormat="1" applyFont="1" applyBorder="1"/>
    <xf numFmtId="164" fontId="0" fillId="0" borderId="19" xfId="0" applyNumberFormat="1" applyFont="1" applyBorder="1" applyAlignment="1">
      <alignment horizontal="center" vertical="center"/>
    </xf>
    <xf numFmtId="0" fontId="0" fillId="35" borderId="22" xfId="0" applyFont="1" applyFill="1" applyBorder="1"/>
    <xf numFmtId="0" fontId="0" fillId="35" borderId="23" xfId="0" applyFont="1" applyFill="1" applyBorder="1"/>
    <xf numFmtId="2" fontId="0" fillId="35" borderId="23" xfId="0" applyNumberFormat="1" applyFont="1" applyFill="1" applyBorder="1" applyAlignment="1">
      <alignment horizontal="center" vertical="center"/>
    </xf>
    <xf numFmtId="49" fontId="0" fillId="35" borderId="23" xfId="0" applyNumberFormat="1" applyFont="1" applyFill="1" applyBorder="1"/>
    <xf numFmtId="164" fontId="0" fillId="35" borderId="23" xfId="0" applyNumberFormat="1" applyFont="1" applyFill="1" applyBorder="1" applyAlignment="1">
      <alignment horizontal="center" vertical="center"/>
    </xf>
    <xf numFmtId="0" fontId="0" fillId="0" borderId="24" xfId="0" applyFont="1" applyBorder="1"/>
    <xf numFmtId="0" fontId="0" fillId="0" borderId="25" xfId="0" applyFont="1" applyBorder="1"/>
    <xf numFmtId="2" fontId="0" fillId="0" borderId="25" xfId="0" applyNumberFormat="1" applyFont="1" applyBorder="1" applyAlignment="1">
      <alignment horizontal="center" vertical="center"/>
    </xf>
    <xf numFmtId="49" fontId="0" fillId="0" borderId="25" xfId="0" applyNumberFormat="1" applyFont="1" applyBorder="1"/>
    <xf numFmtId="164" fontId="0" fillId="0" borderId="25" xfId="0" applyNumberFormat="1" applyFont="1" applyBorder="1" applyAlignment="1">
      <alignment horizontal="center" vertical="center"/>
    </xf>
    <xf numFmtId="2" fontId="0" fillId="34" borderId="0" xfId="0" applyNumberFormat="1" applyFont="1" applyFill="1" applyBorder="1" applyAlignment="1">
      <alignment horizontal="center" vertical="center"/>
    </xf>
    <xf numFmtId="2" fontId="0" fillId="34" borderId="0" xfId="0" applyNumberFormat="1" applyFill="1" applyBorder="1"/>
    <xf numFmtId="2" fontId="16" fillId="34" borderId="0" xfId="0" applyNumberFormat="1" applyFont="1" applyFill="1" applyBorder="1" applyAlignment="1">
      <alignment horizontal="center" vertical="center"/>
    </xf>
    <xf numFmtId="0" fontId="16" fillId="34" borderId="0" xfId="0" applyFont="1" applyFill="1"/>
    <xf numFmtId="49" fontId="16" fillId="34" borderId="0" xfId="0" applyNumberFormat="1" applyFont="1" applyFill="1"/>
    <xf numFmtId="1" fontId="16" fillId="34" borderId="0" xfId="0" applyNumberFormat="1" applyFont="1" applyFill="1" applyAlignment="1">
      <alignment horizontal="center" vertical="center"/>
    </xf>
    <xf numFmtId="49" fontId="16" fillId="34" borderId="0" xfId="0" applyNumberFormat="1" applyFont="1" applyFill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0066CC"/>
      <color rgb="FFFF99FF"/>
      <color rgb="FFCCFFCC"/>
      <color rgb="FFFFFF99"/>
      <color rgb="FF00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E1191-B471-4C3F-B2E8-329D48466C47}" name="Demographics" displayName="Demographics" ref="A1:F570" totalsRowShown="0" headerRowBorderDxfId="46" tableBorderDxfId="45" totalsRowBorderDxfId="44">
  <autoFilter ref="A1:F570" xr:uid="{2DFE1191-B471-4C3F-B2E8-329D48466C47}"/>
  <tableColumns count="6">
    <tableColumn id="1" xr3:uid="{3C41362E-F29A-48A9-9740-6255D87A5BD9}" name="Demographics ID" dataDxfId="43"/>
    <tableColumn id="2" xr3:uid="{3D779D0F-3F67-4A5F-84F4-DCC99559A69B}" name="Name" dataDxfId="42"/>
    <tableColumn id="3" xr3:uid="{C1DC0B9D-EBE5-46B3-988F-05F23BD0146C}" name="Gender" dataDxfId="41"/>
    <tableColumn id="4" xr3:uid="{DB9110E1-FC38-4903-BB1D-8C1AA972BBA9}" name="Age " dataDxfId="40"/>
    <tableColumn id="5" xr3:uid="{10AF4DDA-69B2-4244-92FA-7A53428FCCCC}" name="Profession ID" dataDxfId="39"/>
    <tableColumn id="6" xr3:uid="{18D15B08-4353-4BAD-A107-7E6B880074BF}" name="Region ID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EBB57-E605-40D3-BA8C-D8FA450B8AA4}" name="Health" displayName="Health" ref="A1:G570" totalsRowShown="0" headerRowDxfId="37" headerRowBorderDxfId="36" tableBorderDxfId="35" totalsRowBorderDxfId="34">
  <autoFilter ref="A1:G570" xr:uid="{95CEBB57-E605-40D3-BA8C-D8FA450B8AA4}"/>
  <tableColumns count="7">
    <tableColumn id="1" xr3:uid="{EC34B50D-26F8-4BE6-BA33-E2B66EAF3400}" name="HealthID" dataDxfId="33"/>
    <tableColumn id="2" xr3:uid="{B3DB2675-8496-4C1E-ABD6-B67A2BE69F08}" name="Demographics ID" dataDxfId="32"/>
    <tableColumn id="3" xr3:uid="{FA30C68B-8309-4E35-8A2D-A2E055FD8D50}" name="Current Health Conditions" dataDxfId="31"/>
    <tableColumn id="4" xr3:uid="{DA1EA79D-3964-4468-B506-1B6E6031E414}" name="Healthcare Access Method" dataDxfId="30"/>
    <tableColumn id="5" xr3:uid="{E216ACB8-0A07-42F3-BADB-7E50C15C15C7}" name="Mental Health Frequency" dataDxfId="29"/>
    <tableColumn id="6" xr3:uid="{AF83CC72-E609-47F7-BDFD-F5BF57DA7773}" name="Pollution Exposure Area" dataDxfId="28"/>
    <tableColumn id="7" xr3:uid="{0D7162E0-2E40-414D-B833-8A4A84212C32}" name="Access to Clean Water &amp; Sanitation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841EAE-93C4-459B-8CED-E8C983415050}" name="Medical" displayName="Medical" ref="A1:D570" totalsRowShown="0" headerRowDxfId="26" headerRowBorderDxfId="25" tableBorderDxfId="24" totalsRowBorderDxfId="23">
  <autoFilter ref="A1:D570" xr:uid="{7D841EAE-93C4-459B-8CED-E8C983415050}"/>
  <tableColumns count="4">
    <tableColumn id="1" xr3:uid="{4BDF249A-A9D1-49FE-9587-2ED29ACB9D69}" name="Medical ID" dataDxfId="22"/>
    <tableColumn id="2" xr3:uid="{5F3CB20A-9134-4D3A-9FA4-DBC32C5719B5}" name="Demographics ID" dataDxfId="21"/>
    <tableColumn id="3" xr3:uid="{3E573CA7-1F0D-4192-8004-6C92F9F4E903}" name="Blood Group" dataDxfId="20"/>
    <tableColumn id="4" xr3:uid="{0DF94C26-9D6C-4370-9D71-770EEF3F5FB9}" name="Particular Disease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96AA7E-0415-4891-9FF0-F3916479BF76}" name="DemographicHealthConern" displayName="DemographicHealthConern" ref="A1:C772" totalsRowShown="0" headerRowDxfId="18" tableBorderDxfId="17">
  <autoFilter ref="A1:C772" xr:uid="{B496AA7E-0415-4891-9FF0-F3916479BF76}"/>
  <tableColumns count="3">
    <tableColumn id="1" xr3:uid="{7F7E4E26-6089-4C28-B8F9-E304997AA6E4}" name="Common Region Health Concerns ID" dataDxfId="16">
      <calculatedColumnFormula array="1">_xlfn.XLOOKUP($C2,_xlfn.ANCHORARRAY('Health Concerns'!$B$2),'Health Concerns'!$A$2:$A$15,"Not Found")</calculatedColumnFormula>
    </tableColumn>
    <tableColumn id="2" xr3:uid="{0265418F-F40F-461A-BF13-803124F2A68E}" name="Demographics ID" dataDxfId="15"/>
    <tableColumn id="3" xr3:uid="{FBBEA635-0682-4672-A093-4474AD1D6910}" name="Common Region Health Concerns 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469881-7B9A-49AA-B76C-ACD2528F6D7D}" name="Communication" displayName="Communication" ref="A1:D570" totalsRowShown="0" headerRowDxfId="13" dataDxfId="12" tableBorderDxfId="11">
  <autoFilter ref="A1:D570" xr:uid="{7F469881-7B9A-49AA-B76C-ACD2528F6D7D}"/>
  <tableColumns count="4">
    <tableColumn id="1" xr3:uid="{F8D1667A-CD37-46BC-9979-7FBC8D49FE25}" name="Communication ID" dataDxfId="10"/>
    <tableColumn id="2" xr3:uid="{D9A63005-0268-4984-9A1B-1E21F50D4102}" name="Demographics ID" dataDxfId="9"/>
    <tableColumn id="3" xr3:uid="{B3D9DBA4-92CA-48EE-A501-F078191F406B}" name="Preferred Language for Chatbot" dataDxfId="8"/>
    <tableColumn id="4" xr3:uid="{95931F1F-C22B-43DD-8298-5FB4BA096267}" name="Platform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35B807-8243-43A7-B333-1CE78DDDE9B7}" name="DemoSymptoms" displayName="DemoSymptoms" ref="A1:C889" totalsRowShown="0" headerRowDxfId="6" headerRowBorderDxfId="5" tableBorderDxfId="4" totalsRowBorderDxfId="3">
  <autoFilter ref="A1:C889" xr:uid="{F035B807-8243-43A7-B333-1CE78DDDE9B7}"/>
  <tableColumns count="3">
    <tableColumn id="1" xr3:uid="{E25FC939-315B-4008-9719-DC4341B813A9}" name="DemoID" dataDxfId="2"/>
    <tableColumn id="2" xr3:uid="{1D9A71F0-5DF2-4235-8B2D-CBDFC7E78E3A}" name="SymptomsID" dataDxfId="1">
      <calculatedColumnFormula array="1">_xlfn.XLOOKUP($C2,_xlfn.ANCHORARRAY(Symptoms!$B$2),Symptoms!$A$2:$A$15,"Not Found")</calculatedColumnFormula>
    </tableColumn>
    <tableColumn id="3" xr3:uid="{9F23A0AB-C26C-4BF8-AE48-517E079DBF96}" name="Sympto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21AB-9DE5-4698-9C6D-0AD0BFBE038C}">
  <dimension ref="A1:AC573"/>
  <sheetViews>
    <sheetView tabSelected="1" zoomScaleNormal="100" workbookViewId="0">
      <selection activeCell="I19" sqref="I19"/>
    </sheetView>
  </sheetViews>
  <sheetFormatPr defaultRowHeight="14.4"/>
  <cols>
    <col min="1" max="1" width="14.77734375" style="10" bestFit="1" customWidth="1"/>
    <col min="2" max="2" width="18.21875" style="11" bestFit="1" customWidth="1"/>
    <col min="3" max="3" width="7.21875" style="11" bestFit="1" customWidth="1"/>
    <col min="4" max="4" width="8.5546875" style="13" customWidth="1"/>
    <col min="5" max="5" width="21.44140625" style="11" bestFit="1" customWidth="1"/>
    <col min="6" max="6" width="23.44140625" style="10" customWidth="1"/>
    <col min="7" max="7" width="15.77734375" style="11" bestFit="1" customWidth="1"/>
    <col min="8" max="8" width="13.77734375" style="10" customWidth="1"/>
    <col min="9" max="9" width="12.77734375" style="10" bestFit="1" customWidth="1"/>
    <col min="10" max="10" width="18.77734375" style="10" bestFit="1" customWidth="1"/>
    <col min="11" max="11" width="18.88671875" style="10" bestFit="1" customWidth="1"/>
    <col min="12" max="12" width="29.88671875" style="10" bestFit="1" customWidth="1"/>
    <col min="13" max="13" width="22.6640625" style="11" bestFit="1" customWidth="1"/>
    <col min="14" max="14" width="33.33203125" style="10" bestFit="1" customWidth="1"/>
    <col min="15" max="15" width="30.21875" style="11" bestFit="1" customWidth="1"/>
    <col min="16" max="16" width="22.88671875" style="11" customWidth="1"/>
    <col min="17" max="17" width="21.77734375" style="11" bestFit="1" customWidth="1"/>
    <col min="18" max="18" width="22.88671875" style="11" bestFit="1" customWidth="1"/>
    <col min="19" max="19" width="28.21875" style="10" customWidth="1"/>
    <col min="20" max="20" width="22.21875" style="82" customWidth="1"/>
    <col min="21" max="21" width="19.5546875" style="10" bestFit="1" customWidth="1"/>
    <col min="22" max="22" width="8.21875" style="10" bestFit="1" customWidth="1"/>
    <col min="23" max="23" width="8.21875" style="10" customWidth="1"/>
    <col min="24" max="24" width="18.21875" style="10" bestFit="1" customWidth="1"/>
    <col min="25" max="25" width="26.109375" style="10" bestFit="1" customWidth="1"/>
    <col min="26" max="26" width="21.5546875" style="10" bestFit="1" customWidth="1"/>
    <col min="27" max="27" width="15.77734375" style="10" bestFit="1" customWidth="1"/>
    <col min="28" max="28" width="10.44140625" style="10" bestFit="1" customWidth="1"/>
    <col min="29" max="29" width="22.44140625" bestFit="1" customWidth="1"/>
  </cols>
  <sheetData>
    <row r="1" spans="1:29">
      <c r="A1" s="84" t="s">
        <v>484</v>
      </c>
      <c r="B1" s="85" t="s">
        <v>0</v>
      </c>
      <c r="C1" s="85" t="s">
        <v>1</v>
      </c>
      <c r="D1" s="86" t="s">
        <v>416</v>
      </c>
      <c r="E1" s="85" t="s">
        <v>2</v>
      </c>
      <c r="F1" s="84" t="s">
        <v>1107</v>
      </c>
      <c r="G1" s="85" t="s">
        <v>3</v>
      </c>
      <c r="H1" s="84" t="s">
        <v>1109</v>
      </c>
      <c r="I1" s="84" t="s">
        <v>4</v>
      </c>
      <c r="J1" s="84" t="s">
        <v>1056</v>
      </c>
      <c r="K1" s="84" t="s">
        <v>5</v>
      </c>
      <c r="L1" s="84" t="s">
        <v>6</v>
      </c>
      <c r="M1" s="87" t="s">
        <v>7</v>
      </c>
      <c r="N1" s="84" t="s">
        <v>8</v>
      </c>
      <c r="O1" s="87" t="s">
        <v>9</v>
      </c>
      <c r="P1" s="85" t="s">
        <v>10</v>
      </c>
      <c r="Q1" s="85" t="s">
        <v>11</v>
      </c>
      <c r="R1" s="85" t="s">
        <v>12</v>
      </c>
      <c r="S1" s="84" t="s">
        <v>13</v>
      </c>
      <c r="T1" s="83" t="s">
        <v>2270</v>
      </c>
      <c r="U1" s="84" t="s">
        <v>14</v>
      </c>
      <c r="V1" s="84" t="s">
        <v>15</v>
      </c>
      <c r="W1" s="84"/>
      <c r="X1" s="88" t="s">
        <v>16</v>
      </c>
      <c r="Y1" s="84" t="s">
        <v>2284</v>
      </c>
      <c r="Z1" s="84" t="s">
        <v>2283</v>
      </c>
      <c r="AA1" s="84" t="s">
        <v>17</v>
      </c>
      <c r="AB1" s="84" t="s">
        <v>2845</v>
      </c>
      <c r="AC1" s="89"/>
    </row>
    <row r="2" spans="1:29">
      <c r="A2" s="10" t="s">
        <v>485</v>
      </c>
      <c r="B2" s="11" t="s">
        <v>18</v>
      </c>
      <c r="C2" s="11" t="s">
        <v>417</v>
      </c>
      <c r="D2" s="12">
        <v>18</v>
      </c>
      <c r="E2" s="11" t="s">
        <v>418</v>
      </c>
      <c r="F2" s="14" t="str">
        <f>_xlfn.XLOOKUP(E2,Profession!$B$2:$B$15,Profession!$A$2:$A$15,"Not Found")</f>
        <v>P001</v>
      </c>
      <c r="G2" s="11" t="s">
        <v>419</v>
      </c>
      <c r="H2" s="10" t="str">
        <f>_xlfn.XLOOKUP(G2,Region!$B$2:$B$16,Region!$A$2:$A$16,"Not Found")</f>
        <v>R001</v>
      </c>
      <c r="I2" s="10" t="s">
        <v>420</v>
      </c>
      <c r="J2" s="10" t="s">
        <v>420</v>
      </c>
      <c r="K2" s="10" t="s">
        <v>421</v>
      </c>
      <c r="L2" s="10" t="s">
        <v>1057</v>
      </c>
      <c r="M2" s="16" t="s">
        <v>422</v>
      </c>
      <c r="N2" s="10" t="s">
        <v>20</v>
      </c>
      <c r="O2" s="16" t="s">
        <v>423</v>
      </c>
      <c r="P2" s="11" t="s">
        <v>1059</v>
      </c>
      <c r="Q2" s="11" t="s">
        <v>426</v>
      </c>
      <c r="R2" s="11" t="s">
        <v>1062</v>
      </c>
      <c r="S2" s="10" t="s">
        <v>62</v>
      </c>
      <c r="T2" s="81">
        <v>6</v>
      </c>
      <c r="U2" s="10" t="s">
        <v>420</v>
      </c>
      <c r="V2" s="10" t="s">
        <v>2277</v>
      </c>
      <c r="X2" s="15">
        <v>4</v>
      </c>
      <c r="Y2" s="10" t="s">
        <v>22</v>
      </c>
      <c r="Z2" s="10" t="s">
        <v>2846</v>
      </c>
      <c r="AA2" s="10" t="s">
        <v>23</v>
      </c>
      <c r="AB2" s="10" t="s">
        <v>24</v>
      </c>
    </row>
    <row r="3" spans="1:29">
      <c r="A3" s="10" t="s">
        <v>486</v>
      </c>
      <c r="B3" s="11" t="s">
        <v>25</v>
      </c>
      <c r="C3" s="11" t="s">
        <v>417</v>
      </c>
      <c r="D3" s="12">
        <v>20</v>
      </c>
      <c r="E3" s="11" t="s">
        <v>418</v>
      </c>
      <c r="F3" s="14" t="str">
        <f>_xlfn.XLOOKUP(E3,Profession!$B$2:$B$15,Profession!$A$2:$A$15,"Not Found")</f>
        <v>P001</v>
      </c>
      <c r="G3" s="11" t="s">
        <v>419</v>
      </c>
      <c r="H3" s="10" t="str">
        <f>_xlfn.XLOOKUP(G3,Region!$B$2:$B$16,Region!$A$2:$A$16,"Not Found")</f>
        <v>R001</v>
      </c>
      <c r="I3" s="10" t="s">
        <v>420</v>
      </c>
      <c r="J3" s="10" t="s">
        <v>420</v>
      </c>
      <c r="K3" s="10" t="s">
        <v>422</v>
      </c>
      <c r="L3" s="10" t="s">
        <v>424</v>
      </c>
      <c r="M3" s="16" t="s">
        <v>422</v>
      </c>
      <c r="N3" s="10" t="s">
        <v>26</v>
      </c>
      <c r="O3" s="16" t="s">
        <v>423</v>
      </c>
      <c r="P3" s="11" t="s">
        <v>1059</v>
      </c>
      <c r="Q3" s="11" t="s">
        <v>422</v>
      </c>
      <c r="R3" s="11" t="s">
        <v>1062</v>
      </c>
      <c r="S3" s="10" t="s">
        <v>2884</v>
      </c>
      <c r="T3" s="81">
        <v>6</v>
      </c>
      <c r="U3" s="10" t="s">
        <v>420</v>
      </c>
      <c r="V3" s="10" t="s">
        <v>2277</v>
      </c>
      <c r="X3" s="15">
        <v>4</v>
      </c>
      <c r="Y3" s="10" t="s">
        <v>27</v>
      </c>
      <c r="Z3" s="10" t="s">
        <v>2849</v>
      </c>
      <c r="AA3" s="10" t="s">
        <v>23</v>
      </c>
      <c r="AB3" s="10" t="s">
        <v>28</v>
      </c>
    </row>
    <row r="4" spans="1:29">
      <c r="A4" s="10" t="s">
        <v>487</v>
      </c>
      <c r="B4" s="11" t="s">
        <v>29</v>
      </c>
      <c r="C4" s="11" t="s">
        <v>417</v>
      </c>
      <c r="D4" s="12">
        <v>19</v>
      </c>
      <c r="E4" s="11" t="s">
        <v>418</v>
      </c>
      <c r="F4" s="14" t="str">
        <f>_xlfn.XLOOKUP(E4,Profession!$B$2:$B$15,Profession!$A$2:$A$15,"Not Found")</f>
        <v>P001</v>
      </c>
      <c r="G4" s="11" t="s">
        <v>419</v>
      </c>
      <c r="H4" s="10" t="str">
        <f>_xlfn.XLOOKUP(G4,Region!$B$2:$B$16,Region!$A$2:$A$16,"Not Found")</f>
        <v>R001</v>
      </c>
      <c r="I4" s="10" t="s">
        <v>420</v>
      </c>
      <c r="J4" s="10" t="s">
        <v>420</v>
      </c>
      <c r="K4" s="10" t="s">
        <v>421</v>
      </c>
      <c r="L4" s="10" t="s">
        <v>425</v>
      </c>
      <c r="M4" s="16" t="s">
        <v>422</v>
      </c>
      <c r="N4" s="10" t="s">
        <v>30</v>
      </c>
      <c r="O4" s="16" t="s">
        <v>423</v>
      </c>
      <c r="P4" s="11" t="s">
        <v>1059</v>
      </c>
      <c r="Q4" s="11" t="s">
        <v>1073</v>
      </c>
      <c r="R4" s="11" t="s">
        <v>1062</v>
      </c>
      <c r="S4" s="10" t="s">
        <v>2884</v>
      </c>
      <c r="T4" s="81">
        <v>4</v>
      </c>
      <c r="U4" s="10" t="s">
        <v>420</v>
      </c>
      <c r="V4" s="10" t="s">
        <v>2278</v>
      </c>
      <c r="X4" s="15">
        <v>2</v>
      </c>
      <c r="Y4" s="10" t="s">
        <v>31</v>
      </c>
      <c r="Z4" s="10" t="s">
        <v>2279</v>
      </c>
      <c r="AA4" s="10" t="s">
        <v>23</v>
      </c>
      <c r="AB4" s="10" t="s">
        <v>28</v>
      </c>
    </row>
    <row r="5" spans="1:29">
      <c r="A5" s="10" t="s">
        <v>488</v>
      </c>
      <c r="B5" s="11" t="s">
        <v>32</v>
      </c>
      <c r="C5" s="11" t="s">
        <v>417</v>
      </c>
      <c r="D5" s="12">
        <v>19</v>
      </c>
      <c r="E5" s="11" t="s">
        <v>418</v>
      </c>
      <c r="F5" s="14" t="str">
        <f>_xlfn.XLOOKUP(E5,Profession!$B$2:$B$15,Profession!$A$2:$A$15,"Not Found")</f>
        <v>P001</v>
      </c>
      <c r="G5" s="11" t="s">
        <v>419</v>
      </c>
      <c r="H5" s="10" t="str">
        <f>_xlfn.XLOOKUP(G5,Region!$B$2:$B$16,Region!$A$2:$A$16,"Not Found")</f>
        <v>R001</v>
      </c>
      <c r="I5" s="10" t="s">
        <v>420</v>
      </c>
      <c r="J5" s="10" t="s">
        <v>420</v>
      </c>
      <c r="K5" s="10" t="s">
        <v>426</v>
      </c>
      <c r="L5" s="10" t="s">
        <v>427</v>
      </c>
      <c r="M5" s="16" t="s">
        <v>422</v>
      </c>
      <c r="N5" s="10" t="s">
        <v>33</v>
      </c>
      <c r="O5" s="16" t="s">
        <v>423</v>
      </c>
      <c r="P5" s="11" t="s">
        <v>1059</v>
      </c>
      <c r="Q5" s="11" t="s">
        <v>422</v>
      </c>
      <c r="R5" s="11" t="s">
        <v>1062</v>
      </c>
      <c r="S5" s="10" t="s">
        <v>2884</v>
      </c>
      <c r="T5" s="81">
        <v>9</v>
      </c>
      <c r="U5" s="10" t="s">
        <v>420</v>
      </c>
      <c r="V5" s="10" t="s">
        <v>2278</v>
      </c>
      <c r="X5" s="15">
        <v>3</v>
      </c>
      <c r="Y5" s="10" t="s">
        <v>34</v>
      </c>
      <c r="Z5" s="10" t="s">
        <v>2279</v>
      </c>
      <c r="AA5" s="10" t="s">
        <v>23</v>
      </c>
      <c r="AB5" s="10" t="s">
        <v>24</v>
      </c>
    </row>
    <row r="6" spans="1:29">
      <c r="A6" s="10" t="s">
        <v>489</v>
      </c>
      <c r="B6" s="11" t="s">
        <v>35</v>
      </c>
      <c r="C6" s="11" t="s">
        <v>417</v>
      </c>
      <c r="D6" s="12">
        <v>19</v>
      </c>
      <c r="E6" s="11" t="s">
        <v>418</v>
      </c>
      <c r="F6" s="14" t="str">
        <f>_xlfn.XLOOKUP(E6,Profession!$B$2:$B$15,Profession!$A$2:$A$15,"Not Found")</f>
        <v>P001</v>
      </c>
      <c r="G6" s="11" t="s">
        <v>419</v>
      </c>
      <c r="H6" s="10" t="str">
        <f>_xlfn.XLOOKUP(G6,Region!$B$2:$B$16,Region!$A$2:$A$16,"Not Found")</f>
        <v>R001</v>
      </c>
      <c r="I6" s="10" t="s">
        <v>420</v>
      </c>
      <c r="J6" s="10" t="s">
        <v>420</v>
      </c>
      <c r="K6" s="10" t="s">
        <v>422</v>
      </c>
      <c r="L6" s="10" t="s">
        <v>428</v>
      </c>
      <c r="M6" s="16" t="s">
        <v>422</v>
      </c>
      <c r="N6" s="10" t="s">
        <v>26</v>
      </c>
      <c r="O6" s="16" t="s">
        <v>423</v>
      </c>
      <c r="P6" s="11" t="s">
        <v>1059</v>
      </c>
      <c r="Q6" s="11" t="s">
        <v>422</v>
      </c>
      <c r="R6" s="11" t="s">
        <v>1062</v>
      </c>
      <c r="S6" s="10" t="s">
        <v>2884</v>
      </c>
      <c r="T6" s="81">
        <v>7</v>
      </c>
      <c r="U6" s="10" t="s">
        <v>420</v>
      </c>
      <c r="V6" s="10" t="s">
        <v>2278</v>
      </c>
      <c r="X6" s="15">
        <v>3.5</v>
      </c>
      <c r="Y6" s="10" t="s">
        <v>36</v>
      </c>
      <c r="Z6" s="10" t="s">
        <v>2849</v>
      </c>
      <c r="AA6" s="10" t="s">
        <v>37</v>
      </c>
      <c r="AB6" s="10" t="s">
        <v>24</v>
      </c>
    </row>
    <row r="7" spans="1:29">
      <c r="A7" s="10" t="s">
        <v>490</v>
      </c>
      <c r="B7" s="11" t="s">
        <v>38</v>
      </c>
      <c r="C7" s="11" t="s">
        <v>417</v>
      </c>
      <c r="D7" s="12">
        <v>19</v>
      </c>
      <c r="E7" s="11" t="s">
        <v>418</v>
      </c>
      <c r="F7" s="14" t="str">
        <f>_xlfn.XLOOKUP(E7,Profession!$B$2:$B$15,Profession!$A$2:$A$15,"Not Found")</f>
        <v>P001</v>
      </c>
      <c r="G7" s="11" t="s">
        <v>419</v>
      </c>
      <c r="H7" s="10" t="str">
        <f>_xlfn.XLOOKUP(G7,Region!$B$2:$B$16,Region!$A$2:$A$16,"Not Found")</f>
        <v>R001</v>
      </c>
      <c r="I7" s="10" t="s">
        <v>420</v>
      </c>
      <c r="J7" s="10" t="s">
        <v>420</v>
      </c>
      <c r="K7" s="10" t="s">
        <v>421</v>
      </c>
      <c r="L7" s="10" t="s">
        <v>1057</v>
      </c>
      <c r="M7" s="16" t="s">
        <v>426</v>
      </c>
      <c r="N7" s="10" t="s">
        <v>39</v>
      </c>
      <c r="O7" s="16" t="s">
        <v>423</v>
      </c>
      <c r="P7" s="11" t="s">
        <v>1059</v>
      </c>
      <c r="Q7" s="11" t="s">
        <v>422</v>
      </c>
      <c r="R7" s="11" t="s">
        <v>1062</v>
      </c>
      <c r="S7" s="10" t="s">
        <v>2884</v>
      </c>
      <c r="T7" s="81">
        <v>7</v>
      </c>
      <c r="U7" s="10" t="s">
        <v>420</v>
      </c>
      <c r="V7" s="10" t="s">
        <v>2277</v>
      </c>
      <c r="X7" s="15">
        <v>4</v>
      </c>
      <c r="Y7" s="10" t="s">
        <v>40</v>
      </c>
      <c r="Z7" s="10" t="s">
        <v>2280</v>
      </c>
      <c r="AA7" s="10" t="s">
        <v>37</v>
      </c>
      <c r="AB7" s="10" t="s">
        <v>24</v>
      </c>
    </row>
    <row r="8" spans="1:29">
      <c r="A8" s="10" t="s">
        <v>491</v>
      </c>
      <c r="B8" s="11" t="s">
        <v>41</v>
      </c>
      <c r="C8" s="11" t="s">
        <v>417</v>
      </c>
      <c r="D8" s="12">
        <v>19</v>
      </c>
      <c r="E8" s="11" t="s">
        <v>418</v>
      </c>
      <c r="F8" s="14" t="str">
        <f>_xlfn.XLOOKUP(E8,Profession!$B$2:$B$15,Profession!$A$2:$A$15,"Not Found")</f>
        <v>P001</v>
      </c>
      <c r="G8" s="11" t="s">
        <v>419</v>
      </c>
      <c r="H8" s="10" t="str">
        <f>_xlfn.XLOOKUP(G8,Region!$B$2:$B$16,Region!$A$2:$A$16,"Not Found")</f>
        <v>R001</v>
      </c>
      <c r="I8" s="10" t="s">
        <v>420</v>
      </c>
      <c r="J8" s="10" t="s">
        <v>420</v>
      </c>
      <c r="K8" s="10" t="s">
        <v>421</v>
      </c>
      <c r="L8" s="10" t="s">
        <v>1058</v>
      </c>
      <c r="M8" s="16" t="s">
        <v>422</v>
      </c>
      <c r="N8" s="10" t="s">
        <v>39</v>
      </c>
      <c r="O8" s="16" t="s">
        <v>423</v>
      </c>
      <c r="P8" s="11" t="s">
        <v>1059</v>
      </c>
      <c r="Q8" s="11" t="s">
        <v>1061</v>
      </c>
      <c r="R8" s="11" t="s">
        <v>1062</v>
      </c>
      <c r="S8" s="10" t="s">
        <v>2884</v>
      </c>
      <c r="T8" s="81">
        <v>5</v>
      </c>
      <c r="U8" s="10" t="s">
        <v>420</v>
      </c>
      <c r="V8" s="10" t="s">
        <v>2278</v>
      </c>
      <c r="X8" s="15">
        <v>3</v>
      </c>
      <c r="Y8" s="10" t="s">
        <v>42</v>
      </c>
      <c r="Z8" s="10" t="s">
        <v>2849</v>
      </c>
      <c r="AA8" s="10" t="s">
        <v>43</v>
      </c>
      <c r="AB8" s="10" t="s">
        <v>46</v>
      </c>
    </row>
    <row r="9" spans="1:29">
      <c r="A9" s="10" t="s">
        <v>492</v>
      </c>
      <c r="B9" s="11" t="s">
        <v>44</v>
      </c>
      <c r="C9" s="11" t="s">
        <v>417</v>
      </c>
      <c r="D9" s="12">
        <v>18</v>
      </c>
      <c r="E9" s="11" t="s">
        <v>418</v>
      </c>
      <c r="F9" s="14" t="str">
        <f>_xlfn.XLOOKUP(E9,Profession!$B$2:$B$15,Profession!$A$2:$A$15,"Not Found")</f>
        <v>P001</v>
      </c>
      <c r="G9" s="11" t="s">
        <v>419</v>
      </c>
      <c r="H9" s="10" t="str">
        <f>_xlfn.XLOOKUP(G9,Region!$B$2:$B$16,Region!$A$2:$A$16,"Not Found")</f>
        <v>R001</v>
      </c>
      <c r="I9" s="10" t="s">
        <v>420</v>
      </c>
      <c r="J9" s="10" t="s">
        <v>420</v>
      </c>
      <c r="K9" s="10" t="s">
        <v>421</v>
      </c>
      <c r="L9" s="10" t="s">
        <v>427</v>
      </c>
      <c r="M9" s="16" t="s">
        <v>422</v>
      </c>
      <c r="N9" s="10" t="s">
        <v>33</v>
      </c>
      <c r="O9" s="16" t="s">
        <v>423</v>
      </c>
      <c r="P9" s="11" t="s">
        <v>1059</v>
      </c>
      <c r="Q9" s="11" t="s">
        <v>422</v>
      </c>
      <c r="R9" s="11" t="s">
        <v>1062</v>
      </c>
      <c r="S9" s="10" t="s">
        <v>2884</v>
      </c>
      <c r="T9" s="81">
        <v>4</v>
      </c>
      <c r="U9" s="10" t="s">
        <v>2271</v>
      </c>
      <c r="V9" s="10" t="s">
        <v>2278</v>
      </c>
      <c r="X9" s="15">
        <v>3</v>
      </c>
      <c r="Y9" s="10" t="s">
        <v>45</v>
      </c>
      <c r="Z9" s="10" t="s">
        <v>2849</v>
      </c>
      <c r="AA9" s="10" t="s">
        <v>37</v>
      </c>
      <c r="AB9" s="10" t="s">
        <v>46</v>
      </c>
    </row>
    <row r="10" spans="1:29">
      <c r="A10" s="10" t="s">
        <v>493</v>
      </c>
      <c r="B10" s="11" t="s">
        <v>47</v>
      </c>
      <c r="C10" s="11" t="s">
        <v>417</v>
      </c>
      <c r="D10" s="12">
        <v>19</v>
      </c>
      <c r="E10" s="11" t="s">
        <v>418</v>
      </c>
      <c r="F10" s="14" t="str">
        <f>_xlfn.XLOOKUP(E10,Profession!$B$2:$B$15,Profession!$A$2:$A$15,"Not Found")</f>
        <v>P001</v>
      </c>
      <c r="G10" s="11" t="s">
        <v>419</v>
      </c>
      <c r="H10" s="10" t="str">
        <f>_xlfn.XLOOKUP(G10,Region!$B$2:$B$16,Region!$A$2:$A$16,"Not Found")</f>
        <v>R001</v>
      </c>
      <c r="I10" s="10" t="s">
        <v>420</v>
      </c>
      <c r="J10" s="10" t="s">
        <v>420</v>
      </c>
      <c r="K10" s="10" t="s">
        <v>422</v>
      </c>
      <c r="L10" s="10" t="s">
        <v>427</v>
      </c>
      <c r="M10" s="16" t="s">
        <v>422</v>
      </c>
      <c r="N10" s="10" t="s">
        <v>48</v>
      </c>
      <c r="O10" s="16" t="s">
        <v>423</v>
      </c>
      <c r="P10" s="11" t="s">
        <v>1059</v>
      </c>
      <c r="Q10" s="11" t="s">
        <v>422</v>
      </c>
      <c r="R10" s="11" t="s">
        <v>1062</v>
      </c>
      <c r="S10" s="10" t="s">
        <v>2884</v>
      </c>
      <c r="T10" s="81">
        <v>6</v>
      </c>
      <c r="U10" s="10" t="s">
        <v>420</v>
      </c>
      <c r="V10" s="10" t="s">
        <v>2277</v>
      </c>
      <c r="X10" s="15">
        <v>4</v>
      </c>
      <c r="Y10" s="10" t="s">
        <v>49</v>
      </c>
      <c r="Z10" s="10" t="s">
        <v>2849</v>
      </c>
      <c r="AA10" s="10" t="s">
        <v>37</v>
      </c>
      <c r="AB10" s="10" t="s">
        <v>46</v>
      </c>
    </row>
    <row r="11" spans="1:29">
      <c r="A11" s="10" t="s">
        <v>494</v>
      </c>
      <c r="B11" s="11" t="s">
        <v>50</v>
      </c>
      <c r="C11" s="11" t="s">
        <v>417</v>
      </c>
      <c r="D11" s="12">
        <v>20</v>
      </c>
      <c r="E11" s="11" t="s">
        <v>418</v>
      </c>
      <c r="F11" s="14" t="str">
        <f>_xlfn.XLOOKUP(E11,Profession!$B$2:$B$15,Profession!$A$2:$A$15,"Not Found")</f>
        <v>P001</v>
      </c>
      <c r="G11" s="11" t="s">
        <v>419</v>
      </c>
      <c r="H11" s="10" t="str">
        <f>_xlfn.XLOOKUP(G11,Region!$B$2:$B$16,Region!$A$2:$A$16,"Not Found")</f>
        <v>R001</v>
      </c>
      <c r="I11" s="10" t="s">
        <v>420</v>
      </c>
      <c r="J11" s="10" t="s">
        <v>420</v>
      </c>
      <c r="K11" s="10" t="s">
        <v>426</v>
      </c>
      <c r="L11" s="10" t="s">
        <v>1058</v>
      </c>
      <c r="M11" s="16" t="s">
        <v>426</v>
      </c>
      <c r="N11" s="10" t="s">
        <v>51</v>
      </c>
      <c r="O11" s="16" t="s">
        <v>423</v>
      </c>
      <c r="P11" s="11" t="s">
        <v>1059</v>
      </c>
      <c r="Q11" s="11" t="s">
        <v>1061</v>
      </c>
      <c r="R11" s="11" t="s">
        <v>426</v>
      </c>
      <c r="S11" s="10" t="s">
        <v>2884</v>
      </c>
      <c r="T11" s="81">
        <v>6</v>
      </c>
      <c r="U11" s="10" t="s">
        <v>420</v>
      </c>
      <c r="V11" s="10" t="s">
        <v>2277</v>
      </c>
      <c r="X11" s="15">
        <v>5</v>
      </c>
      <c r="Y11" s="10" t="s">
        <v>52</v>
      </c>
      <c r="Z11" s="10" t="s">
        <v>2849</v>
      </c>
      <c r="AA11" s="10" t="s">
        <v>37</v>
      </c>
      <c r="AB11" s="10" t="s">
        <v>2841</v>
      </c>
    </row>
    <row r="12" spans="1:29">
      <c r="A12" s="10" t="s">
        <v>495</v>
      </c>
      <c r="B12" s="11" t="s">
        <v>53</v>
      </c>
      <c r="C12" s="11" t="s">
        <v>417</v>
      </c>
      <c r="D12" s="12">
        <v>20</v>
      </c>
      <c r="E12" s="11" t="s">
        <v>418</v>
      </c>
      <c r="F12" s="14" t="str">
        <f>_xlfn.XLOOKUP(E12,Profession!$B$2:$B$15,Profession!$A$2:$A$15,"Not Found")</f>
        <v>P001</v>
      </c>
      <c r="G12" s="11" t="s">
        <v>419</v>
      </c>
      <c r="H12" s="10" t="str">
        <f>_xlfn.XLOOKUP(G12,Region!$B$2:$B$16,Region!$A$2:$A$16,"Not Found")</f>
        <v>R001</v>
      </c>
      <c r="I12" s="10" t="s">
        <v>420</v>
      </c>
      <c r="J12" s="10" t="s">
        <v>420</v>
      </c>
      <c r="K12" s="10" t="s">
        <v>426</v>
      </c>
      <c r="L12" s="10" t="s">
        <v>1058</v>
      </c>
      <c r="M12" s="16" t="s">
        <v>426</v>
      </c>
      <c r="N12" s="10" t="s">
        <v>51</v>
      </c>
      <c r="O12" s="16" t="s">
        <v>423</v>
      </c>
      <c r="P12" s="11" t="s">
        <v>1059</v>
      </c>
      <c r="Q12" s="11" t="s">
        <v>422</v>
      </c>
      <c r="R12" s="11" t="s">
        <v>1063</v>
      </c>
      <c r="S12" s="10" t="s">
        <v>2884</v>
      </c>
      <c r="T12" s="81">
        <v>8</v>
      </c>
      <c r="U12" s="10" t="s">
        <v>420</v>
      </c>
      <c r="V12" s="10" t="s">
        <v>2277</v>
      </c>
      <c r="X12" s="15">
        <v>4</v>
      </c>
      <c r="Y12" s="10" t="s">
        <v>54</v>
      </c>
      <c r="Z12" s="10" t="s">
        <v>2849</v>
      </c>
      <c r="AA12" s="10" t="s">
        <v>23</v>
      </c>
      <c r="AB12" s="10" t="s">
        <v>28</v>
      </c>
    </row>
    <row r="13" spans="1:29">
      <c r="A13" s="10" t="s">
        <v>496</v>
      </c>
      <c r="B13" s="11" t="s">
        <v>55</v>
      </c>
      <c r="C13" s="11" t="s">
        <v>417</v>
      </c>
      <c r="D13" s="12">
        <v>19</v>
      </c>
      <c r="E13" s="11" t="s">
        <v>418</v>
      </c>
      <c r="F13" s="14" t="str">
        <f>_xlfn.XLOOKUP(E13,Profession!$B$2:$B$15,Profession!$A$2:$A$15,"Not Found")</f>
        <v>P001</v>
      </c>
      <c r="G13" s="11" t="s">
        <v>419</v>
      </c>
      <c r="H13" s="10" t="str">
        <f>_xlfn.XLOOKUP(G13,Region!$B$2:$B$16,Region!$A$2:$A$16,"Not Found")</f>
        <v>R001</v>
      </c>
      <c r="I13" s="10" t="s">
        <v>420</v>
      </c>
      <c r="J13" s="10" t="s">
        <v>420</v>
      </c>
      <c r="K13" s="10" t="s">
        <v>422</v>
      </c>
      <c r="L13" s="10" t="s">
        <v>428</v>
      </c>
      <c r="M13" s="16" t="s">
        <v>429</v>
      </c>
      <c r="N13" s="10" t="s">
        <v>51</v>
      </c>
      <c r="O13" s="16" t="s">
        <v>423</v>
      </c>
      <c r="P13" s="11" t="s">
        <v>1059</v>
      </c>
      <c r="Q13" s="11" t="s">
        <v>426</v>
      </c>
      <c r="R13" s="11" t="s">
        <v>1064</v>
      </c>
      <c r="S13" s="10" t="s">
        <v>2884</v>
      </c>
      <c r="T13" s="81">
        <v>12</v>
      </c>
      <c r="U13" s="10" t="s">
        <v>420</v>
      </c>
      <c r="V13" s="10" t="s">
        <v>2277</v>
      </c>
      <c r="X13" s="15">
        <v>2.5</v>
      </c>
      <c r="Y13" s="10" t="s">
        <v>56</v>
      </c>
      <c r="Z13" s="10" t="s">
        <v>2849</v>
      </c>
      <c r="AA13" s="10" t="s">
        <v>23</v>
      </c>
      <c r="AB13" s="10" t="s">
        <v>28</v>
      </c>
    </row>
    <row r="14" spans="1:29">
      <c r="A14" s="10" t="s">
        <v>497</v>
      </c>
      <c r="B14" s="11" t="s">
        <v>57</v>
      </c>
      <c r="C14" s="11" t="s">
        <v>417</v>
      </c>
      <c r="D14" s="12">
        <v>20</v>
      </c>
      <c r="E14" s="11" t="s">
        <v>418</v>
      </c>
      <c r="F14" s="14" t="str">
        <f>_xlfn.XLOOKUP(E14,Profession!$B$2:$B$15,Profession!$A$2:$A$15,"Not Found")</f>
        <v>P001</v>
      </c>
      <c r="G14" s="11" t="s">
        <v>419</v>
      </c>
      <c r="H14" s="10" t="str">
        <f>_xlfn.XLOOKUP(G14,Region!$B$2:$B$16,Region!$A$2:$A$16,"Not Found")</f>
        <v>R001</v>
      </c>
      <c r="I14" s="10" t="s">
        <v>420</v>
      </c>
      <c r="J14" s="10" t="s">
        <v>420</v>
      </c>
      <c r="K14" s="10" t="s">
        <v>421</v>
      </c>
      <c r="L14" s="10" t="s">
        <v>1058</v>
      </c>
      <c r="M14" s="16" t="s">
        <v>422</v>
      </c>
      <c r="N14" s="10" t="s">
        <v>51</v>
      </c>
      <c r="O14" s="16" t="s">
        <v>423</v>
      </c>
      <c r="P14" s="11" t="s">
        <v>1059</v>
      </c>
      <c r="Q14" s="11" t="s">
        <v>422</v>
      </c>
      <c r="R14" s="11" t="s">
        <v>1063</v>
      </c>
      <c r="S14" s="10" t="s">
        <v>2884</v>
      </c>
      <c r="T14" s="81">
        <v>5.3</v>
      </c>
      <c r="U14" s="10" t="s">
        <v>420</v>
      </c>
      <c r="V14" s="10" t="s">
        <v>2278</v>
      </c>
      <c r="X14" s="15">
        <v>4</v>
      </c>
      <c r="Y14" s="10" t="s">
        <v>58</v>
      </c>
      <c r="Z14" s="10" t="s">
        <v>2849</v>
      </c>
      <c r="AA14" s="10" t="s">
        <v>23</v>
      </c>
      <c r="AB14" s="10" t="s">
        <v>46</v>
      </c>
    </row>
    <row r="15" spans="1:29">
      <c r="A15" s="10" t="s">
        <v>498</v>
      </c>
      <c r="B15" s="11" t="s">
        <v>59</v>
      </c>
      <c r="C15" s="11" t="s">
        <v>417</v>
      </c>
      <c r="D15" s="12">
        <v>20</v>
      </c>
      <c r="E15" s="11" t="s">
        <v>418</v>
      </c>
      <c r="F15" s="14" t="str">
        <f>_xlfn.XLOOKUP(E15,Profession!$B$2:$B$15,Profession!$A$2:$A$15,"Not Found")</f>
        <v>P001</v>
      </c>
      <c r="G15" s="11" t="s">
        <v>419</v>
      </c>
      <c r="H15" s="10" t="str">
        <f>_xlfn.XLOOKUP(G15,Region!$B$2:$B$16,Region!$A$2:$A$16,"Not Found")</f>
        <v>R001</v>
      </c>
      <c r="I15" s="10" t="s">
        <v>420</v>
      </c>
      <c r="J15" s="10" t="s">
        <v>420</v>
      </c>
      <c r="K15" s="10" t="s">
        <v>426</v>
      </c>
      <c r="L15" s="10" t="s">
        <v>430</v>
      </c>
      <c r="M15" s="16" t="s">
        <v>422</v>
      </c>
      <c r="N15" s="10" t="s">
        <v>51</v>
      </c>
      <c r="O15" s="16" t="s">
        <v>423</v>
      </c>
      <c r="P15" s="11" t="s">
        <v>1059</v>
      </c>
      <c r="Q15" s="11" t="s">
        <v>422</v>
      </c>
      <c r="R15" s="11" t="s">
        <v>1063</v>
      </c>
      <c r="S15" s="10" t="s">
        <v>2884</v>
      </c>
      <c r="T15" s="81">
        <v>7</v>
      </c>
      <c r="U15" s="10" t="s">
        <v>420</v>
      </c>
      <c r="V15" s="10" t="s">
        <v>2277</v>
      </c>
      <c r="X15" s="15">
        <v>3</v>
      </c>
      <c r="Y15" s="10" t="s">
        <v>56</v>
      </c>
      <c r="Z15" s="10" t="s">
        <v>2849</v>
      </c>
      <c r="AA15" s="10" t="s">
        <v>23</v>
      </c>
      <c r="AB15" s="10" t="s">
        <v>24</v>
      </c>
    </row>
    <row r="16" spans="1:29">
      <c r="A16" s="10" t="s">
        <v>499</v>
      </c>
      <c r="B16" s="11" t="s">
        <v>60</v>
      </c>
      <c r="C16" s="11" t="s">
        <v>417</v>
      </c>
      <c r="D16" s="12">
        <v>19</v>
      </c>
      <c r="E16" s="11" t="s">
        <v>418</v>
      </c>
      <c r="F16" s="14" t="str">
        <f>_xlfn.XLOOKUP(E16,Profession!$B$2:$B$15,Profession!$A$2:$A$15,"Not Found")</f>
        <v>P001</v>
      </c>
      <c r="G16" s="11" t="s">
        <v>1115</v>
      </c>
      <c r="H16" s="10" t="str">
        <f>_xlfn.XLOOKUP(G16,Region!$B$2:$B$16,Region!$A$2:$A$16,"Not Found")</f>
        <v>R002</v>
      </c>
      <c r="I16" s="10" t="s">
        <v>423</v>
      </c>
      <c r="J16" s="10" t="s">
        <v>420</v>
      </c>
      <c r="K16" s="10" t="s">
        <v>431</v>
      </c>
      <c r="L16" s="10" t="s">
        <v>1058</v>
      </c>
      <c r="M16" s="16" t="s">
        <v>432</v>
      </c>
      <c r="N16" s="10" t="s">
        <v>61</v>
      </c>
      <c r="O16" s="16" t="s">
        <v>433</v>
      </c>
      <c r="P16" s="11" t="s">
        <v>422</v>
      </c>
      <c r="Q16" s="11" t="s">
        <v>1061</v>
      </c>
      <c r="R16" s="11" t="s">
        <v>1065</v>
      </c>
      <c r="S16" s="10" t="s">
        <v>62</v>
      </c>
      <c r="T16" s="81">
        <v>8</v>
      </c>
      <c r="U16" s="10" t="s">
        <v>420</v>
      </c>
      <c r="V16" s="10" t="s">
        <v>2277</v>
      </c>
      <c r="X16" s="15">
        <v>5</v>
      </c>
      <c r="Y16" s="10" t="s">
        <v>27</v>
      </c>
      <c r="Z16" s="10" t="s">
        <v>2849</v>
      </c>
      <c r="AA16" s="10" t="s">
        <v>23</v>
      </c>
      <c r="AB16" s="10" t="s">
        <v>46</v>
      </c>
    </row>
    <row r="17" spans="1:28">
      <c r="A17" s="10" t="s">
        <v>500</v>
      </c>
      <c r="B17" s="11" t="s">
        <v>63</v>
      </c>
      <c r="C17" s="11" t="s">
        <v>417</v>
      </c>
      <c r="D17" s="12">
        <v>17</v>
      </c>
      <c r="E17" s="11" t="s">
        <v>418</v>
      </c>
      <c r="F17" s="14" t="str">
        <f>_xlfn.XLOOKUP(E17,Profession!$B$2:$B$15,Profession!$A$2:$A$15,"Not Found")</f>
        <v>P001</v>
      </c>
      <c r="G17" s="11" t="s">
        <v>1115</v>
      </c>
      <c r="H17" s="10" t="str">
        <f>_xlfn.XLOOKUP(G17,Region!$B$2:$B$16,Region!$A$2:$A$16,"Not Found")</f>
        <v>R002</v>
      </c>
      <c r="I17" s="10" t="s">
        <v>420</v>
      </c>
      <c r="J17" s="10" t="s">
        <v>420</v>
      </c>
      <c r="K17" s="10" t="s">
        <v>434</v>
      </c>
      <c r="L17" s="10" t="s">
        <v>1057</v>
      </c>
      <c r="M17" s="16" t="s">
        <v>422</v>
      </c>
      <c r="N17" s="10" t="s">
        <v>64</v>
      </c>
      <c r="O17" s="16" t="s">
        <v>433</v>
      </c>
      <c r="P17" s="11" t="s">
        <v>422</v>
      </c>
      <c r="Q17" s="11" t="s">
        <v>420</v>
      </c>
      <c r="R17" s="11" t="s">
        <v>1065</v>
      </c>
      <c r="S17" s="10" t="s">
        <v>62</v>
      </c>
      <c r="T17" s="81">
        <v>8</v>
      </c>
      <c r="U17" s="10" t="s">
        <v>432</v>
      </c>
      <c r="V17" s="10" t="s">
        <v>450</v>
      </c>
      <c r="X17" s="15">
        <v>5</v>
      </c>
      <c r="Y17" s="10" t="s">
        <v>31</v>
      </c>
      <c r="Z17" s="10" t="s">
        <v>2279</v>
      </c>
      <c r="AA17" s="10" t="s">
        <v>23</v>
      </c>
      <c r="AB17" s="10" t="s">
        <v>2841</v>
      </c>
    </row>
    <row r="18" spans="1:28">
      <c r="A18" s="10" t="s">
        <v>501</v>
      </c>
      <c r="B18" s="11" t="s">
        <v>65</v>
      </c>
      <c r="C18" s="11" t="s">
        <v>417</v>
      </c>
      <c r="D18" s="12">
        <v>18</v>
      </c>
      <c r="E18" s="11" t="s">
        <v>418</v>
      </c>
      <c r="F18" s="14" t="str">
        <f>_xlfn.XLOOKUP(E18,Profession!$B$2:$B$15,Profession!$A$2:$A$15,"Not Found")</f>
        <v>P001</v>
      </c>
      <c r="G18" s="11" t="s">
        <v>1115</v>
      </c>
      <c r="H18" s="10" t="str">
        <f>_xlfn.XLOOKUP(G18,Region!$B$2:$B$16,Region!$A$2:$A$16,"Not Found")</f>
        <v>R002</v>
      </c>
      <c r="I18" s="10" t="s">
        <v>420</v>
      </c>
      <c r="J18" s="10" t="s">
        <v>420</v>
      </c>
      <c r="K18" s="10" t="s">
        <v>435</v>
      </c>
      <c r="L18" s="10" t="s">
        <v>1058</v>
      </c>
      <c r="M18" s="16" t="s">
        <v>436</v>
      </c>
      <c r="N18" s="10" t="s">
        <v>67</v>
      </c>
      <c r="O18" s="16" t="s">
        <v>433</v>
      </c>
      <c r="P18" s="11" t="s">
        <v>422</v>
      </c>
      <c r="Q18" s="11" t="s">
        <v>420</v>
      </c>
      <c r="R18" s="11" t="s">
        <v>1065</v>
      </c>
      <c r="S18" s="10" t="s">
        <v>62</v>
      </c>
      <c r="T18" s="81">
        <v>10</v>
      </c>
      <c r="U18" s="10" t="s">
        <v>420</v>
      </c>
      <c r="V18" s="10" t="s">
        <v>2277</v>
      </c>
      <c r="X18" s="15">
        <v>5</v>
      </c>
      <c r="Y18" s="10" t="s">
        <v>34</v>
      </c>
      <c r="Z18" s="10" t="s">
        <v>2279</v>
      </c>
      <c r="AA18" s="10" t="s">
        <v>23</v>
      </c>
      <c r="AB18" s="10" t="s">
        <v>46</v>
      </c>
    </row>
    <row r="19" spans="1:28">
      <c r="A19" s="10" t="s">
        <v>502</v>
      </c>
      <c r="B19" s="11" t="s">
        <v>68</v>
      </c>
      <c r="C19" s="11" t="s">
        <v>417</v>
      </c>
      <c r="D19" s="12">
        <v>20</v>
      </c>
      <c r="E19" s="11" t="s">
        <v>418</v>
      </c>
      <c r="F19" s="14" t="str">
        <f>_xlfn.XLOOKUP(E19,Profession!$B$2:$B$15,Profession!$A$2:$A$15,"Not Found")</f>
        <v>P001</v>
      </c>
      <c r="G19" s="11" t="s">
        <v>1115</v>
      </c>
      <c r="H19" s="10" t="str">
        <f>_xlfn.XLOOKUP(G19,Region!$B$2:$B$16,Region!$A$2:$A$16,"Not Found")</f>
        <v>R002</v>
      </c>
      <c r="I19" s="10" t="s">
        <v>420</v>
      </c>
      <c r="J19" s="10" t="s">
        <v>420</v>
      </c>
      <c r="K19" s="10" t="s">
        <v>435</v>
      </c>
      <c r="L19" s="10" t="s">
        <v>1057</v>
      </c>
      <c r="M19" s="16" t="s">
        <v>432</v>
      </c>
      <c r="N19" s="10" t="s">
        <v>64</v>
      </c>
      <c r="O19" s="16" t="s">
        <v>433</v>
      </c>
      <c r="P19" s="11" t="s">
        <v>422</v>
      </c>
      <c r="Q19" s="11" t="s">
        <v>1061</v>
      </c>
      <c r="R19" s="11" t="s">
        <v>1066</v>
      </c>
      <c r="S19" s="10" t="s">
        <v>62</v>
      </c>
      <c r="T19" s="81">
        <v>8</v>
      </c>
      <c r="U19" s="10" t="s">
        <v>420</v>
      </c>
      <c r="V19" s="10" t="s">
        <v>450</v>
      </c>
      <c r="X19" s="15">
        <v>8</v>
      </c>
      <c r="Y19" s="10" t="s">
        <v>69</v>
      </c>
      <c r="Z19" s="10" t="s">
        <v>2281</v>
      </c>
      <c r="AA19" s="10" t="s">
        <v>70</v>
      </c>
      <c r="AB19" s="10" t="s">
        <v>2842</v>
      </c>
    </row>
    <row r="20" spans="1:28">
      <c r="A20" s="10" t="s">
        <v>503</v>
      </c>
      <c r="B20" s="11" t="s">
        <v>71</v>
      </c>
      <c r="C20" s="11" t="s">
        <v>417</v>
      </c>
      <c r="D20" s="12">
        <v>19</v>
      </c>
      <c r="E20" s="11" t="s">
        <v>418</v>
      </c>
      <c r="F20" s="14" t="str">
        <f>_xlfn.XLOOKUP(E20,Profession!$B$2:$B$15,Profession!$A$2:$A$15,"Not Found")</f>
        <v>P001</v>
      </c>
      <c r="G20" s="11" t="s">
        <v>1115</v>
      </c>
      <c r="H20" s="10" t="str">
        <f>_xlfn.XLOOKUP(G20,Region!$B$2:$B$16,Region!$A$2:$A$16,"Not Found")</f>
        <v>R002</v>
      </c>
      <c r="I20" s="10" t="s">
        <v>420</v>
      </c>
      <c r="J20" s="10" t="s">
        <v>420</v>
      </c>
      <c r="K20" s="10" t="s">
        <v>435</v>
      </c>
      <c r="L20" s="10" t="s">
        <v>1057</v>
      </c>
      <c r="M20" s="16" t="s">
        <v>422</v>
      </c>
      <c r="N20" s="10" t="s">
        <v>64</v>
      </c>
      <c r="O20" s="16" t="s">
        <v>433</v>
      </c>
      <c r="P20" s="11" t="s">
        <v>422</v>
      </c>
      <c r="Q20" s="11" t="s">
        <v>426</v>
      </c>
      <c r="R20" s="11" t="s">
        <v>1065</v>
      </c>
      <c r="S20" s="10" t="s">
        <v>62</v>
      </c>
      <c r="T20" s="81">
        <v>8</v>
      </c>
      <c r="U20" s="10" t="s">
        <v>420</v>
      </c>
      <c r="V20" s="10" t="s">
        <v>2277</v>
      </c>
      <c r="X20" s="15">
        <v>5</v>
      </c>
      <c r="Y20" s="10" t="s">
        <v>34</v>
      </c>
      <c r="Z20" s="10" t="s">
        <v>2849</v>
      </c>
      <c r="AA20" s="10" t="s">
        <v>23</v>
      </c>
      <c r="AB20" s="10" t="s">
        <v>28</v>
      </c>
    </row>
    <row r="21" spans="1:28">
      <c r="A21" s="10" t="s">
        <v>504</v>
      </c>
      <c r="B21" s="11" t="s">
        <v>72</v>
      </c>
      <c r="C21" s="11" t="s">
        <v>417</v>
      </c>
      <c r="D21" s="12">
        <v>19</v>
      </c>
      <c r="E21" s="11" t="s">
        <v>418</v>
      </c>
      <c r="F21" s="14" t="str">
        <f>_xlfn.XLOOKUP(E21,Profession!$B$2:$B$15,Profession!$A$2:$A$15,"Not Found")</f>
        <v>P001</v>
      </c>
      <c r="G21" s="11" t="s">
        <v>1115</v>
      </c>
      <c r="H21" s="10" t="str">
        <f>_xlfn.XLOOKUP(G21,Region!$B$2:$B$16,Region!$A$2:$A$16,"Not Found")</f>
        <v>R002</v>
      </c>
      <c r="I21" s="10" t="s">
        <v>420</v>
      </c>
      <c r="J21" s="10" t="s">
        <v>420</v>
      </c>
      <c r="K21" s="10" t="s">
        <v>435</v>
      </c>
      <c r="L21" s="10" t="s">
        <v>1058</v>
      </c>
      <c r="M21" s="16" t="s">
        <v>432</v>
      </c>
      <c r="N21" s="10" t="s">
        <v>64</v>
      </c>
      <c r="O21" s="16" t="s">
        <v>433</v>
      </c>
      <c r="P21" s="11" t="s">
        <v>422</v>
      </c>
      <c r="Q21" s="11" t="s">
        <v>420</v>
      </c>
      <c r="R21" s="11" t="s">
        <v>1065</v>
      </c>
      <c r="S21" s="10" t="s">
        <v>2886</v>
      </c>
      <c r="T21" s="81">
        <v>8</v>
      </c>
      <c r="U21" s="10" t="s">
        <v>420</v>
      </c>
      <c r="V21" s="10" t="s">
        <v>2277</v>
      </c>
      <c r="X21" s="15">
        <v>5</v>
      </c>
      <c r="Y21" s="10" t="s">
        <v>36</v>
      </c>
      <c r="Z21" s="10" t="s">
        <v>2849</v>
      </c>
      <c r="AA21" s="10" t="s">
        <v>23</v>
      </c>
      <c r="AB21" s="10" t="s">
        <v>24</v>
      </c>
    </row>
    <row r="22" spans="1:28">
      <c r="A22" s="10" t="s">
        <v>505</v>
      </c>
      <c r="B22" s="11" t="s">
        <v>73</v>
      </c>
      <c r="C22" s="11" t="s">
        <v>417</v>
      </c>
      <c r="D22" s="12">
        <v>19</v>
      </c>
      <c r="E22" s="11" t="s">
        <v>418</v>
      </c>
      <c r="F22" s="14" t="str">
        <f>_xlfn.XLOOKUP(E22,Profession!$B$2:$B$15,Profession!$A$2:$A$15,"Not Found")</f>
        <v>P001</v>
      </c>
      <c r="G22" s="11" t="s">
        <v>1115</v>
      </c>
      <c r="H22" s="10" t="str">
        <f>_xlfn.XLOOKUP(G22,Region!$B$2:$B$16,Region!$A$2:$A$16,"Not Found")</f>
        <v>R002</v>
      </c>
      <c r="I22" s="10" t="s">
        <v>420</v>
      </c>
      <c r="J22" s="10" t="s">
        <v>420</v>
      </c>
      <c r="K22" s="10" t="s">
        <v>435</v>
      </c>
      <c r="L22" s="10" t="s">
        <v>1058</v>
      </c>
      <c r="M22" s="16" t="s">
        <v>432</v>
      </c>
      <c r="N22" s="10" t="s">
        <v>64</v>
      </c>
      <c r="O22" s="16" t="s">
        <v>433</v>
      </c>
      <c r="P22" s="11" t="s">
        <v>422</v>
      </c>
      <c r="Q22" s="11" t="s">
        <v>420</v>
      </c>
      <c r="R22" s="11" t="s">
        <v>1065</v>
      </c>
      <c r="S22" s="10" t="s">
        <v>2886</v>
      </c>
      <c r="T22" s="81">
        <v>8</v>
      </c>
      <c r="U22" s="10" t="s">
        <v>420</v>
      </c>
      <c r="V22" s="10" t="s">
        <v>2277</v>
      </c>
      <c r="X22" s="15">
        <v>5</v>
      </c>
      <c r="Y22" s="10" t="s">
        <v>36</v>
      </c>
      <c r="Z22" s="10" t="s">
        <v>2849</v>
      </c>
      <c r="AA22" s="10" t="s">
        <v>23</v>
      </c>
      <c r="AB22" s="10" t="s">
        <v>24</v>
      </c>
    </row>
    <row r="23" spans="1:28">
      <c r="A23" s="10" t="s">
        <v>506</v>
      </c>
      <c r="B23" s="11" t="s">
        <v>74</v>
      </c>
      <c r="C23" s="11" t="s">
        <v>417</v>
      </c>
      <c r="D23" s="12">
        <v>19</v>
      </c>
      <c r="E23" s="11" t="s">
        <v>418</v>
      </c>
      <c r="F23" s="14" t="str">
        <f>_xlfn.XLOOKUP(E23,Profession!$B$2:$B$15,Profession!$A$2:$A$15,"Not Found")</f>
        <v>P001</v>
      </c>
      <c r="G23" s="11" t="s">
        <v>1115</v>
      </c>
      <c r="H23" s="10" t="str">
        <f>_xlfn.XLOOKUP(G23,Region!$B$2:$B$16,Region!$A$2:$A$16,"Not Found")</f>
        <v>R002</v>
      </c>
      <c r="I23" s="10" t="s">
        <v>420</v>
      </c>
      <c r="J23" s="10" t="s">
        <v>420</v>
      </c>
      <c r="K23" s="10" t="s">
        <v>435</v>
      </c>
      <c r="L23" s="10" t="s">
        <v>1057</v>
      </c>
      <c r="M23" s="16" t="s">
        <v>432</v>
      </c>
      <c r="N23" s="10" t="s">
        <v>64</v>
      </c>
      <c r="O23" s="16" t="s">
        <v>433</v>
      </c>
      <c r="P23" s="11" t="s">
        <v>435</v>
      </c>
      <c r="Q23" s="11" t="s">
        <v>420</v>
      </c>
      <c r="R23" s="11" t="s">
        <v>1067</v>
      </c>
      <c r="S23" s="10" t="s">
        <v>62</v>
      </c>
      <c r="T23" s="81">
        <v>6</v>
      </c>
      <c r="U23" s="10" t="s">
        <v>420</v>
      </c>
      <c r="V23" s="10" t="s">
        <v>450</v>
      </c>
      <c r="X23" s="15">
        <v>6</v>
      </c>
      <c r="Y23" s="10" t="s">
        <v>75</v>
      </c>
      <c r="Z23" s="10" t="s">
        <v>2847</v>
      </c>
      <c r="AA23" s="10" t="s">
        <v>70</v>
      </c>
      <c r="AB23" s="10" t="s">
        <v>46</v>
      </c>
    </row>
    <row r="24" spans="1:28">
      <c r="A24" s="10" t="s">
        <v>507</v>
      </c>
      <c r="B24" s="11" t="s">
        <v>76</v>
      </c>
      <c r="C24" s="11" t="s">
        <v>417</v>
      </c>
      <c r="D24" s="12">
        <v>19</v>
      </c>
      <c r="E24" s="11" t="s">
        <v>418</v>
      </c>
      <c r="F24" s="14" t="str">
        <f>_xlfn.XLOOKUP(E24,Profession!$B$2:$B$15,Profession!$A$2:$A$15,"Not Found")</f>
        <v>P001</v>
      </c>
      <c r="G24" s="11" t="s">
        <v>1115</v>
      </c>
      <c r="H24" s="10" t="str">
        <f>_xlfn.XLOOKUP(G24,Region!$B$2:$B$16,Region!$A$2:$A$16,"Not Found")</f>
        <v>R002</v>
      </c>
      <c r="I24" s="10" t="s">
        <v>420</v>
      </c>
      <c r="J24" s="10" t="s">
        <v>420</v>
      </c>
      <c r="K24" s="10" t="s">
        <v>435</v>
      </c>
      <c r="L24" s="10" t="s">
        <v>1057</v>
      </c>
      <c r="M24" s="16" t="s">
        <v>429</v>
      </c>
      <c r="N24" s="10" t="s">
        <v>61</v>
      </c>
      <c r="O24" s="16" t="s">
        <v>433</v>
      </c>
      <c r="P24" s="11" t="s">
        <v>422</v>
      </c>
      <c r="Q24" s="11" t="s">
        <v>1061</v>
      </c>
      <c r="R24" s="11" t="s">
        <v>1067</v>
      </c>
      <c r="S24" s="10" t="s">
        <v>62</v>
      </c>
      <c r="T24" s="81">
        <v>6</v>
      </c>
      <c r="U24" s="10" t="s">
        <v>420</v>
      </c>
      <c r="V24" s="10" t="s">
        <v>450</v>
      </c>
      <c r="X24" s="15">
        <v>6</v>
      </c>
      <c r="Y24" s="10" t="s">
        <v>77</v>
      </c>
      <c r="Z24" s="10" t="s">
        <v>2282</v>
      </c>
      <c r="AA24" s="10" t="s">
        <v>23</v>
      </c>
      <c r="AB24" s="10" t="s">
        <v>46</v>
      </c>
    </row>
    <row r="25" spans="1:28">
      <c r="A25" s="10" t="s">
        <v>508</v>
      </c>
      <c r="B25" s="11" t="s">
        <v>78</v>
      </c>
      <c r="C25" s="11" t="s">
        <v>417</v>
      </c>
      <c r="D25" s="12">
        <v>18</v>
      </c>
      <c r="E25" s="11" t="s">
        <v>418</v>
      </c>
      <c r="F25" s="14" t="str">
        <f>_xlfn.XLOOKUP(E25,Profession!$B$2:$B$15,Profession!$A$2:$A$15,"Not Found")</f>
        <v>P001</v>
      </c>
      <c r="G25" s="11" t="s">
        <v>1115</v>
      </c>
      <c r="H25" s="10" t="str">
        <f>_xlfn.XLOOKUP(G25,Region!$B$2:$B$16,Region!$A$2:$A$16,"Not Found")</f>
        <v>R002</v>
      </c>
      <c r="I25" s="10" t="s">
        <v>420</v>
      </c>
      <c r="J25" s="10" t="s">
        <v>420</v>
      </c>
      <c r="K25" s="10" t="s">
        <v>435</v>
      </c>
      <c r="L25" s="10" t="s">
        <v>1057</v>
      </c>
      <c r="M25" s="16" t="s">
        <v>422</v>
      </c>
      <c r="N25" s="10" t="s">
        <v>19</v>
      </c>
      <c r="O25" s="16" t="s">
        <v>433</v>
      </c>
      <c r="P25" s="11" t="s">
        <v>435</v>
      </c>
      <c r="Q25" s="11" t="s">
        <v>1061</v>
      </c>
      <c r="R25" s="11" t="s">
        <v>1068</v>
      </c>
      <c r="S25" s="10" t="s">
        <v>62</v>
      </c>
      <c r="T25" s="81">
        <v>8</v>
      </c>
      <c r="U25" s="10" t="s">
        <v>420</v>
      </c>
      <c r="V25" s="10" t="s">
        <v>450</v>
      </c>
      <c r="X25" s="15">
        <v>6</v>
      </c>
      <c r="Y25" s="10" t="s">
        <v>36</v>
      </c>
      <c r="Z25" s="10" t="s">
        <v>2849</v>
      </c>
      <c r="AA25" s="10" t="s">
        <v>23</v>
      </c>
      <c r="AB25" s="10" t="s">
        <v>2841</v>
      </c>
    </row>
    <row r="26" spans="1:28">
      <c r="A26" s="10" t="s">
        <v>509</v>
      </c>
      <c r="B26" s="11" t="s">
        <v>79</v>
      </c>
      <c r="C26" s="11" t="s">
        <v>417</v>
      </c>
      <c r="D26" s="12">
        <v>19</v>
      </c>
      <c r="E26" s="11" t="s">
        <v>418</v>
      </c>
      <c r="F26" s="14" t="str">
        <f>_xlfn.XLOOKUP(E26,Profession!$B$2:$B$15,Profession!$A$2:$A$15,"Not Found")</f>
        <v>P001</v>
      </c>
      <c r="G26" s="11" t="s">
        <v>1115</v>
      </c>
      <c r="H26" s="10" t="str">
        <f>_xlfn.XLOOKUP(G26,Region!$B$2:$B$16,Region!$A$2:$A$16,"Not Found")</f>
        <v>R002</v>
      </c>
      <c r="I26" s="10" t="s">
        <v>420</v>
      </c>
      <c r="J26" s="10" t="s">
        <v>420</v>
      </c>
      <c r="K26" s="10" t="s">
        <v>431</v>
      </c>
      <c r="L26" s="10" t="s">
        <v>1057</v>
      </c>
      <c r="M26" s="16" t="s">
        <v>422</v>
      </c>
      <c r="N26" s="10" t="s">
        <v>61</v>
      </c>
      <c r="O26" s="16" t="s">
        <v>433</v>
      </c>
      <c r="P26" s="11" t="s">
        <v>422</v>
      </c>
      <c r="Q26" s="11" t="s">
        <v>1061</v>
      </c>
      <c r="R26" s="11" t="s">
        <v>1065</v>
      </c>
      <c r="S26" s="10" t="s">
        <v>62</v>
      </c>
      <c r="T26" s="81">
        <v>8</v>
      </c>
      <c r="U26" s="10" t="s">
        <v>420</v>
      </c>
      <c r="V26" s="10" t="s">
        <v>2277</v>
      </c>
      <c r="X26" s="15">
        <v>5</v>
      </c>
      <c r="Y26" s="10" t="s">
        <v>27</v>
      </c>
      <c r="Z26" s="10" t="s">
        <v>2849</v>
      </c>
      <c r="AA26" s="10" t="s">
        <v>23</v>
      </c>
      <c r="AB26" s="10" t="s">
        <v>46</v>
      </c>
    </row>
    <row r="27" spans="1:28">
      <c r="A27" s="10" t="s">
        <v>510</v>
      </c>
      <c r="B27" s="11" t="s">
        <v>80</v>
      </c>
      <c r="C27" s="11" t="s">
        <v>417</v>
      </c>
      <c r="D27" s="12">
        <v>20</v>
      </c>
      <c r="E27" s="11" t="s">
        <v>418</v>
      </c>
      <c r="F27" s="14" t="str">
        <f>_xlfn.XLOOKUP(E27,Profession!$B$2:$B$15,Profession!$A$2:$A$15,"Not Found")</f>
        <v>P001</v>
      </c>
      <c r="G27" s="11" t="s">
        <v>1115</v>
      </c>
      <c r="H27" s="10" t="str">
        <f>_xlfn.XLOOKUP(G27,Region!$B$2:$B$16,Region!$A$2:$A$16,"Not Found")</f>
        <v>R002</v>
      </c>
      <c r="I27" s="10" t="s">
        <v>420</v>
      </c>
      <c r="J27" s="10" t="s">
        <v>420</v>
      </c>
      <c r="K27" s="10" t="s">
        <v>431</v>
      </c>
      <c r="L27" s="10" t="s">
        <v>1057</v>
      </c>
      <c r="M27" s="16" t="s">
        <v>436</v>
      </c>
      <c r="N27" s="10" t="s">
        <v>61</v>
      </c>
      <c r="O27" s="16" t="s">
        <v>433</v>
      </c>
      <c r="P27" s="11" t="s">
        <v>422</v>
      </c>
      <c r="Q27" s="11" t="s">
        <v>420</v>
      </c>
      <c r="R27" s="11" t="s">
        <v>1065</v>
      </c>
      <c r="S27" s="10" t="s">
        <v>62</v>
      </c>
      <c r="T27" s="81">
        <v>8</v>
      </c>
      <c r="U27" s="10" t="s">
        <v>432</v>
      </c>
      <c r="V27" s="10" t="s">
        <v>450</v>
      </c>
      <c r="X27" s="15">
        <v>5</v>
      </c>
      <c r="Y27" s="10" t="s">
        <v>31</v>
      </c>
      <c r="Z27" s="10" t="s">
        <v>2279</v>
      </c>
      <c r="AA27" s="10" t="s">
        <v>23</v>
      </c>
      <c r="AB27" s="10" t="s">
        <v>28</v>
      </c>
    </row>
    <row r="28" spans="1:28">
      <c r="A28" s="10" t="s">
        <v>511</v>
      </c>
      <c r="B28" s="11" t="s">
        <v>81</v>
      </c>
      <c r="C28" s="11" t="s">
        <v>417</v>
      </c>
      <c r="D28" s="12">
        <v>20</v>
      </c>
      <c r="E28" s="11" t="s">
        <v>418</v>
      </c>
      <c r="F28" s="14" t="str">
        <f>_xlfn.XLOOKUP(E28,Profession!$B$2:$B$15,Profession!$A$2:$A$15,"Not Found")</f>
        <v>P001</v>
      </c>
      <c r="G28" s="11" t="s">
        <v>1115</v>
      </c>
      <c r="H28" s="10" t="str">
        <f>_xlfn.XLOOKUP(G28,Region!$B$2:$B$16,Region!$A$2:$A$16,"Not Found")</f>
        <v>R002</v>
      </c>
      <c r="I28" s="10" t="s">
        <v>420</v>
      </c>
      <c r="J28" s="10" t="s">
        <v>420</v>
      </c>
      <c r="K28" s="10" t="s">
        <v>434</v>
      </c>
      <c r="L28" s="10" t="s">
        <v>1057</v>
      </c>
      <c r="M28" s="16" t="s">
        <v>432</v>
      </c>
      <c r="N28" s="10" t="s">
        <v>61</v>
      </c>
      <c r="O28" s="16" t="s">
        <v>433</v>
      </c>
      <c r="P28" s="11" t="s">
        <v>422</v>
      </c>
      <c r="Q28" s="11" t="s">
        <v>420</v>
      </c>
      <c r="R28" s="11" t="s">
        <v>1065</v>
      </c>
      <c r="S28" s="10" t="s">
        <v>62</v>
      </c>
      <c r="T28" s="81">
        <v>10</v>
      </c>
      <c r="U28" s="10" t="s">
        <v>420</v>
      </c>
      <c r="V28" s="10" t="s">
        <v>2277</v>
      </c>
      <c r="X28" s="15">
        <v>5</v>
      </c>
      <c r="Y28" s="10" t="s">
        <v>34</v>
      </c>
      <c r="Z28" s="10" t="s">
        <v>2279</v>
      </c>
      <c r="AA28" s="10" t="s">
        <v>23</v>
      </c>
      <c r="AB28" s="10" t="s">
        <v>24</v>
      </c>
    </row>
    <row r="29" spans="1:28">
      <c r="A29" s="10" t="s">
        <v>512</v>
      </c>
      <c r="B29" s="11" t="s">
        <v>82</v>
      </c>
      <c r="C29" s="11" t="s">
        <v>417</v>
      </c>
      <c r="D29" s="12">
        <v>19</v>
      </c>
      <c r="E29" s="11" t="s">
        <v>418</v>
      </c>
      <c r="F29" s="14" t="str">
        <f>_xlfn.XLOOKUP(E29,Profession!$B$2:$B$15,Profession!$A$2:$A$15,"Not Found")</f>
        <v>P001</v>
      </c>
      <c r="G29" s="11" t="s">
        <v>1115</v>
      </c>
      <c r="H29" s="10" t="str">
        <f>_xlfn.XLOOKUP(G29,Region!$B$2:$B$16,Region!$A$2:$A$16,"Not Found")</f>
        <v>R002</v>
      </c>
      <c r="I29" s="10" t="s">
        <v>420</v>
      </c>
      <c r="J29" s="10" t="s">
        <v>420</v>
      </c>
      <c r="K29" s="10" t="s">
        <v>434</v>
      </c>
      <c r="L29" s="10" t="s">
        <v>1057</v>
      </c>
      <c r="M29" s="16" t="s">
        <v>422</v>
      </c>
      <c r="N29" s="10" t="s">
        <v>61</v>
      </c>
      <c r="O29" s="16" t="s">
        <v>433</v>
      </c>
      <c r="P29" s="11" t="s">
        <v>422</v>
      </c>
      <c r="Q29" s="11" t="s">
        <v>1061</v>
      </c>
      <c r="R29" s="11" t="s">
        <v>1066</v>
      </c>
      <c r="S29" s="10" t="s">
        <v>62</v>
      </c>
      <c r="T29" s="81">
        <v>8</v>
      </c>
      <c r="U29" s="10" t="s">
        <v>420</v>
      </c>
      <c r="V29" s="10" t="s">
        <v>450</v>
      </c>
      <c r="X29" s="15">
        <v>8</v>
      </c>
      <c r="Y29" s="10" t="s">
        <v>69</v>
      </c>
      <c r="Z29" s="10" t="s">
        <v>2281</v>
      </c>
      <c r="AA29" s="10" t="s">
        <v>70</v>
      </c>
      <c r="AB29" s="10" t="s">
        <v>46</v>
      </c>
    </row>
    <row r="30" spans="1:28">
      <c r="A30" s="10" t="s">
        <v>513</v>
      </c>
      <c r="B30" s="11" t="s">
        <v>83</v>
      </c>
      <c r="C30" s="11" t="s">
        <v>417</v>
      </c>
      <c r="D30" s="12">
        <v>20</v>
      </c>
      <c r="E30" s="11" t="s">
        <v>418</v>
      </c>
      <c r="F30" s="14" t="str">
        <f>_xlfn.XLOOKUP(E30,Profession!$B$2:$B$15,Profession!$A$2:$A$15,"Not Found")</f>
        <v>P001</v>
      </c>
      <c r="G30" s="11" t="s">
        <v>1115</v>
      </c>
      <c r="H30" s="10" t="str">
        <f>_xlfn.XLOOKUP(G30,Region!$B$2:$B$16,Region!$A$2:$A$16,"Not Found")</f>
        <v>R002</v>
      </c>
      <c r="I30" s="10" t="s">
        <v>420</v>
      </c>
      <c r="J30" s="10" t="s">
        <v>420</v>
      </c>
      <c r="K30" s="10" t="s">
        <v>435</v>
      </c>
      <c r="L30" s="10" t="s">
        <v>1057</v>
      </c>
      <c r="M30" s="16" t="s">
        <v>422</v>
      </c>
      <c r="N30" s="10" t="s">
        <v>61</v>
      </c>
      <c r="O30" s="16" t="s">
        <v>433</v>
      </c>
      <c r="P30" s="11" t="s">
        <v>422</v>
      </c>
      <c r="Q30" s="11" t="s">
        <v>426</v>
      </c>
      <c r="R30" s="11" t="s">
        <v>1065</v>
      </c>
      <c r="S30" s="10" t="s">
        <v>62</v>
      </c>
      <c r="T30" s="81">
        <v>8</v>
      </c>
      <c r="U30" s="10" t="s">
        <v>420</v>
      </c>
      <c r="V30" s="10" t="s">
        <v>2277</v>
      </c>
      <c r="X30" s="15">
        <v>5</v>
      </c>
      <c r="Y30" s="10" t="s">
        <v>34</v>
      </c>
      <c r="Z30" s="10" t="s">
        <v>2849</v>
      </c>
      <c r="AA30" s="10" t="s">
        <v>23</v>
      </c>
      <c r="AB30" s="10" t="s">
        <v>46</v>
      </c>
    </row>
    <row r="31" spans="1:28">
      <c r="A31" s="10" t="s">
        <v>514</v>
      </c>
      <c r="B31" s="11" t="s">
        <v>84</v>
      </c>
      <c r="C31" s="11" t="s">
        <v>417</v>
      </c>
      <c r="D31" s="12">
        <v>20</v>
      </c>
      <c r="E31" s="11" t="s">
        <v>418</v>
      </c>
      <c r="F31" s="14" t="str">
        <f>_xlfn.XLOOKUP(E31,Profession!$B$2:$B$15,Profession!$A$2:$A$15,"Not Found")</f>
        <v>P001</v>
      </c>
      <c r="G31" s="11" t="s">
        <v>1115</v>
      </c>
      <c r="H31" s="10" t="str">
        <f>_xlfn.XLOOKUP(G31,Region!$B$2:$B$16,Region!$A$2:$A$16,"Not Found")</f>
        <v>R002</v>
      </c>
      <c r="I31" s="10" t="s">
        <v>420</v>
      </c>
      <c r="J31" s="10" t="s">
        <v>420</v>
      </c>
      <c r="K31" s="10" t="s">
        <v>434</v>
      </c>
      <c r="L31" s="10" t="s">
        <v>1057</v>
      </c>
      <c r="M31" s="16" t="s">
        <v>422</v>
      </c>
      <c r="N31" s="10" t="s">
        <v>61</v>
      </c>
      <c r="O31" s="16" t="s">
        <v>433</v>
      </c>
      <c r="P31" s="11" t="s">
        <v>422</v>
      </c>
      <c r="Q31" s="11" t="s">
        <v>420</v>
      </c>
      <c r="R31" s="11" t="s">
        <v>1065</v>
      </c>
      <c r="S31" s="10" t="s">
        <v>2886</v>
      </c>
      <c r="T31" s="81">
        <v>8</v>
      </c>
      <c r="U31" s="10" t="s">
        <v>420</v>
      </c>
      <c r="V31" s="10" t="s">
        <v>2277</v>
      </c>
      <c r="X31" s="15">
        <v>5</v>
      </c>
      <c r="Y31" s="10" t="s">
        <v>36</v>
      </c>
      <c r="Z31" s="10" t="s">
        <v>2849</v>
      </c>
      <c r="AA31" s="10" t="s">
        <v>23</v>
      </c>
      <c r="AB31" s="10" t="s">
        <v>24</v>
      </c>
    </row>
    <row r="32" spans="1:28">
      <c r="A32" s="10" t="s">
        <v>515</v>
      </c>
      <c r="B32" s="11" t="s">
        <v>85</v>
      </c>
      <c r="C32" s="11" t="s">
        <v>437</v>
      </c>
      <c r="D32" s="12">
        <v>20</v>
      </c>
      <c r="E32" s="11" t="s">
        <v>418</v>
      </c>
      <c r="F32" s="14" t="str">
        <f>_xlfn.XLOOKUP(E32,Profession!$B$2:$B$15,Profession!$A$2:$A$15,"Not Found")</f>
        <v>P001</v>
      </c>
      <c r="G32" s="11" t="s">
        <v>419</v>
      </c>
      <c r="H32" s="10" t="str">
        <f>_xlfn.XLOOKUP(G32,Region!$B$2:$B$16,Region!$A$2:$A$16,"Not Found")</f>
        <v>R001</v>
      </c>
      <c r="I32" s="10" t="s">
        <v>420</v>
      </c>
      <c r="J32" s="10" t="s">
        <v>420</v>
      </c>
      <c r="K32" s="10" t="s">
        <v>426</v>
      </c>
      <c r="L32" s="10" t="s">
        <v>1057</v>
      </c>
      <c r="M32" s="16" t="s">
        <v>422</v>
      </c>
      <c r="N32" s="10" t="s">
        <v>86</v>
      </c>
      <c r="O32" s="16" t="s">
        <v>423</v>
      </c>
      <c r="P32" s="11" t="s">
        <v>1059</v>
      </c>
      <c r="Q32" s="11" t="s">
        <v>422</v>
      </c>
      <c r="R32" s="11" t="s">
        <v>1062</v>
      </c>
      <c r="S32" s="10" t="s">
        <v>2884</v>
      </c>
      <c r="T32" s="81">
        <v>7</v>
      </c>
      <c r="U32" s="10" t="s">
        <v>2276</v>
      </c>
      <c r="V32" s="10" t="s">
        <v>2277</v>
      </c>
      <c r="X32" s="15">
        <v>3</v>
      </c>
      <c r="Y32" s="10" t="s">
        <v>87</v>
      </c>
      <c r="Z32" s="10" t="s">
        <v>2848</v>
      </c>
      <c r="AA32" s="10" t="s">
        <v>23</v>
      </c>
      <c r="AB32" s="10" t="s">
        <v>46</v>
      </c>
    </row>
    <row r="33" spans="1:28">
      <c r="A33" s="10" t="s">
        <v>516</v>
      </c>
      <c r="B33" s="11" t="s">
        <v>88</v>
      </c>
      <c r="C33" s="11" t="s">
        <v>437</v>
      </c>
      <c r="D33" s="12">
        <v>19</v>
      </c>
      <c r="E33" s="11" t="s">
        <v>418</v>
      </c>
      <c r="F33" s="14" t="str">
        <f>_xlfn.XLOOKUP(E33,Profession!$B$2:$B$15,Profession!$A$2:$A$15,"Not Found")</f>
        <v>P001</v>
      </c>
      <c r="G33" s="11" t="s">
        <v>419</v>
      </c>
      <c r="H33" s="10" t="str">
        <f>_xlfn.XLOOKUP(G33,Region!$B$2:$B$16,Region!$A$2:$A$16,"Not Found")</f>
        <v>R001</v>
      </c>
      <c r="I33" s="10" t="s">
        <v>420</v>
      </c>
      <c r="J33" s="10" t="s">
        <v>420</v>
      </c>
      <c r="K33" s="10" t="s">
        <v>421</v>
      </c>
      <c r="L33" s="10" t="s">
        <v>1057</v>
      </c>
      <c r="M33" s="16" t="s">
        <v>422</v>
      </c>
      <c r="N33" s="10" t="s">
        <v>20</v>
      </c>
      <c r="O33" s="16" t="s">
        <v>423</v>
      </c>
      <c r="P33" s="11" t="s">
        <v>1059</v>
      </c>
      <c r="Q33" s="11" t="s">
        <v>426</v>
      </c>
      <c r="R33" s="11" t="s">
        <v>1062</v>
      </c>
      <c r="S33" s="10" t="s">
        <v>62</v>
      </c>
      <c r="T33" s="81">
        <v>6</v>
      </c>
      <c r="U33" s="10" t="s">
        <v>420</v>
      </c>
      <c r="V33" s="10" t="s">
        <v>2277</v>
      </c>
      <c r="X33" s="15">
        <v>4</v>
      </c>
      <c r="Y33" s="10" t="s">
        <v>22</v>
      </c>
      <c r="Z33" s="10" t="s">
        <v>2846</v>
      </c>
      <c r="AA33" s="10" t="s">
        <v>23</v>
      </c>
      <c r="AB33" s="10" t="s">
        <v>24</v>
      </c>
    </row>
    <row r="34" spans="1:28">
      <c r="A34" s="10" t="s">
        <v>517</v>
      </c>
      <c r="B34" s="11" t="s">
        <v>89</v>
      </c>
      <c r="C34" s="11" t="s">
        <v>437</v>
      </c>
      <c r="D34" s="12">
        <v>20</v>
      </c>
      <c r="E34" s="11" t="s">
        <v>418</v>
      </c>
      <c r="F34" s="14" t="str">
        <f>_xlfn.XLOOKUP(E34,Profession!$B$2:$B$15,Profession!$A$2:$A$15,"Not Found")</f>
        <v>P001</v>
      </c>
      <c r="G34" s="11" t="s">
        <v>419</v>
      </c>
      <c r="H34" s="10" t="str">
        <f>_xlfn.XLOOKUP(G34,Region!$B$2:$B$16,Region!$A$2:$A$16,"Not Found")</f>
        <v>R001</v>
      </c>
      <c r="I34" s="10" t="s">
        <v>420</v>
      </c>
      <c r="J34" s="10" t="s">
        <v>420</v>
      </c>
      <c r="K34" s="10" t="s">
        <v>422</v>
      </c>
      <c r="L34" s="10" t="s">
        <v>424</v>
      </c>
      <c r="M34" s="16" t="s">
        <v>422</v>
      </c>
      <c r="N34" s="10" t="s">
        <v>26</v>
      </c>
      <c r="O34" s="16" t="s">
        <v>423</v>
      </c>
      <c r="P34" s="11" t="s">
        <v>1059</v>
      </c>
      <c r="Q34" s="11" t="s">
        <v>422</v>
      </c>
      <c r="R34" s="11" t="s">
        <v>1062</v>
      </c>
      <c r="S34" s="10" t="s">
        <v>2884</v>
      </c>
      <c r="T34" s="81">
        <v>6</v>
      </c>
      <c r="U34" s="10" t="s">
        <v>420</v>
      </c>
      <c r="V34" s="10" t="s">
        <v>2277</v>
      </c>
      <c r="X34" s="15">
        <v>4</v>
      </c>
      <c r="Y34" s="10" t="s">
        <v>27</v>
      </c>
      <c r="Z34" s="10" t="s">
        <v>2849</v>
      </c>
      <c r="AA34" s="10" t="s">
        <v>23</v>
      </c>
      <c r="AB34" s="10" t="s">
        <v>46</v>
      </c>
    </row>
    <row r="35" spans="1:28">
      <c r="A35" s="10" t="s">
        <v>518</v>
      </c>
      <c r="B35" s="11" t="s">
        <v>90</v>
      </c>
      <c r="C35" s="11" t="s">
        <v>437</v>
      </c>
      <c r="D35" s="12">
        <v>19</v>
      </c>
      <c r="E35" s="11" t="s">
        <v>418</v>
      </c>
      <c r="F35" s="14" t="str">
        <f>_xlfn.XLOOKUP(E35,Profession!$B$2:$B$15,Profession!$A$2:$A$15,"Not Found")</f>
        <v>P001</v>
      </c>
      <c r="G35" s="11" t="s">
        <v>419</v>
      </c>
      <c r="H35" s="10" t="str">
        <f>_xlfn.XLOOKUP(G35,Region!$B$2:$B$16,Region!$A$2:$A$16,"Not Found")</f>
        <v>R001</v>
      </c>
      <c r="I35" s="10" t="s">
        <v>420</v>
      </c>
      <c r="J35" s="10" t="s">
        <v>420</v>
      </c>
      <c r="K35" s="10" t="s">
        <v>421</v>
      </c>
      <c r="L35" s="10" t="s">
        <v>425</v>
      </c>
      <c r="M35" s="16" t="s">
        <v>422</v>
      </c>
      <c r="N35" s="10" t="s">
        <v>30</v>
      </c>
      <c r="O35" s="16" t="s">
        <v>423</v>
      </c>
      <c r="P35" s="11" t="s">
        <v>1059</v>
      </c>
      <c r="Q35" s="11" t="s">
        <v>1073</v>
      </c>
      <c r="R35" s="11" t="s">
        <v>1062</v>
      </c>
      <c r="S35" s="10" t="s">
        <v>2884</v>
      </c>
      <c r="T35" s="81">
        <v>4</v>
      </c>
      <c r="U35" s="10" t="s">
        <v>420</v>
      </c>
      <c r="V35" s="10" t="s">
        <v>2278</v>
      </c>
      <c r="X35" s="15">
        <v>2</v>
      </c>
      <c r="Y35" s="10" t="s">
        <v>31</v>
      </c>
      <c r="Z35" s="10" t="s">
        <v>2279</v>
      </c>
      <c r="AA35" s="10" t="s">
        <v>23</v>
      </c>
      <c r="AB35" s="10" t="s">
        <v>2841</v>
      </c>
    </row>
    <row r="36" spans="1:28">
      <c r="A36" s="10" t="s">
        <v>519</v>
      </c>
      <c r="B36" s="11" t="s">
        <v>438</v>
      </c>
      <c r="C36" s="11" t="s">
        <v>437</v>
      </c>
      <c r="D36" s="12">
        <v>19</v>
      </c>
      <c r="E36" s="11" t="s">
        <v>418</v>
      </c>
      <c r="F36" s="14" t="str">
        <f>_xlfn.XLOOKUP(E36,Profession!$B$2:$B$15,Profession!$A$2:$A$15,"Not Found")</f>
        <v>P001</v>
      </c>
      <c r="G36" s="11" t="s">
        <v>419</v>
      </c>
      <c r="H36" s="10" t="str">
        <f>_xlfn.XLOOKUP(G36,Region!$B$2:$B$16,Region!$A$2:$A$16,"Not Found")</f>
        <v>R001</v>
      </c>
      <c r="I36" s="10" t="s">
        <v>420</v>
      </c>
      <c r="J36" s="10" t="s">
        <v>420</v>
      </c>
      <c r="K36" s="10" t="s">
        <v>426</v>
      </c>
      <c r="L36" s="10" t="s">
        <v>427</v>
      </c>
      <c r="M36" s="16" t="s">
        <v>422</v>
      </c>
      <c r="N36" s="10" t="s">
        <v>33</v>
      </c>
      <c r="O36" s="16" t="s">
        <v>423</v>
      </c>
      <c r="P36" s="11" t="s">
        <v>1059</v>
      </c>
      <c r="Q36" s="11" t="s">
        <v>422</v>
      </c>
      <c r="R36" s="11" t="s">
        <v>1062</v>
      </c>
      <c r="S36" s="10" t="s">
        <v>2884</v>
      </c>
      <c r="T36" s="81">
        <v>9</v>
      </c>
      <c r="U36" s="10" t="s">
        <v>420</v>
      </c>
      <c r="V36" s="10" t="s">
        <v>2278</v>
      </c>
      <c r="X36" s="15">
        <v>3</v>
      </c>
      <c r="Y36" s="10" t="s">
        <v>34</v>
      </c>
      <c r="Z36" s="10" t="s">
        <v>2279</v>
      </c>
      <c r="AA36" s="10" t="s">
        <v>23</v>
      </c>
      <c r="AB36" s="10" t="s">
        <v>28</v>
      </c>
    </row>
    <row r="37" spans="1:28">
      <c r="A37" s="10" t="s">
        <v>520</v>
      </c>
      <c r="B37" s="11" t="s">
        <v>439</v>
      </c>
      <c r="C37" s="11" t="s">
        <v>437</v>
      </c>
      <c r="D37" s="12">
        <v>19</v>
      </c>
      <c r="E37" s="11" t="s">
        <v>418</v>
      </c>
      <c r="F37" s="14" t="str">
        <f>_xlfn.XLOOKUP(E37,Profession!$B$2:$B$15,Profession!$A$2:$A$15,"Not Found")</f>
        <v>P001</v>
      </c>
      <c r="G37" s="11" t="s">
        <v>419</v>
      </c>
      <c r="H37" s="10" t="str">
        <f>_xlfn.XLOOKUP(G37,Region!$B$2:$B$16,Region!$A$2:$A$16,"Not Found")</f>
        <v>R001</v>
      </c>
      <c r="I37" s="10" t="s">
        <v>420</v>
      </c>
      <c r="J37" s="10" t="s">
        <v>420</v>
      </c>
      <c r="K37" s="10" t="s">
        <v>422</v>
      </c>
      <c r="L37" s="10" t="s">
        <v>428</v>
      </c>
      <c r="M37" s="16" t="s">
        <v>422</v>
      </c>
      <c r="N37" s="10" t="s">
        <v>26</v>
      </c>
      <c r="O37" s="16" t="s">
        <v>423</v>
      </c>
      <c r="P37" s="11" t="s">
        <v>1059</v>
      </c>
      <c r="Q37" s="11" t="s">
        <v>422</v>
      </c>
      <c r="R37" s="11" t="s">
        <v>1062</v>
      </c>
      <c r="S37" s="10" t="s">
        <v>2884</v>
      </c>
      <c r="T37" s="81">
        <v>7</v>
      </c>
      <c r="U37" s="10" t="s">
        <v>420</v>
      </c>
      <c r="V37" s="10" t="s">
        <v>2278</v>
      </c>
      <c r="X37" s="15">
        <v>3.5</v>
      </c>
      <c r="Y37" s="10" t="s">
        <v>36</v>
      </c>
      <c r="Z37" s="10" t="s">
        <v>2849</v>
      </c>
      <c r="AA37" s="10" t="s">
        <v>37</v>
      </c>
      <c r="AB37" s="10" t="s">
        <v>24</v>
      </c>
    </row>
    <row r="38" spans="1:28">
      <c r="A38" s="10" t="s">
        <v>521</v>
      </c>
      <c r="B38" s="11" t="s">
        <v>440</v>
      </c>
      <c r="C38" s="11" t="s">
        <v>437</v>
      </c>
      <c r="D38" s="12">
        <v>19</v>
      </c>
      <c r="E38" s="11" t="s">
        <v>418</v>
      </c>
      <c r="F38" s="14" t="str">
        <f>_xlfn.XLOOKUP(E38,Profession!$B$2:$B$15,Profession!$A$2:$A$15,"Not Found")</f>
        <v>P001</v>
      </c>
      <c r="G38" s="11" t="s">
        <v>419</v>
      </c>
      <c r="H38" s="10" t="str">
        <f>_xlfn.XLOOKUP(G38,Region!$B$2:$B$16,Region!$A$2:$A$16,"Not Found")</f>
        <v>R001</v>
      </c>
      <c r="I38" s="10" t="s">
        <v>420</v>
      </c>
      <c r="J38" s="10" t="s">
        <v>420</v>
      </c>
      <c r="K38" s="10" t="s">
        <v>421</v>
      </c>
      <c r="L38" s="10" t="s">
        <v>1057</v>
      </c>
      <c r="M38" s="16" t="s">
        <v>426</v>
      </c>
      <c r="N38" s="10" t="s">
        <v>39</v>
      </c>
      <c r="O38" s="16" t="s">
        <v>423</v>
      </c>
      <c r="P38" s="11" t="s">
        <v>1059</v>
      </c>
      <c r="Q38" s="11" t="s">
        <v>422</v>
      </c>
      <c r="R38" s="11" t="s">
        <v>1062</v>
      </c>
      <c r="S38" s="10" t="s">
        <v>2884</v>
      </c>
      <c r="T38" s="81">
        <v>7</v>
      </c>
      <c r="U38" s="10" t="s">
        <v>420</v>
      </c>
      <c r="V38" s="10" t="s">
        <v>2277</v>
      </c>
      <c r="X38" s="15">
        <v>4</v>
      </c>
      <c r="Y38" s="10" t="s">
        <v>40</v>
      </c>
      <c r="Z38" s="10" t="s">
        <v>2280</v>
      </c>
      <c r="AA38" s="10" t="s">
        <v>37</v>
      </c>
      <c r="AB38" s="10" t="s">
        <v>24</v>
      </c>
    </row>
    <row r="39" spans="1:28">
      <c r="A39" s="10" t="s">
        <v>522</v>
      </c>
      <c r="B39" s="11" t="s">
        <v>91</v>
      </c>
      <c r="C39" s="11" t="s">
        <v>437</v>
      </c>
      <c r="D39" s="12">
        <v>19</v>
      </c>
      <c r="E39" s="11" t="s">
        <v>418</v>
      </c>
      <c r="F39" s="14" t="str">
        <f>_xlfn.XLOOKUP(E39,Profession!$B$2:$B$15,Profession!$A$2:$A$15,"Not Found")</f>
        <v>P001</v>
      </c>
      <c r="G39" s="11" t="s">
        <v>419</v>
      </c>
      <c r="H39" s="10" t="str">
        <f>_xlfn.XLOOKUP(G39,Region!$B$2:$B$16,Region!$A$2:$A$16,"Not Found")</f>
        <v>R001</v>
      </c>
      <c r="I39" s="10" t="s">
        <v>420</v>
      </c>
      <c r="J39" s="10" t="s">
        <v>420</v>
      </c>
      <c r="K39" s="10" t="s">
        <v>421</v>
      </c>
      <c r="L39" s="10" t="s">
        <v>1058</v>
      </c>
      <c r="M39" s="16" t="s">
        <v>422</v>
      </c>
      <c r="N39" s="10" t="s">
        <v>39</v>
      </c>
      <c r="O39" s="16" t="s">
        <v>423</v>
      </c>
      <c r="P39" s="11" t="s">
        <v>1059</v>
      </c>
      <c r="Q39" s="11" t="s">
        <v>1061</v>
      </c>
      <c r="R39" s="11" t="s">
        <v>1062</v>
      </c>
      <c r="S39" s="10" t="s">
        <v>2884</v>
      </c>
      <c r="T39" s="81">
        <v>5</v>
      </c>
      <c r="U39" s="10" t="s">
        <v>420</v>
      </c>
      <c r="V39" s="10" t="s">
        <v>2278</v>
      </c>
      <c r="X39" s="15">
        <v>3</v>
      </c>
      <c r="Y39" s="10" t="s">
        <v>42</v>
      </c>
      <c r="Z39" s="10" t="s">
        <v>2849</v>
      </c>
      <c r="AA39" s="10" t="s">
        <v>43</v>
      </c>
      <c r="AB39" s="10" t="s">
        <v>46</v>
      </c>
    </row>
    <row r="40" spans="1:28">
      <c r="A40" s="10" t="s">
        <v>523</v>
      </c>
      <c r="B40" s="11" t="s">
        <v>92</v>
      </c>
      <c r="C40" s="11" t="s">
        <v>437</v>
      </c>
      <c r="D40" s="12">
        <v>18</v>
      </c>
      <c r="E40" s="11" t="s">
        <v>418</v>
      </c>
      <c r="F40" s="14" t="str">
        <f>_xlfn.XLOOKUP(E40,Profession!$B$2:$B$15,Profession!$A$2:$A$15,"Not Found")</f>
        <v>P001</v>
      </c>
      <c r="G40" s="11" t="s">
        <v>419</v>
      </c>
      <c r="H40" s="10" t="str">
        <f>_xlfn.XLOOKUP(G40,Region!$B$2:$B$16,Region!$A$2:$A$16,"Not Found")</f>
        <v>R001</v>
      </c>
      <c r="I40" s="10" t="s">
        <v>420</v>
      </c>
      <c r="J40" s="10" t="s">
        <v>420</v>
      </c>
      <c r="K40" s="10" t="s">
        <v>421</v>
      </c>
      <c r="L40" s="10" t="s">
        <v>427</v>
      </c>
      <c r="M40" s="16" t="s">
        <v>422</v>
      </c>
      <c r="N40" s="10" t="s">
        <v>33</v>
      </c>
      <c r="O40" s="16" t="s">
        <v>423</v>
      </c>
      <c r="P40" s="11" t="s">
        <v>1059</v>
      </c>
      <c r="Q40" s="11" t="s">
        <v>422</v>
      </c>
      <c r="R40" s="11" t="s">
        <v>1062</v>
      </c>
      <c r="S40" s="10" t="s">
        <v>2884</v>
      </c>
      <c r="T40" s="81">
        <v>4</v>
      </c>
      <c r="U40" s="10" t="s">
        <v>2271</v>
      </c>
      <c r="V40" s="10" t="s">
        <v>2278</v>
      </c>
      <c r="X40" s="15">
        <v>3</v>
      </c>
      <c r="Y40" s="10" t="s">
        <v>45</v>
      </c>
      <c r="Z40" s="10" t="s">
        <v>2849</v>
      </c>
      <c r="AA40" s="10" t="s">
        <v>37</v>
      </c>
      <c r="AB40" s="10" t="s">
        <v>149</v>
      </c>
    </row>
    <row r="41" spans="1:28">
      <c r="A41" s="10" t="s">
        <v>524</v>
      </c>
      <c r="B41" s="11" t="s">
        <v>441</v>
      </c>
      <c r="C41" s="11" t="s">
        <v>437</v>
      </c>
      <c r="D41" s="12">
        <v>19</v>
      </c>
      <c r="E41" s="11" t="s">
        <v>418</v>
      </c>
      <c r="F41" s="14" t="str">
        <f>_xlfn.XLOOKUP(E41,Profession!$B$2:$B$15,Profession!$A$2:$A$15,"Not Found")</f>
        <v>P001</v>
      </c>
      <c r="G41" s="11" t="s">
        <v>419</v>
      </c>
      <c r="H41" s="10" t="str">
        <f>_xlfn.XLOOKUP(G41,Region!$B$2:$B$16,Region!$A$2:$A$16,"Not Found")</f>
        <v>R001</v>
      </c>
      <c r="I41" s="10" t="s">
        <v>420</v>
      </c>
      <c r="J41" s="10" t="s">
        <v>420</v>
      </c>
      <c r="K41" s="10" t="s">
        <v>422</v>
      </c>
      <c r="L41" s="10" t="s">
        <v>427</v>
      </c>
      <c r="M41" s="16" t="s">
        <v>422</v>
      </c>
      <c r="N41" s="10" t="s">
        <v>48</v>
      </c>
      <c r="O41" s="16" t="s">
        <v>423</v>
      </c>
      <c r="P41" s="11" t="s">
        <v>1059</v>
      </c>
      <c r="Q41" s="11" t="s">
        <v>422</v>
      </c>
      <c r="R41" s="11" t="s">
        <v>1062</v>
      </c>
      <c r="S41" s="10" t="s">
        <v>2884</v>
      </c>
      <c r="T41" s="81">
        <v>6</v>
      </c>
      <c r="U41" s="10" t="s">
        <v>420</v>
      </c>
      <c r="V41" s="10" t="s">
        <v>2277</v>
      </c>
      <c r="X41" s="15">
        <v>4</v>
      </c>
      <c r="Y41" s="10" t="s">
        <v>49</v>
      </c>
      <c r="Z41" s="10" t="s">
        <v>2849</v>
      </c>
      <c r="AA41" s="10" t="s">
        <v>37</v>
      </c>
      <c r="AB41" s="10" t="s">
        <v>46</v>
      </c>
    </row>
    <row r="42" spans="1:28">
      <c r="A42" s="10" t="s">
        <v>525</v>
      </c>
      <c r="B42" s="11" t="s">
        <v>93</v>
      </c>
      <c r="C42" s="11" t="s">
        <v>437</v>
      </c>
      <c r="D42" s="12">
        <v>20</v>
      </c>
      <c r="E42" s="11" t="s">
        <v>418</v>
      </c>
      <c r="F42" s="14" t="str">
        <f>_xlfn.XLOOKUP(E42,Profession!$B$2:$B$15,Profession!$A$2:$A$15,"Not Found")</f>
        <v>P001</v>
      </c>
      <c r="G42" s="11" t="s">
        <v>419</v>
      </c>
      <c r="H42" s="10" t="str">
        <f>_xlfn.XLOOKUP(G42,Region!$B$2:$B$16,Region!$A$2:$A$16,"Not Found")</f>
        <v>R001</v>
      </c>
      <c r="I42" s="10" t="s">
        <v>420</v>
      </c>
      <c r="J42" s="10" t="s">
        <v>420</v>
      </c>
      <c r="K42" s="10" t="s">
        <v>426</v>
      </c>
      <c r="L42" s="10" t="s">
        <v>1058</v>
      </c>
      <c r="M42" s="16" t="s">
        <v>426</v>
      </c>
      <c r="N42" s="10" t="s">
        <v>51</v>
      </c>
      <c r="O42" s="16" t="s">
        <v>423</v>
      </c>
      <c r="P42" s="11" t="s">
        <v>1059</v>
      </c>
      <c r="Q42" s="11" t="s">
        <v>1061</v>
      </c>
      <c r="R42" s="11" t="s">
        <v>426</v>
      </c>
      <c r="S42" s="10" t="s">
        <v>2884</v>
      </c>
      <c r="T42" s="81">
        <v>6</v>
      </c>
      <c r="U42" s="10" t="s">
        <v>420</v>
      </c>
      <c r="V42" s="10" t="s">
        <v>2277</v>
      </c>
      <c r="X42" s="15">
        <v>5</v>
      </c>
      <c r="Y42" s="10" t="s">
        <v>52</v>
      </c>
      <c r="Z42" s="10" t="s">
        <v>2849</v>
      </c>
      <c r="AA42" s="10" t="s">
        <v>37</v>
      </c>
      <c r="AB42" s="10" t="s">
        <v>2841</v>
      </c>
    </row>
    <row r="43" spans="1:28">
      <c r="A43" s="10" t="s">
        <v>526</v>
      </c>
      <c r="B43" s="11" t="s">
        <v>94</v>
      </c>
      <c r="C43" s="11" t="s">
        <v>437</v>
      </c>
      <c r="D43" s="12">
        <v>20</v>
      </c>
      <c r="E43" s="11" t="s">
        <v>418</v>
      </c>
      <c r="F43" s="14" t="str">
        <f>_xlfn.XLOOKUP(E43,Profession!$B$2:$B$15,Profession!$A$2:$A$15,"Not Found")</f>
        <v>P001</v>
      </c>
      <c r="G43" s="11" t="s">
        <v>419</v>
      </c>
      <c r="H43" s="10" t="str">
        <f>_xlfn.XLOOKUP(G43,Region!$B$2:$B$16,Region!$A$2:$A$16,"Not Found")</f>
        <v>R001</v>
      </c>
      <c r="I43" s="10" t="s">
        <v>420</v>
      </c>
      <c r="J43" s="10" t="s">
        <v>420</v>
      </c>
      <c r="K43" s="10" t="s">
        <v>426</v>
      </c>
      <c r="L43" s="10" t="s">
        <v>1058</v>
      </c>
      <c r="M43" s="16" t="s">
        <v>426</v>
      </c>
      <c r="N43" s="10" t="s">
        <v>51</v>
      </c>
      <c r="O43" s="16" t="s">
        <v>423</v>
      </c>
      <c r="P43" s="11" t="s">
        <v>1059</v>
      </c>
      <c r="Q43" s="11" t="s">
        <v>422</v>
      </c>
      <c r="R43" s="11" t="s">
        <v>1063</v>
      </c>
      <c r="S43" s="10" t="s">
        <v>2884</v>
      </c>
      <c r="T43" s="81">
        <v>8</v>
      </c>
      <c r="U43" s="10" t="s">
        <v>420</v>
      </c>
      <c r="V43" s="10" t="s">
        <v>2277</v>
      </c>
      <c r="X43" s="15">
        <v>4</v>
      </c>
      <c r="Y43" s="10" t="s">
        <v>54</v>
      </c>
      <c r="Z43" s="10" t="s">
        <v>2849</v>
      </c>
      <c r="AA43" s="10" t="s">
        <v>23</v>
      </c>
      <c r="AB43" s="10" t="s">
        <v>28</v>
      </c>
    </row>
    <row r="44" spans="1:28">
      <c r="A44" s="10" t="s">
        <v>527</v>
      </c>
      <c r="B44" s="11" t="s">
        <v>95</v>
      </c>
      <c r="C44" s="11" t="s">
        <v>437</v>
      </c>
      <c r="D44" s="12">
        <v>19</v>
      </c>
      <c r="E44" s="11" t="s">
        <v>418</v>
      </c>
      <c r="F44" s="14" t="str">
        <f>_xlfn.XLOOKUP(E44,Profession!$B$2:$B$15,Profession!$A$2:$A$15,"Not Found")</f>
        <v>P001</v>
      </c>
      <c r="G44" s="11" t="s">
        <v>419</v>
      </c>
      <c r="H44" s="10" t="str">
        <f>_xlfn.XLOOKUP(G44,Region!$B$2:$B$16,Region!$A$2:$A$16,"Not Found")</f>
        <v>R001</v>
      </c>
      <c r="I44" s="10" t="s">
        <v>420</v>
      </c>
      <c r="J44" s="10" t="s">
        <v>420</v>
      </c>
      <c r="K44" s="10" t="s">
        <v>422</v>
      </c>
      <c r="L44" s="10" t="s">
        <v>428</v>
      </c>
      <c r="M44" s="16" t="s">
        <v>429</v>
      </c>
      <c r="N44" s="10" t="s">
        <v>51</v>
      </c>
      <c r="O44" s="16" t="s">
        <v>423</v>
      </c>
      <c r="P44" s="11" t="s">
        <v>1059</v>
      </c>
      <c r="Q44" s="11" t="s">
        <v>426</v>
      </c>
      <c r="R44" s="11" t="s">
        <v>1064</v>
      </c>
      <c r="S44" s="10" t="s">
        <v>2884</v>
      </c>
      <c r="T44" s="81">
        <v>12</v>
      </c>
      <c r="U44" s="10" t="s">
        <v>420</v>
      </c>
      <c r="V44" s="10" t="s">
        <v>2277</v>
      </c>
      <c r="X44" s="15">
        <v>2.5</v>
      </c>
      <c r="Y44" s="10" t="s">
        <v>56</v>
      </c>
      <c r="Z44" s="10" t="s">
        <v>2849</v>
      </c>
      <c r="AA44" s="10" t="s">
        <v>23</v>
      </c>
      <c r="AB44" s="10" t="s">
        <v>28</v>
      </c>
    </row>
    <row r="45" spans="1:28">
      <c r="A45" s="10" t="s">
        <v>528</v>
      </c>
      <c r="B45" s="11" t="s">
        <v>96</v>
      </c>
      <c r="C45" s="11" t="s">
        <v>437</v>
      </c>
      <c r="D45" s="12">
        <v>20</v>
      </c>
      <c r="E45" s="11" t="s">
        <v>418</v>
      </c>
      <c r="F45" s="14" t="str">
        <f>_xlfn.XLOOKUP(E45,Profession!$B$2:$B$15,Profession!$A$2:$A$15,"Not Found")</f>
        <v>P001</v>
      </c>
      <c r="G45" s="11" t="s">
        <v>419</v>
      </c>
      <c r="H45" s="10" t="str">
        <f>_xlfn.XLOOKUP(G45,Region!$B$2:$B$16,Region!$A$2:$A$16,"Not Found")</f>
        <v>R001</v>
      </c>
      <c r="I45" s="10" t="s">
        <v>420</v>
      </c>
      <c r="J45" s="10" t="s">
        <v>420</v>
      </c>
      <c r="K45" s="10" t="s">
        <v>421</v>
      </c>
      <c r="L45" s="10" t="s">
        <v>1058</v>
      </c>
      <c r="M45" s="16" t="s">
        <v>422</v>
      </c>
      <c r="N45" s="10" t="s">
        <v>51</v>
      </c>
      <c r="O45" s="16" t="s">
        <v>423</v>
      </c>
      <c r="P45" s="11" t="s">
        <v>1059</v>
      </c>
      <c r="Q45" s="11" t="s">
        <v>422</v>
      </c>
      <c r="R45" s="11" t="s">
        <v>1063</v>
      </c>
      <c r="S45" s="10" t="s">
        <v>2884</v>
      </c>
      <c r="T45" s="81">
        <v>5.3</v>
      </c>
      <c r="U45" s="10" t="s">
        <v>420</v>
      </c>
      <c r="V45" s="10" t="s">
        <v>2278</v>
      </c>
      <c r="X45" s="15">
        <v>4</v>
      </c>
      <c r="Y45" s="10" t="s">
        <v>58</v>
      </c>
      <c r="Z45" s="10" t="s">
        <v>2849</v>
      </c>
      <c r="AA45" s="10" t="s">
        <v>23</v>
      </c>
      <c r="AB45" s="10" t="s">
        <v>46</v>
      </c>
    </row>
    <row r="46" spans="1:28">
      <c r="A46" s="10" t="s">
        <v>529</v>
      </c>
      <c r="B46" s="11" t="s">
        <v>97</v>
      </c>
      <c r="C46" s="11" t="s">
        <v>437</v>
      </c>
      <c r="D46" s="12">
        <v>19</v>
      </c>
      <c r="E46" s="11" t="s">
        <v>418</v>
      </c>
      <c r="F46" s="14" t="str">
        <f>_xlfn.XLOOKUP(E46,Profession!$B$2:$B$15,Profession!$A$2:$A$15,"Not Found")</f>
        <v>P001</v>
      </c>
      <c r="G46" s="11" t="s">
        <v>419</v>
      </c>
      <c r="H46" s="10" t="str">
        <f>_xlfn.XLOOKUP(G46,Region!$B$2:$B$16,Region!$A$2:$A$16,"Not Found")</f>
        <v>R001</v>
      </c>
      <c r="I46" s="10" t="s">
        <v>420</v>
      </c>
      <c r="J46" s="10" t="s">
        <v>420</v>
      </c>
      <c r="K46" s="10" t="s">
        <v>426</v>
      </c>
      <c r="L46" s="10" t="s">
        <v>430</v>
      </c>
      <c r="M46" s="16" t="s">
        <v>422</v>
      </c>
      <c r="N46" s="10" t="s">
        <v>51</v>
      </c>
      <c r="O46" s="16" t="s">
        <v>423</v>
      </c>
      <c r="P46" s="11" t="s">
        <v>1059</v>
      </c>
      <c r="Q46" s="11" t="s">
        <v>422</v>
      </c>
      <c r="R46" s="11" t="s">
        <v>1063</v>
      </c>
      <c r="S46" s="10" t="s">
        <v>2884</v>
      </c>
      <c r="T46" s="81">
        <v>7</v>
      </c>
      <c r="U46" s="10" t="s">
        <v>420</v>
      </c>
      <c r="V46" s="10" t="s">
        <v>2277</v>
      </c>
      <c r="X46" s="15">
        <v>3</v>
      </c>
      <c r="Y46" s="10" t="s">
        <v>56</v>
      </c>
      <c r="Z46" s="10" t="s">
        <v>2849</v>
      </c>
      <c r="AA46" s="10" t="s">
        <v>23</v>
      </c>
      <c r="AB46" s="10" t="s">
        <v>24</v>
      </c>
    </row>
    <row r="47" spans="1:28">
      <c r="A47" s="10" t="s">
        <v>530</v>
      </c>
      <c r="B47" s="11" t="s">
        <v>98</v>
      </c>
      <c r="C47" s="11" t="s">
        <v>437</v>
      </c>
      <c r="D47" s="12">
        <v>19</v>
      </c>
      <c r="E47" s="11" t="s">
        <v>418</v>
      </c>
      <c r="F47" s="14" t="str">
        <f>_xlfn.XLOOKUP(E47,Profession!$B$2:$B$15,Profession!$A$2:$A$15,"Not Found")</f>
        <v>P001</v>
      </c>
      <c r="G47" s="11" t="s">
        <v>1115</v>
      </c>
      <c r="H47" s="10" t="str">
        <f>_xlfn.XLOOKUP(G47,Region!$B$2:$B$16,Region!$A$2:$A$16,"Not Found")</f>
        <v>R002</v>
      </c>
      <c r="I47" s="10" t="s">
        <v>420</v>
      </c>
      <c r="J47" s="10" t="s">
        <v>420</v>
      </c>
      <c r="K47" s="10" t="s">
        <v>435</v>
      </c>
      <c r="L47" s="10" t="s">
        <v>1058</v>
      </c>
      <c r="M47" s="16" t="s">
        <v>422</v>
      </c>
      <c r="N47" s="10" t="s">
        <v>99</v>
      </c>
      <c r="O47" s="16" t="s">
        <v>433</v>
      </c>
      <c r="P47" s="11" t="s">
        <v>422</v>
      </c>
      <c r="Q47" s="11" t="s">
        <v>422</v>
      </c>
      <c r="R47" s="11" t="s">
        <v>1069</v>
      </c>
      <c r="S47" s="10" t="s">
        <v>2884</v>
      </c>
      <c r="T47" s="81">
        <v>7</v>
      </c>
      <c r="U47" s="10" t="s">
        <v>420</v>
      </c>
      <c r="V47" s="10" t="s">
        <v>2277</v>
      </c>
      <c r="X47" s="15">
        <v>4</v>
      </c>
      <c r="Y47" s="10" t="s">
        <v>100</v>
      </c>
      <c r="Z47" s="10" t="s">
        <v>2849</v>
      </c>
      <c r="AA47" s="10" t="s">
        <v>23</v>
      </c>
      <c r="AB47" s="10" t="s">
        <v>2841</v>
      </c>
    </row>
    <row r="48" spans="1:28">
      <c r="A48" s="10" t="s">
        <v>531</v>
      </c>
      <c r="B48" s="11" t="s">
        <v>101</v>
      </c>
      <c r="C48" s="11" t="s">
        <v>437</v>
      </c>
      <c r="D48" s="12">
        <v>38</v>
      </c>
      <c r="E48" s="11" t="s">
        <v>442</v>
      </c>
      <c r="F48" s="14" t="str">
        <f>_xlfn.XLOOKUP(E48,Profession!$B$2:$B$15,Profession!$A$2:$A$15,"Not Found")</f>
        <v>P002</v>
      </c>
      <c r="G48" s="11" t="s">
        <v>419</v>
      </c>
      <c r="H48" s="10" t="str">
        <f>_xlfn.XLOOKUP(G48,Region!$B$2:$B$16,Region!$A$2:$A$16,"Not Found")</f>
        <v>R001</v>
      </c>
      <c r="I48" s="10" t="s">
        <v>420</v>
      </c>
      <c r="J48" s="10" t="s">
        <v>420</v>
      </c>
      <c r="K48" s="10" t="s">
        <v>426</v>
      </c>
      <c r="L48" s="10" t="s">
        <v>1058</v>
      </c>
      <c r="M48" s="16" t="s">
        <v>422</v>
      </c>
      <c r="N48" s="10" t="s">
        <v>102</v>
      </c>
      <c r="O48" s="16" t="s">
        <v>426</v>
      </c>
      <c r="P48" s="11" t="s">
        <v>1059</v>
      </c>
      <c r="Q48" s="11" t="s">
        <v>422</v>
      </c>
      <c r="R48" s="11" t="s">
        <v>1062</v>
      </c>
      <c r="S48" s="10" t="s">
        <v>2884</v>
      </c>
      <c r="T48" s="81">
        <v>6.3008333333333297</v>
      </c>
      <c r="U48" s="10" t="s">
        <v>420</v>
      </c>
      <c r="V48" s="10" t="s">
        <v>2277</v>
      </c>
      <c r="X48" s="15">
        <v>4</v>
      </c>
      <c r="Y48" s="10" t="s">
        <v>36</v>
      </c>
      <c r="Z48" s="10" t="s">
        <v>2849</v>
      </c>
      <c r="AA48" s="10" t="s">
        <v>23</v>
      </c>
      <c r="AB48" s="10" t="s">
        <v>2843</v>
      </c>
    </row>
    <row r="49" spans="1:28">
      <c r="A49" s="10" t="s">
        <v>532</v>
      </c>
      <c r="B49" s="11" t="s">
        <v>443</v>
      </c>
      <c r="C49" s="11" t="s">
        <v>437</v>
      </c>
      <c r="D49" s="12">
        <v>22</v>
      </c>
      <c r="E49" s="11" t="s">
        <v>442</v>
      </c>
      <c r="F49" s="14" t="str">
        <f>_xlfn.XLOOKUP(E49,Profession!$B$2:$B$15,Profession!$A$2:$A$15,"Not Found")</f>
        <v>P002</v>
      </c>
      <c r="G49" s="11" t="s">
        <v>419</v>
      </c>
      <c r="H49" s="10" t="str">
        <f>_xlfn.XLOOKUP(G49,Region!$B$2:$B$16,Region!$A$2:$A$16,"Not Found")</f>
        <v>R001</v>
      </c>
      <c r="I49" s="10" t="s">
        <v>420</v>
      </c>
      <c r="J49" s="10" t="s">
        <v>420</v>
      </c>
      <c r="K49" s="10" t="s">
        <v>435</v>
      </c>
      <c r="L49" s="10" t="s">
        <v>1058</v>
      </c>
      <c r="M49" s="16" t="s">
        <v>436</v>
      </c>
      <c r="N49" s="10" t="s">
        <v>66</v>
      </c>
      <c r="O49" s="16" t="s">
        <v>436</v>
      </c>
      <c r="P49" s="11" t="s">
        <v>1060</v>
      </c>
      <c r="Q49" s="11" t="s">
        <v>436</v>
      </c>
      <c r="R49" s="11" t="s">
        <v>436</v>
      </c>
      <c r="S49" s="10" t="s">
        <v>2884</v>
      </c>
      <c r="T49" s="81">
        <v>8</v>
      </c>
      <c r="U49" s="10" t="s">
        <v>432</v>
      </c>
      <c r="V49" s="10" t="s">
        <v>450</v>
      </c>
      <c r="X49" s="15">
        <v>5</v>
      </c>
      <c r="Y49" s="10" t="s">
        <v>103</v>
      </c>
      <c r="Z49" s="10" t="s">
        <v>2849</v>
      </c>
      <c r="AA49" s="10" t="s">
        <v>37</v>
      </c>
      <c r="AB49" s="10" t="s">
        <v>24</v>
      </c>
    </row>
    <row r="50" spans="1:28">
      <c r="A50" s="10" t="s">
        <v>533</v>
      </c>
      <c r="B50" s="11" t="s">
        <v>123</v>
      </c>
      <c r="C50" s="11" t="s">
        <v>437</v>
      </c>
      <c r="D50" s="12">
        <v>24</v>
      </c>
      <c r="E50" s="11" t="s">
        <v>442</v>
      </c>
      <c r="F50" s="14" t="str">
        <f>_xlfn.XLOOKUP(E50,Profession!$B$2:$B$15,Profession!$A$2:$A$15,"Not Found")</f>
        <v>P002</v>
      </c>
      <c r="G50" s="11" t="s">
        <v>419</v>
      </c>
      <c r="H50" s="10" t="str">
        <f>_xlfn.XLOOKUP(G50,Region!$B$2:$B$16,Region!$A$2:$A$16,"Not Found")</f>
        <v>R001</v>
      </c>
      <c r="I50" s="10" t="s">
        <v>420</v>
      </c>
      <c r="J50" s="10" t="s">
        <v>420</v>
      </c>
      <c r="K50" s="10" t="s">
        <v>435</v>
      </c>
      <c r="L50" s="10" t="s">
        <v>1058</v>
      </c>
      <c r="M50" s="16" t="s">
        <v>436</v>
      </c>
      <c r="N50" s="10" t="s">
        <v>19</v>
      </c>
      <c r="O50" s="16" t="s">
        <v>444</v>
      </c>
      <c r="P50" s="11" t="s">
        <v>422</v>
      </c>
      <c r="Q50" s="11" t="s">
        <v>1061</v>
      </c>
      <c r="R50" s="11" t="s">
        <v>1068</v>
      </c>
      <c r="S50" s="10" t="s">
        <v>62</v>
      </c>
      <c r="T50" s="81">
        <v>6</v>
      </c>
      <c r="U50" s="10" t="s">
        <v>420</v>
      </c>
      <c r="V50" s="10" t="s">
        <v>2277</v>
      </c>
      <c r="X50" s="15">
        <v>6</v>
      </c>
      <c r="Y50" s="10" t="s">
        <v>100</v>
      </c>
      <c r="Z50" s="10" t="s">
        <v>2849</v>
      </c>
      <c r="AA50" s="10" t="s">
        <v>37</v>
      </c>
      <c r="AB50" s="10" t="s">
        <v>46</v>
      </c>
    </row>
    <row r="51" spans="1:28">
      <c r="A51" s="10" t="s">
        <v>534</v>
      </c>
      <c r="B51" s="11" t="s">
        <v>445</v>
      </c>
      <c r="C51" s="11" t="s">
        <v>437</v>
      </c>
      <c r="D51" s="12">
        <v>49</v>
      </c>
      <c r="E51" s="11" t="s">
        <v>446</v>
      </c>
      <c r="F51" s="14" t="str">
        <f>_xlfn.XLOOKUP(E51,Profession!$B$2:$B$15,Profession!$A$2:$A$15,"Not Found")</f>
        <v>P003</v>
      </c>
      <c r="G51" s="11" t="s">
        <v>104</v>
      </c>
      <c r="H51" s="10" t="str">
        <f>_xlfn.XLOOKUP(G51,Region!$B$2:$B$16,Region!$A$2:$A$16,"Not Found")</f>
        <v>R003</v>
      </c>
      <c r="I51" s="10" t="s">
        <v>420</v>
      </c>
      <c r="J51" s="10" t="s">
        <v>420</v>
      </c>
      <c r="K51" s="10" t="s">
        <v>431</v>
      </c>
      <c r="L51" s="10" t="s">
        <v>1058</v>
      </c>
      <c r="M51" s="16" t="s">
        <v>422</v>
      </c>
      <c r="N51" s="10" t="s">
        <v>61</v>
      </c>
      <c r="O51" s="16" t="s">
        <v>433</v>
      </c>
      <c r="P51" s="11" t="s">
        <v>422</v>
      </c>
      <c r="Q51" s="11" t="s">
        <v>420</v>
      </c>
      <c r="R51" s="11" t="s">
        <v>1070</v>
      </c>
      <c r="S51" s="10" t="s">
        <v>62</v>
      </c>
      <c r="T51" s="81">
        <v>8</v>
      </c>
      <c r="U51" s="10" t="s">
        <v>420</v>
      </c>
      <c r="V51" s="10" t="s">
        <v>2277</v>
      </c>
      <c r="X51" s="15">
        <v>5</v>
      </c>
      <c r="Y51" s="10" t="s">
        <v>19</v>
      </c>
      <c r="Z51" s="10" t="s">
        <v>2849</v>
      </c>
      <c r="AA51" s="10" t="s">
        <v>23</v>
      </c>
      <c r="AB51" s="10" t="s">
        <v>28</v>
      </c>
    </row>
    <row r="52" spans="1:28">
      <c r="A52" s="10" t="s">
        <v>535</v>
      </c>
      <c r="B52" s="11" t="s">
        <v>447</v>
      </c>
      <c r="C52" s="11" t="s">
        <v>437</v>
      </c>
      <c r="D52" s="12">
        <v>30</v>
      </c>
      <c r="E52" s="11" t="s">
        <v>448</v>
      </c>
      <c r="F52" s="14" t="str">
        <f>_xlfn.XLOOKUP(E52,Profession!$B$2:$B$15,Profession!$A$2:$A$15,"Not Found")</f>
        <v>P004</v>
      </c>
      <c r="G52" s="11" t="s">
        <v>1111</v>
      </c>
      <c r="H52" s="10" t="str">
        <f>_xlfn.XLOOKUP(G52,Region!$B$2:$B$16,Region!$A$2:$A$16,"Not Found")</f>
        <v>R004</v>
      </c>
      <c r="I52" s="10" t="s">
        <v>420</v>
      </c>
      <c r="J52" s="10" t="s">
        <v>420</v>
      </c>
      <c r="K52" s="10" t="s">
        <v>434</v>
      </c>
      <c r="L52" s="10" t="s">
        <v>1057</v>
      </c>
      <c r="M52" s="16" t="s">
        <v>432</v>
      </c>
      <c r="N52" s="10" t="s">
        <v>61</v>
      </c>
      <c r="O52" s="16" t="s">
        <v>444</v>
      </c>
      <c r="P52" s="11" t="s">
        <v>422</v>
      </c>
      <c r="Q52" s="11" t="s">
        <v>420</v>
      </c>
      <c r="R52" s="11" t="s">
        <v>1070</v>
      </c>
      <c r="S52" s="10" t="s">
        <v>62</v>
      </c>
      <c r="T52" s="81">
        <v>8</v>
      </c>
      <c r="U52" s="10" t="s">
        <v>420</v>
      </c>
      <c r="V52" s="10" t="s">
        <v>450</v>
      </c>
      <c r="X52" s="15">
        <v>4</v>
      </c>
      <c r="Y52" s="10" t="s">
        <v>56</v>
      </c>
      <c r="Z52" s="10" t="s">
        <v>2849</v>
      </c>
      <c r="AA52" s="10" t="s">
        <v>23</v>
      </c>
      <c r="AB52" s="10" t="s">
        <v>46</v>
      </c>
    </row>
    <row r="53" spans="1:28">
      <c r="A53" s="10" t="s">
        <v>536</v>
      </c>
      <c r="B53" s="11" t="s">
        <v>449</v>
      </c>
      <c r="C53" s="11" t="s">
        <v>437</v>
      </c>
      <c r="D53" s="12">
        <v>30</v>
      </c>
      <c r="E53" s="11" t="s">
        <v>448</v>
      </c>
      <c r="F53" s="14" t="str">
        <f>_xlfn.XLOOKUP(E53,Profession!$B$2:$B$15,Profession!$A$2:$A$15,"Not Found")</f>
        <v>P004</v>
      </c>
      <c r="G53" s="11" t="s">
        <v>1111</v>
      </c>
      <c r="H53" s="10" t="str">
        <f>_xlfn.XLOOKUP(G53,Region!$B$2:$B$16,Region!$A$2:$A$16,"Not Found")</f>
        <v>R004</v>
      </c>
      <c r="I53" s="10" t="s">
        <v>420</v>
      </c>
      <c r="J53" s="10" t="s">
        <v>420</v>
      </c>
      <c r="K53" s="10" t="s">
        <v>434</v>
      </c>
      <c r="L53" s="10" t="s">
        <v>1058</v>
      </c>
      <c r="M53" s="16" t="s">
        <v>432</v>
      </c>
      <c r="N53" s="10" t="s">
        <v>61</v>
      </c>
      <c r="O53" s="16" t="s">
        <v>450</v>
      </c>
      <c r="P53" s="11" t="s">
        <v>422</v>
      </c>
      <c r="Q53" s="11" t="s">
        <v>420</v>
      </c>
      <c r="R53" s="11" t="s">
        <v>107</v>
      </c>
      <c r="S53" s="10" t="s">
        <v>62</v>
      </c>
      <c r="T53" s="81">
        <v>7</v>
      </c>
      <c r="U53" s="10" t="s">
        <v>420</v>
      </c>
      <c r="V53" s="10" t="s">
        <v>450</v>
      </c>
      <c r="X53" s="15">
        <v>4</v>
      </c>
      <c r="Y53" s="10" t="s">
        <v>56</v>
      </c>
      <c r="Z53" s="10" t="s">
        <v>2849</v>
      </c>
      <c r="AA53" s="10" t="s">
        <v>23</v>
      </c>
      <c r="AB53" s="10" t="s">
        <v>2841</v>
      </c>
    </row>
    <row r="54" spans="1:28">
      <c r="A54" s="10" t="s">
        <v>537</v>
      </c>
      <c r="B54" s="11" t="s">
        <v>451</v>
      </c>
      <c r="C54" s="11" t="s">
        <v>437</v>
      </c>
      <c r="D54" s="12">
        <v>29</v>
      </c>
      <c r="E54" s="11" t="s">
        <v>452</v>
      </c>
      <c r="F54" s="14" t="str">
        <f>_xlfn.XLOOKUP(E54,Profession!$B$2:$B$15,Profession!$A$2:$A$15,"Not Found")</f>
        <v>P005</v>
      </c>
      <c r="G54" s="11" t="s">
        <v>453</v>
      </c>
      <c r="H54" s="10" t="str">
        <f>_xlfn.XLOOKUP(G54,Region!$B$2:$B$16,Region!$A$2:$A$16,"Not Found")</f>
        <v>R005</v>
      </c>
      <c r="I54" s="10" t="s">
        <v>420</v>
      </c>
      <c r="J54" s="10" t="s">
        <v>420</v>
      </c>
      <c r="K54" s="10" t="s">
        <v>434</v>
      </c>
      <c r="L54" s="10" t="s">
        <v>1058</v>
      </c>
      <c r="M54" s="16" t="s">
        <v>422</v>
      </c>
      <c r="N54" s="10" t="s">
        <v>105</v>
      </c>
      <c r="O54" s="16" t="s">
        <v>433</v>
      </c>
      <c r="P54" s="11" t="s">
        <v>422</v>
      </c>
      <c r="Q54" s="11" t="s">
        <v>434</v>
      </c>
      <c r="R54" s="11" t="s">
        <v>1068</v>
      </c>
      <c r="S54" s="10" t="s">
        <v>62</v>
      </c>
      <c r="T54" s="81">
        <v>7</v>
      </c>
      <c r="U54" s="10" t="s">
        <v>2272</v>
      </c>
      <c r="V54" s="10" t="s">
        <v>450</v>
      </c>
      <c r="X54" s="15">
        <v>5</v>
      </c>
      <c r="Y54" s="10" t="s">
        <v>40</v>
      </c>
      <c r="Z54" s="10" t="s">
        <v>2280</v>
      </c>
      <c r="AA54" s="10" t="s">
        <v>37</v>
      </c>
      <c r="AB54" s="10" t="s">
        <v>24</v>
      </c>
    </row>
    <row r="55" spans="1:28">
      <c r="A55" s="10" t="s">
        <v>538</v>
      </c>
      <c r="B55" s="11" t="s">
        <v>454</v>
      </c>
      <c r="C55" s="11" t="s">
        <v>437</v>
      </c>
      <c r="D55" s="12">
        <v>37</v>
      </c>
      <c r="E55" s="11" t="s">
        <v>452</v>
      </c>
      <c r="F55" s="14" t="str">
        <f>_xlfn.XLOOKUP(E55,Profession!$B$2:$B$15,Profession!$A$2:$A$15,"Not Found")</f>
        <v>P005</v>
      </c>
      <c r="G55" s="11" t="s">
        <v>455</v>
      </c>
      <c r="H55" s="10" t="str">
        <f>_xlfn.XLOOKUP(G55,Region!$B$2:$B$16,Region!$A$2:$A$16,"Not Found")</f>
        <v>R006</v>
      </c>
      <c r="I55" s="10" t="s">
        <v>420</v>
      </c>
      <c r="J55" s="10" t="s">
        <v>420</v>
      </c>
      <c r="K55" s="10" t="s">
        <v>435</v>
      </c>
      <c r="L55" s="10" t="s">
        <v>1058</v>
      </c>
      <c r="M55" s="16" t="s">
        <v>422</v>
      </c>
      <c r="N55" s="10" t="s">
        <v>106</v>
      </c>
      <c r="O55" s="16" t="s">
        <v>436</v>
      </c>
      <c r="P55" s="11" t="s">
        <v>422</v>
      </c>
      <c r="Q55" s="11" t="s">
        <v>435</v>
      </c>
      <c r="R55" s="11" t="s">
        <v>1071</v>
      </c>
      <c r="S55" s="10" t="s">
        <v>62</v>
      </c>
      <c r="T55" s="81">
        <v>6</v>
      </c>
      <c r="U55" s="10" t="s">
        <v>420</v>
      </c>
      <c r="V55" s="10" t="s">
        <v>2277</v>
      </c>
      <c r="X55" s="15">
        <v>8</v>
      </c>
      <c r="Y55" s="10" t="s">
        <v>42</v>
      </c>
      <c r="Z55" s="10" t="s">
        <v>2849</v>
      </c>
      <c r="AA55" s="10" t="s">
        <v>43</v>
      </c>
      <c r="AB55" s="10" t="s">
        <v>46</v>
      </c>
    </row>
    <row r="56" spans="1:28">
      <c r="A56" s="10" t="s">
        <v>539</v>
      </c>
      <c r="B56" s="11" t="s">
        <v>456</v>
      </c>
      <c r="C56" s="11" t="s">
        <v>437</v>
      </c>
      <c r="D56" s="12">
        <v>38</v>
      </c>
      <c r="E56" s="11" t="s">
        <v>452</v>
      </c>
      <c r="F56" s="14" t="str">
        <f>_xlfn.XLOOKUP(E56,Profession!$B$2:$B$15,Profession!$A$2:$A$15,"Not Found")</f>
        <v>P005</v>
      </c>
      <c r="G56" s="11" t="s">
        <v>1115</v>
      </c>
      <c r="H56" s="10" t="str">
        <f>_xlfn.XLOOKUP(G56,Region!$B$2:$B$16,Region!$A$2:$A$16,"Not Found")</f>
        <v>R002</v>
      </c>
      <c r="I56" s="10" t="s">
        <v>420</v>
      </c>
      <c r="J56" s="10" t="s">
        <v>420</v>
      </c>
      <c r="K56" s="10" t="s">
        <v>435</v>
      </c>
      <c r="L56" s="10" t="s">
        <v>1058</v>
      </c>
      <c r="M56" s="16" t="s">
        <v>429</v>
      </c>
      <c r="N56" s="10" t="s">
        <v>64</v>
      </c>
      <c r="O56" s="16" t="s">
        <v>433</v>
      </c>
      <c r="P56" s="11" t="s">
        <v>422</v>
      </c>
      <c r="Q56" s="11" t="s">
        <v>420</v>
      </c>
      <c r="R56" s="11" t="s">
        <v>1072</v>
      </c>
      <c r="S56" s="10" t="s">
        <v>2885</v>
      </c>
      <c r="T56" s="81">
        <v>6</v>
      </c>
      <c r="U56" s="10" t="s">
        <v>2273</v>
      </c>
      <c r="V56" s="10" t="s">
        <v>2277</v>
      </c>
      <c r="X56" s="15">
        <v>3</v>
      </c>
      <c r="Y56" s="10" t="s">
        <v>45</v>
      </c>
      <c r="Z56" s="10" t="s">
        <v>2849</v>
      </c>
      <c r="AA56" s="10" t="s">
        <v>37</v>
      </c>
      <c r="AB56" s="10" t="s">
        <v>46</v>
      </c>
    </row>
    <row r="57" spans="1:28">
      <c r="A57" s="10" t="s">
        <v>540</v>
      </c>
      <c r="B57" s="11" t="s">
        <v>457</v>
      </c>
      <c r="C57" s="11" t="s">
        <v>437</v>
      </c>
      <c r="D57" s="12">
        <v>42</v>
      </c>
      <c r="E57" s="11" t="s">
        <v>458</v>
      </c>
      <c r="F57" s="14" t="str">
        <f>_xlfn.XLOOKUP(E57,Profession!$B$2:$B$15,Profession!$A$2:$A$15,"Not Found")</f>
        <v>P006</v>
      </c>
      <c r="G57" s="11" t="s">
        <v>1115</v>
      </c>
      <c r="H57" s="10" t="str">
        <f>_xlfn.XLOOKUP(G57,Region!$B$2:$B$16,Region!$A$2:$A$16,"Not Found")</f>
        <v>R002</v>
      </c>
      <c r="I57" s="10" t="s">
        <v>420</v>
      </c>
      <c r="J57" s="10" t="s">
        <v>420</v>
      </c>
      <c r="K57" s="10" t="s">
        <v>431</v>
      </c>
      <c r="L57" s="10" t="s">
        <v>1058</v>
      </c>
      <c r="M57" s="16" t="s">
        <v>432</v>
      </c>
      <c r="N57" s="10" t="s">
        <v>64</v>
      </c>
      <c r="O57" s="16" t="s">
        <v>433</v>
      </c>
      <c r="P57" s="11" t="s">
        <v>422</v>
      </c>
      <c r="Q57" s="11" t="s">
        <v>1061</v>
      </c>
      <c r="R57" s="11" t="s">
        <v>1065</v>
      </c>
      <c r="S57" s="10" t="s">
        <v>62</v>
      </c>
      <c r="T57" s="81">
        <v>6</v>
      </c>
      <c r="U57" s="10" t="s">
        <v>2274</v>
      </c>
      <c r="V57" s="10" t="s">
        <v>450</v>
      </c>
      <c r="X57" s="15">
        <v>3</v>
      </c>
      <c r="Y57" s="10" t="s">
        <v>49</v>
      </c>
      <c r="Z57" s="10" t="s">
        <v>2849</v>
      </c>
      <c r="AA57" s="10" t="s">
        <v>37</v>
      </c>
      <c r="AB57" s="10" t="s">
        <v>46</v>
      </c>
    </row>
    <row r="58" spans="1:28">
      <c r="A58" s="10" t="s">
        <v>541</v>
      </c>
      <c r="B58" s="11" t="s">
        <v>194</v>
      </c>
      <c r="C58" s="11" t="s">
        <v>437</v>
      </c>
      <c r="D58" s="12">
        <v>21</v>
      </c>
      <c r="E58" s="11" t="s">
        <v>459</v>
      </c>
      <c r="F58" s="14" t="str">
        <f>_xlfn.XLOOKUP(E58,Profession!$B$2:$B$15,Profession!$A$2:$A$15,"Not Found")</f>
        <v>P007</v>
      </c>
      <c r="G58" s="11" t="s">
        <v>1111</v>
      </c>
      <c r="H58" s="10" t="str">
        <f>_xlfn.XLOOKUP(G58,Region!$B$2:$B$16,Region!$A$2:$A$16,"Not Found")</f>
        <v>R004</v>
      </c>
      <c r="I58" s="10" t="s">
        <v>420</v>
      </c>
      <c r="J58" s="10" t="s">
        <v>420</v>
      </c>
      <c r="K58" s="10" t="s">
        <v>431</v>
      </c>
      <c r="L58" s="10" t="s">
        <v>460</v>
      </c>
      <c r="M58" s="16" t="s">
        <v>429</v>
      </c>
      <c r="N58" s="10" t="s">
        <v>61</v>
      </c>
      <c r="O58" s="16" t="s">
        <v>444</v>
      </c>
      <c r="P58" s="11" t="s">
        <v>422</v>
      </c>
      <c r="Q58" s="11" t="s">
        <v>420</v>
      </c>
      <c r="R58" s="11" t="s">
        <v>1068</v>
      </c>
      <c r="S58" s="10" t="s">
        <v>62</v>
      </c>
      <c r="T58" s="81">
        <v>8</v>
      </c>
      <c r="U58" s="10" t="s">
        <v>420</v>
      </c>
      <c r="V58" s="10" t="s">
        <v>2277</v>
      </c>
      <c r="X58" s="15">
        <v>5</v>
      </c>
      <c r="Y58" s="10" t="s">
        <v>52</v>
      </c>
      <c r="Z58" s="10" t="s">
        <v>2849</v>
      </c>
      <c r="AA58" s="10" t="s">
        <v>37</v>
      </c>
      <c r="AB58" s="10" t="s">
        <v>2841</v>
      </c>
    </row>
    <row r="59" spans="1:28">
      <c r="A59" s="10" t="s">
        <v>542</v>
      </c>
      <c r="B59" s="11" t="s">
        <v>461</v>
      </c>
      <c r="C59" s="11" t="s">
        <v>437</v>
      </c>
      <c r="D59" s="12">
        <v>28</v>
      </c>
      <c r="E59" s="11" t="s">
        <v>459</v>
      </c>
      <c r="F59" s="14" t="str">
        <f>_xlfn.XLOOKUP(E59,Profession!$B$2:$B$15,Profession!$A$2:$A$15,"Not Found")</f>
        <v>P007</v>
      </c>
      <c r="G59" s="11" t="s">
        <v>419</v>
      </c>
      <c r="H59" s="10" t="str">
        <f>_xlfn.XLOOKUP(G59,Region!$B$2:$B$16,Region!$A$2:$A$16,"Not Found")</f>
        <v>R001</v>
      </c>
      <c r="I59" s="10" t="s">
        <v>420</v>
      </c>
      <c r="J59" s="10" t="s">
        <v>420</v>
      </c>
      <c r="K59" s="10" t="s">
        <v>434</v>
      </c>
      <c r="L59" s="10" t="s">
        <v>1058</v>
      </c>
      <c r="M59" s="16" t="s">
        <v>422</v>
      </c>
      <c r="N59" s="10" t="s">
        <v>19</v>
      </c>
      <c r="O59" s="16" t="s">
        <v>444</v>
      </c>
      <c r="P59" s="11" t="s">
        <v>422</v>
      </c>
      <c r="Q59" s="11" t="s">
        <v>420</v>
      </c>
      <c r="R59" s="11" t="s">
        <v>1070</v>
      </c>
      <c r="S59" s="10" t="s">
        <v>62</v>
      </c>
      <c r="T59" s="81">
        <v>8</v>
      </c>
      <c r="U59" s="10" t="s">
        <v>420</v>
      </c>
      <c r="V59" s="10" t="s">
        <v>450</v>
      </c>
      <c r="X59" s="15">
        <v>4</v>
      </c>
      <c r="Y59" s="10" t="s">
        <v>36</v>
      </c>
      <c r="Z59" s="10" t="s">
        <v>2849</v>
      </c>
      <c r="AA59" s="10" t="s">
        <v>37</v>
      </c>
      <c r="AB59" s="10" t="s">
        <v>24</v>
      </c>
    </row>
    <row r="60" spans="1:28">
      <c r="A60" s="10" t="s">
        <v>543</v>
      </c>
      <c r="B60" s="11" t="s">
        <v>113</v>
      </c>
      <c r="C60" s="11" t="s">
        <v>437</v>
      </c>
      <c r="D60" s="12">
        <v>21</v>
      </c>
      <c r="E60" s="11" t="s">
        <v>462</v>
      </c>
      <c r="F60" s="14" t="str">
        <f>_xlfn.XLOOKUP(E60,Profession!$B$2:$B$15,Profession!$A$2:$A$15,"Not Found")</f>
        <v>P008</v>
      </c>
      <c r="G60" s="11" t="s">
        <v>419</v>
      </c>
      <c r="H60" s="10" t="str">
        <f>_xlfn.XLOOKUP(G60,Region!$B$2:$B$16,Region!$A$2:$A$16,"Not Found")</f>
        <v>R001</v>
      </c>
      <c r="I60" s="10" t="s">
        <v>420</v>
      </c>
      <c r="J60" s="10" t="s">
        <v>420</v>
      </c>
      <c r="K60" s="10" t="s">
        <v>435</v>
      </c>
      <c r="L60" s="10" t="s">
        <v>1057</v>
      </c>
      <c r="M60" s="16" t="s">
        <v>422</v>
      </c>
      <c r="N60" s="10" t="s">
        <v>61</v>
      </c>
      <c r="O60" s="16" t="s">
        <v>450</v>
      </c>
      <c r="P60" s="11" t="s">
        <v>422</v>
      </c>
      <c r="Q60" s="11" t="s">
        <v>420</v>
      </c>
      <c r="R60" s="11" t="s">
        <v>107</v>
      </c>
      <c r="S60" s="10" t="s">
        <v>62</v>
      </c>
      <c r="T60" s="81">
        <v>10</v>
      </c>
      <c r="U60" s="10" t="s">
        <v>2275</v>
      </c>
      <c r="V60" s="10" t="s">
        <v>2277</v>
      </c>
      <c r="X60" s="15">
        <v>3</v>
      </c>
      <c r="Y60" s="10" t="s">
        <v>56</v>
      </c>
      <c r="Z60" s="10" t="s">
        <v>2849</v>
      </c>
      <c r="AA60" s="10" t="s">
        <v>23</v>
      </c>
      <c r="AB60" s="10" t="s">
        <v>2841</v>
      </c>
    </row>
    <row r="61" spans="1:28">
      <c r="A61" s="10" t="s">
        <v>544</v>
      </c>
      <c r="B61" s="11" t="s">
        <v>463</v>
      </c>
      <c r="C61" s="11" t="s">
        <v>437</v>
      </c>
      <c r="D61" s="12">
        <v>32</v>
      </c>
      <c r="E61" s="11" t="s">
        <v>462</v>
      </c>
      <c r="F61" s="14" t="str">
        <f>_xlfn.XLOOKUP(E61,Profession!$B$2:$B$15,Profession!$A$2:$A$15,"Not Found")</f>
        <v>P008</v>
      </c>
      <c r="G61" s="11" t="s">
        <v>464</v>
      </c>
      <c r="H61" s="10" t="str">
        <f>_xlfn.XLOOKUP(G61,Region!$B$2:$B$16,Region!$A$2:$A$16,"Not Found")</f>
        <v>R007</v>
      </c>
      <c r="I61" s="10" t="s">
        <v>423</v>
      </c>
      <c r="J61" s="10" t="s">
        <v>423</v>
      </c>
      <c r="K61" s="10" t="s">
        <v>435</v>
      </c>
      <c r="L61" s="10" t="s">
        <v>1058</v>
      </c>
      <c r="M61" s="16" t="s">
        <v>436</v>
      </c>
      <c r="N61" s="10" t="s">
        <v>61</v>
      </c>
      <c r="O61" s="16" t="s">
        <v>450</v>
      </c>
      <c r="P61" s="11" t="s">
        <v>422</v>
      </c>
      <c r="Q61" s="11" t="s">
        <v>420</v>
      </c>
      <c r="R61" s="11" t="s">
        <v>107</v>
      </c>
      <c r="S61" s="10" t="s">
        <v>62</v>
      </c>
      <c r="T61" s="81">
        <v>5</v>
      </c>
      <c r="U61" s="10" t="s">
        <v>2275</v>
      </c>
      <c r="V61" s="10" t="s">
        <v>450</v>
      </c>
      <c r="X61" s="15">
        <v>5</v>
      </c>
      <c r="Y61" s="10" t="s">
        <v>54</v>
      </c>
      <c r="Z61" s="10" t="s">
        <v>2849</v>
      </c>
      <c r="AA61" s="10" t="s">
        <v>23</v>
      </c>
      <c r="AB61" s="10" t="s">
        <v>24</v>
      </c>
    </row>
    <row r="62" spans="1:28">
      <c r="A62" s="10" t="s">
        <v>545</v>
      </c>
      <c r="B62" s="11" t="s">
        <v>324</v>
      </c>
      <c r="C62" s="11" t="s">
        <v>437</v>
      </c>
      <c r="D62" s="12">
        <v>24</v>
      </c>
      <c r="E62" s="11" t="s">
        <v>462</v>
      </c>
      <c r="F62" s="14" t="str">
        <f>_xlfn.XLOOKUP(E62,Profession!$B$2:$B$15,Profession!$A$2:$A$15,"Not Found")</f>
        <v>P008</v>
      </c>
      <c r="G62" s="11" t="s">
        <v>419</v>
      </c>
      <c r="H62" s="10" t="str">
        <f>_xlfn.XLOOKUP(G62,Region!$B$2:$B$16,Region!$A$2:$A$16,"Not Found")</f>
        <v>R001</v>
      </c>
      <c r="I62" s="10" t="s">
        <v>420</v>
      </c>
      <c r="J62" s="10" t="s">
        <v>420</v>
      </c>
      <c r="K62" s="10" t="s">
        <v>435</v>
      </c>
      <c r="L62" s="10" t="s">
        <v>1058</v>
      </c>
      <c r="M62" s="16" t="s">
        <v>432</v>
      </c>
      <c r="N62" s="10" t="s">
        <v>61</v>
      </c>
      <c r="O62" s="16" t="s">
        <v>450</v>
      </c>
      <c r="P62" s="11" t="s">
        <v>422</v>
      </c>
      <c r="Q62" s="11" t="s">
        <v>420</v>
      </c>
      <c r="R62" s="11" t="s">
        <v>107</v>
      </c>
      <c r="S62" s="10" t="s">
        <v>62</v>
      </c>
      <c r="T62" s="81">
        <v>8</v>
      </c>
      <c r="U62" s="10" t="s">
        <v>420</v>
      </c>
      <c r="V62" s="10" t="s">
        <v>450</v>
      </c>
      <c r="X62" s="15">
        <v>7</v>
      </c>
      <c r="Y62" s="10" t="s">
        <v>54</v>
      </c>
      <c r="Z62" s="10" t="s">
        <v>2849</v>
      </c>
      <c r="AA62" s="10" t="s">
        <v>23</v>
      </c>
      <c r="AB62" s="10" t="s">
        <v>24</v>
      </c>
    </row>
    <row r="63" spans="1:28">
      <c r="A63" s="10" t="s">
        <v>546</v>
      </c>
      <c r="B63" s="11" t="s">
        <v>186</v>
      </c>
      <c r="C63" s="11" t="s">
        <v>437</v>
      </c>
      <c r="D63" s="12">
        <v>25</v>
      </c>
      <c r="E63" s="11" t="s">
        <v>1055</v>
      </c>
      <c r="F63" s="14" t="str">
        <f>_xlfn.XLOOKUP(E63,Profession!$B$2:$B$15,Profession!$A$2:$A$15,"Not Found")</f>
        <v>P009</v>
      </c>
      <c r="G63" s="11" t="s">
        <v>1112</v>
      </c>
      <c r="H63" s="10" t="str">
        <f>_xlfn.XLOOKUP(G63,Region!$B$2:$B$16,Region!$A$2:$A$16,"Not Found")</f>
        <v>R008</v>
      </c>
      <c r="I63" s="10" t="s">
        <v>420</v>
      </c>
      <c r="J63" s="10" t="s">
        <v>420</v>
      </c>
      <c r="K63" s="10" t="s">
        <v>435</v>
      </c>
      <c r="L63" s="10" t="s">
        <v>1058</v>
      </c>
      <c r="M63" s="16" t="s">
        <v>422</v>
      </c>
      <c r="N63" s="10" t="s">
        <v>61</v>
      </c>
      <c r="O63" s="16" t="s">
        <v>450</v>
      </c>
      <c r="P63" s="11" t="s">
        <v>422</v>
      </c>
      <c r="Q63" s="11" t="s">
        <v>420</v>
      </c>
      <c r="R63" s="11" t="s">
        <v>107</v>
      </c>
      <c r="S63" s="10" t="s">
        <v>62</v>
      </c>
      <c r="T63" s="81">
        <v>7</v>
      </c>
      <c r="U63" s="10" t="s">
        <v>420</v>
      </c>
      <c r="V63" s="10" t="s">
        <v>450</v>
      </c>
      <c r="X63" s="15">
        <v>5</v>
      </c>
      <c r="Y63" s="10" t="s">
        <v>56</v>
      </c>
      <c r="Z63" s="10" t="s">
        <v>2849</v>
      </c>
      <c r="AA63" s="10" t="s">
        <v>23</v>
      </c>
      <c r="AB63" s="10" t="s">
        <v>2843</v>
      </c>
    </row>
    <row r="64" spans="1:28">
      <c r="A64" s="10" t="s">
        <v>547</v>
      </c>
      <c r="B64" s="11" t="s">
        <v>194</v>
      </c>
      <c r="C64" s="11" t="s">
        <v>437</v>
      </c>
      <c r="D64" s="12">
        <v>18</v>
      </c>
      <c r="E64" s="11" t="s">
        <v>465</v>
      </c>
      <c r="F64" s="14" t="str">
        <f>_xlfn.XLOOKUP(E64,Profession!$B$2:$B$15,Profession!$A$2:$A$15,"Not Found")</f>
        <v>P010</v>
      </c>
      <c r="G64" s="11" t="s">
        <v>419</v>
      </c>
      <c r="H64" s="10" t="str">
        <f>_xlfn.XLOOKUP(G64,Region!$B$2:$B$16,Region!$A$2:$A$16,"Not Found")</f>
        <v>R001</v>
      </c>
      <c r="I64" s="10" t="s">
        <v>420</v>
      </c>
      <c r="J64" s="10" t="s">
        <v>420</v>
      </c>
      <c r="K64" s="10" t="s">
        <v>435</v>
      </c>
      <c r="L64" s="10" t="s">
        <v>1058</v>
      </c>
      <c r="M64" s="16" t="s">
        <v>422</v>
      </c>
      <c r="N64" s="10" t="s">
        <v>61</v>
      </c>
      <c r="O64" s="16" t="s">
        <v>450</v>
      </c>
      <c r="P64" s="11" t="s">
        <v>422</v>
      </c>
      <c r="Q64" s="11" t="s">
        <v>420</v>
      </c>
      <c r="R64" s="11" t="s">
        <v>1070</v>
      </c>
      <c r="S64" s="10" t="s">
        <v>62</v>
      </c>
      <c r="T64" s="81">
        <v>5</v>
      </c>
      <c r="U64" s="10" t="s">
        <v>420</v>
      </c>
      <c r="V64" s="10" t="s">
        <v>450</v>
      </c>
      <c r="X64" s="15">
        <v>5</v>
      </c>
      <c r="Y64" s="10" t="s">
        <v>54</v>
      </c>
      <c r="Z64" s="10" t="s">
        <v>2849</v>
      </c>
      <c r="AA64" s="10" t="s">
        <v>23</v>
      </c>
      <c r="AB64" s="10" t="s">
        <v>28</v>
      </c>
    </row>
    <row r="65" spans="1:28">
      <c r="A65" s="10" t="s">
        <v>548</v>
      </c>
      <c r="B65" s="11" t="s">
        <v>466</v>
      </c>
      <c r="C65" s="11" t="s">
        <v>437</v>
      </c>
      <c r="D65" s="12">
        <v>30</v>
      </c>
      <c r="E65" s="11" t="s">
        <v>465</v>
      </c>
      <c r="F65" s="14" t="str">
        <f>_xlfn.XLOOKUP(E65,Profession!$B$2:$B$15,Profession!$A$2:$A$15,"Not Found")</f>
        <v>P010</v>
      </c>
      <c r="G65" s="11" t="s">
        <v>467</v>
      </c>
      <c r="H65" s="10" t="str">
        <f>_xlfn.XLOOKUP(G65,Region!$B$2:$B$16,Region!$A$2:$A$16,"Not Found")</f>
        <v>R009</v>
      </c>
      <c r="I65" s="10" t="s">
        <v>420</v>
      </c>
      <c r="J65" s="10" t="s">
        <v>420</v>
      </c>
      <c r="K65" s="10" t="s">
        <v>435</v>
      </c>
      <c r="L65" s="10" t="s">
        <v>1058</v>
      </c>
      <c r="M65" s="16" t="s">
        <v>422</v>
      </c>
      <c r="N65" s="10" t="s">
        <v>61</v>
      </c>
      <c r="O65" s="16" t="s">
        <v>444</v>
      </c>
      <c r="P65" s="11" t="s">
        <v>422</v>
      </c>
      <c r="Q65" s="11" t="s">
        <v>420</v>
      </c>
      <c r="R65" s="11" t="s">
        <v>1070</v>
      </c>
      <c r="S65" s="10" t="s">
        <v>62</v>
      </c>
      <c r="T65" s="81">
        <v>6</v>
      </c>
      <c r="U65" s="10" t="s">
        <v>420</v>
      </c>
      <c r="V65" s="10" t="s">
        <v>2277</v>
      </c>
      <c r="X65" s="15">
        <v>4</v>
      </c>
      <c r="Y65" s="10" t="s">
        <v>56</v>
      </c>
      <c r="Z65" s="10" t="s">
        <v>2849</v>
      </c>
      <c r="AA65" s="10" t="s">
        <v>23</v>
      </c>
      <c r="AB65" s="10" t="s">
        <v>28</v>
      </c>
    </row>
    <row r="66" spans="1:28">
      <c r="A66" s="10" t="s">
        <v>549</v>
      </c>
      <c r="B66" s="11" t="s">
        <v>468</v>
      </c>
      <c r="C66" s="11" t="s">
        <v>437</v>
      </c>
      <c r="D66" s="12">
        <v>30</v>
      </c>
      <c r="E66" s="11" t="s">
        <v>465</v>
      </c>
      <c r="F66" s="14" t="str">
        <f>_xlfn.XLOOKUP(E66,Profession!$B$2:$B$15,Profession!$A$2:$A$15,"Not Found")</f>
        <v>P010</v>
      </c>
      <c r="G66" s="11" t="s">
        <v>419</v>
      </c>
      <c r="H66" s="10" t="str">
        <f>_xlfn.XLOOKUP(G66,Region!$B$2:$B$16,Region!$A$2:$A$16,"Not Found")</f>
        <v>R001</v>
      </c>
      <c r="I66" s="10" t="s">
        <v>423</v>
      </c>
      <c r="J66" s="10" t="s">
        <v>423</v>
      </c>
      <c r="K66" s="10" t="s">
        <v>435</v>
      </c>
      <c r="L66" s="10" t="s">
        <v>1058</v>
      </c>
      <c r="M66" s="16" t="s">
        <v>422</v>
      </c>
      <c r="N66" s="10" t="s">
        <v>61</v>
      </c>
      <c r="O66" s="16" t="s">
        <v>444</v>
      </c>
      <c r="P66" s="11" t="s">
        <v>422</v>
      </c>
      <c r="Q66" s="11" t="s">
        <v>420</v>
      </c>
      <c r="R66" s="11" t="s">
        <v>1065</v>
      </c>
      <c r="S66" s="10" t="s">
        <v>62</v>
      </c>
      <c r="T66" s="81">
        <v>8</v>
      </c>
      <c r="U66" s="10" t="s">
        <v>420</v>
      </c>
      <c r="V66" s="10" t="s">
        <v>450</v>
      </c>
      <c r="X66" s="15">
        <v>7</v>
      </c>
      <c r="Y66" s="10" t="s">
        <v>100</v>
      </c>
      <c r="Z66" s="10" t="s">
        <v>2849</v>
      </c>
      <c r="AA66" s="10" t="s">
        <v>23</v>
      </c>
      <c r="AB66" s="10" t="s">
        <v>28</v>
      </c>
    </row>
    <row r="67" spans="1:28">
      <c r="A67" s="10" t="s">
        <v>550</v>
      </c>
      <c r="B67" s="11" t="s">
        <v>128</v>
      </c>
      <c r="C67" s="11" t="s">
        <v>437</v>
      </c>
      <c r="D67" s="12">
        <v>40</v>
      </c>
      <c r="E67" s="11" t="s">
        <v>465</v>
      </c>
      <c r="F67" s="14" t="str">
        <f>_xlfn.XLOOKUP(E67,Profession!$B$2:$B$15,Profession!$A$2:$A$15,"Not Found")</f>
        <v>P010</v>
      </c>
      <c r="G67" s="11" t="s">
        <v>108</v>
      </c>
      <c r="H67" s="10" t="str">
        <f>_xlfn.XLOOKUP(G67,Region!$B$2:$B$16,Region!$A$2:$A$16,"Not Found")</f>
        <v>R010</v>
      </c>
      <c r="I67" s="10" t="s">
        <v>420</v>
      </c>
      <c r="J67" s="10" t="s">
        <v>420</v>
      </c>
      <c r="K67" s="10" t="s">
        <v>435</v>
      </c>
      <c r="L67" s="10" t="s">
        <v>1058</v>
      </c>
      <c r="M67" s="16" t="s">
        <v>422</v>
      </c>
      <c r="N67" s="10" t="s">
        <v>61</v>
      </c>
      <c r="O67" s="16" t="s">
        <v>450</v>
      </c>
      <c r="P67" s="11" t="s">
        <v>422</v>
      </c>
      <c r="Q67" s="11" t="s">
        <v>420</v>
      </c>
      <c r="R67" s="11" t="s">
        <v>107</v>
      </c>
      <c r="S67" s="10" t="s">
        <v>62</v>
      </c>
      <c r="T67" s="81">
        <v>7</v>
      </c>
      <c r="U67" s="10" t="s">
        <v>420</v>
      </c>
      <c r="V67" s="10" t="s">
        <v>450</v>
      </c>
      <c r="X67" s="15">
        <v>7</v>
      </c>
      <c r="Y67" s="10" t="s">
        <v>19</v>
      </c>
      <c r="Z67" s="10" t="s">
        <v>2849</v>
      </c>
      <c r="AA67" s="10" t="s">
        <v>23</v>
      </c>
      <c r="AB67" s="10" t="s">
        <v>2841</v>
      </c>
    </row>
    <row r="68" spans="1:28">
      <c r="A68" s="10" t="s">
        <v>551</v>
      </c>
      <c r="B68" s="11" t="s">
        <v>92</v>
      </c>
      <c r="C68" s="11" t="s">
        <v>437</v>
      </c>
      <c r="D68" s="12">
        <v>22</v>
      </c>
      <c r="E68" s="11" t="s">
        <v>1108</v>
      </c>
      <c r="F68" s="14" t="str">
        <f>_xlfn.XLOOKUP(E68,Profession!$B$2:$B$15,Profession!$A$2:$A$15,"Not Found")</f>
        <v>P011</v>
      </c>
      <c r="G68" s="11" t="s">
        <v>469</v>
      </c>
      <c r="H68" s="10" t="str">
        <f>_xlfn.XLOOKUP(G68,Region!$B$2:$B$16,Region!$A$2:$A$16,"Not Found")</f>
        <v>R011</v>
      </c>
      <c r="I68" s="10" t="s">
        <v>420</v>
      </c>
      <c r="J68" s="10" t="s">
        <v>420</v>
      </c>
      <c r="K68" s="10" t="s">
        <v>435</v>
      </c>
      <c r="L68" s="10" t="s">
        <v>1058</v>
      </c>
      <c r="M68" s="16" t="s">
        <v>422</v>
      </c>
      <c r="N68" s="10" t="s">
        <v>61</v>
      </c>
      <c r="O68" s="16" t="s">
        <v>444</v>
      </c>
      <c r="P68" s="11" t="s">
        <v>422</v>
      </c>
      <c r="Q68" s="11" t="s">
        <v>420</v>
      </c>
      <c r="R68" s="11" t="s">
        <v>107</v>
      </c>
      <c r="S68" s="10" t="s">
        <v>62</v>
      </c>
      <c r="T68" s="81">
        <v>6</v>
      </c>
      <c r="U68" s="10" t="s">
        <v>420</v>
      </c>
      <c r="V68" s="10" t="s">
        <v>450</v>
      </c>
      <c r="X68" s="15">
        <v>6</v>
      </c>
      <c r="Y68" s="10" t="s">
        <v>36</v>
      </c>
      <c r="Z68" s="10" t="s">
        <v>2849</v>
      </c>
      <c r="AA68" s="10" t="s">
        <v>23</v>
      </c>
      <c r="AB68" s="10" t="s">
        <v>24</v>
      </c>
    </row>
    <row r="69" spans="1:28">
      <c r="A69" s="10" t="s">
        <v>552</v>
      </c>
      <c r="B69" s="11" t="s">
        <v>470</v>
      </c>
      <c r="C69" s="11" t="s">
        <v>437</v>
      </c>
      <c r="D69" s="12">
        <v>27</v>
      </c>
      <c r="E69" s="11" t="s">
        <v>1108</v>
      </c>
      <c r="F69" s="14" t="str">
        <f>_xlfn.XLOOKUP(E69,Profession!$B$2:$B$15,Profession!$A$2:$A$15,"Not Found")</f>
        <v>P011</v>
      </c>
      <c r="G69" s="11" t="s">
        <v>419</v>
      </c>
      <c r="H69" s="10" t="str">
        <f>_xlfn.XLOOKUP(G69,Region!$B$2:$B$16,Region!$A$2:$A$16,"Not Found")</f>
        <v>R001</v>
      </c>
      <c r="I69" s="10" t="s">
        <v>420</v>
      </c>
      <c r="J69" s="10" t="s">
        <v>420</v>
      </c>
      <c r="K69" s="10" t="s">
        <v>431</v>
      </c>
      <c r="L69" s="10" t="s">
        <v>1058</v>
      </c>
      <c r="M69" s="16" t="s">
        <v>422</v>
      </c>
      <c r="N69" s="10" t="s">
        <v>61</v>
      </c>
      <c r="O69" s="16" t="s">
        <v>444</v>
      </c>
      <c r="P69" s="11" t="s">
        <v>422</v>
      </c>
      <c r="Q69" s="11" t="s">
        <v>420</v>
      </c>
      <c r="R69" s="11" t="s">
        <v>1070</v>
      </c>
      <c r="S69" s="10" t="s">
        <v>62</v>
      </c>
      <c r="T69" s="81">
        <v>6</v>
      </c>
      <c r="U69" s="10" t="s">
        <v>420</v>
      </c>
      <c r="V69" s="10" t="s">
        <v>2277</v>
      </c>
      <c r="X69" s="15">
        <v>5</v>
      </c>
      <c r="Y69" s="10" t="s">
        <v>58</v>
      </c>
      <c r="Z69" s="10" t="s">
        <v>2849</v>
      </c>
      <c r="AA69" s="10" t="s">
        <v>23</v>
      </c>
      <c r="AB69" s="10" t="s">
        <v>28</v>
      </c>
    </row>
    <row r="70" spans="1:28">
      <c r="A70" s="10" t="s">
        <v>553</v>
      </c>
      <c r="B70" s="11" t="s">
        <v>471</v>
      </c>
      <c r="C70" s="11" t="s">
        <v>437</v>
      </c>
      <c r="D70" s="12">
        <v>23</v>
      </c>
      <c r="E70" s="11" t="s">
        <v>1108</v>
      </c>
      <c r="F70" s="14" t="str">
        <f>_xlfn.XLOOKUP(E70,Profession!$B$2:$B$15,Profession!$A$2:$A$15,"Not Found")</f>
        <v>P011</v>
      </c>
      <c r="G70" s="11" t="s">
        <v>419</v>
      </c>
      <c r="H70" s="10" t="str">
        <f>_xlfn.XLOOKUP(G70,Region!$B$2:$B$16,Region!$A$2:$A$16,"Not Found")</f>
        <v>R001</v>
      </c>
      <c r="I70" s="10" t="s">
        <v>420</v>
      </c>
      <c r="J70" s="10" t="s">
        <v>420</v>
      </c>
      <c r="K70" s="10" t="s">
        <v>434</v>
      </c>
      <c r="L70" s="10" t="s">
        <v>1058</v>
      </c>
      <c r="M70" s="16" t="s">
        <v>436</v>
      </c>
      <c r="N70" s="10" t="s">
        <v>61</v>
      </c>
      <c r="O70" s="16" t="s">
        <v>444</v>
      </c>
      <c r="P70" s="11" t="s">
        <v>422</v>
      </c>
      <c r="Q70" s="11" t="s">
        <v>420</v>
      </c>
      <c r="R70" s="11" t="s">
        <v>1070</v>
      </c>
      <c r="S70" s="10" t="s">
        <v>62</v>
      </c>
      <c r="T70" s="81">
        <v>6</v>
      </c>
      <c r="U70" s="10" t="s">
        <v>420</v>
      </c>
      <c r="V70" s="10" t="s">
        <v>2277</v>
      </c>
      <c r="X70" s="15">
        <v>5</v>
      </c>
      <c r="Y70" s="10" t="s">
        <v>56</v>
      </c>
      <c r="Z70" s="10" t="s">
        <v>2849</v>
      </c>
      <c r="AA70" s="10" t="s">
        <v>23</v>
      </c>
      <c r="AB70" s="10" t="s">
        <v>2844</v>
      </c>
    </row>
    <row r="71" spans="1:28">
      <c r="A71" s="10" t="s">
        <v>554</v>
      </c>
      <c r="B71" s="11" t="s">
        <v>472</v>
      </c>
      <c r="C71" s="11" t="s">
        <v>437</v>
      </c>
      <c r="D71" s="12">
        <v>34</v>
      </c>
      <c r="E71" s="11" t="s">
        <v>473</v>
      </c>
      <c r="F71" s="14" t="str">
        <f>_xlfn.XLOOKUP(E71,Profession!$B$2:$B$15,Profession!$A$2:$A$15,"Not Found")</f>
        <v>P012</v>
      </c>
      <c r="G71" s="11" t="s">
        <v>419</v>
      </c>
      <c r="H71" s="10" t="str">
        <f>_xlfn.XLOOKUP(G71,Region!$B$2:$B$16,Region!$A$2:$A$16,"Not Found")</f>
        <v>R001</v>
      </c>
      <c r="I71" s="10" t="s">
        <v>423</v>
      </c>
      <c r="J71" s="10" t="s">
        <v>423</v>
      </c>
      <c r="K71" s="10" t="s">
        <v>434</v>
      </c>
      <c r="L71" s="10" t="s">
        <v>1058</v>
      </c>
      <c r="M71" s="16" t="s">
        <v>432</v>
      </c>
      <c r="N71" s="10" t="s">
        <v>61</v>
      </c>
      <c r="O71" s="16" t="s">
        <v>444</v>
      </c>
      <c r="P71" s="11" t="s">
        <v>422</v>
      </c>
      <c r="Q71" s="11" t="s">
        <v>420</v>
      </c>
      <c r="R71" s="11" t="s">
        <v>107</v>
      </c>
      <c r="S71" s="10" t="s">
        <v>62</v>
      </c>
      <c r="T71" s="81">
        <v>7</v>
      </c>
      <c r="U71" s="10" t="s">
        <v>420</v>
      </c>
      <c r="V71" s="10" t="s">
        <v>450</v>
      </c>
      <c r="X71" s="15">
        <v>5</v>
      </c>
      <c r="Y71" s="10" t="s">
        <v>87</v>
      </c>
      <c r="Z71" s="10" t="s">
        <v>2848</v>
      </c>
      <c r="AA71" s="10" t="s">
        <v>23</v>
      </c>
      <c r="AB71" s="10" t="s">
        <v>46</v>
      </c>
    </row>
    <row r="72" spans="1:28">
      <c r="A72" s="10" t="s">
        <v>555</v>
      </c>
      <c r="B72" s="11" t="s">
        <v>152</v>
      </c>
      <c r="C72" s="11" t="s">
        <v>437</v>
      </c>
      <c r="D72" s="12">
        <v>25</v>
      </c>
      <c r="E72" s="11" t="s">
        <v>473</v>
      </c>
      <c r="F72" s="14" t="str">
        <f>_xlfn.XLOOKUP(E72,Profession!$B$2:$B$15,Profession!$A$2:$A$15,"Not Found")</f>
        <v>P012</v>
      </c>
      <c r="G72" s="11" t="s">
        <v>1113</v>
      </c>
      <c r="H72" s="10" t="str">
        <f>_xlfn.XLOOKUP(G72,Region!$B$2:$B$16,Region!$A$2:$A$16,"Not Found")</f>
        <v>R012</v>
      </c>
      <c r="I72" s="10" t="s">
        <v>420</v>
      </c>
      <c r="J72" s="10" t="s">
        <v>423</v>
      </c>
      <c r="K72" s="10" t="s">
        <v>434</v>
      </c>
      <c r="L72" s="10" t="s">
        <v>1058</v>
      </c>
      <c r="M72" s="16" t="s">
        <v>422</v>
      </c>
      <c r="N72" s="10" t="s">
        <v>61</v>
      </c>
      <c r="O72" s="16" t="s">
        <v>444</v>
      </c>
      <c r="P72" s="11" t="s">
        <v>422</v>
      </c>
      <c r="Q72" s="11" t="s">
        <v>1061</v>
      </c>
      <c r="R72" s="11" t="s">
        <v>107</v>
      </c>
      <c r="S72" s="10" t="s">
        <v>62</v>
      </c>
      <c r="T72" s="81">
        <v>6</v>
      </c>
      <c r="U72" s="10" t="s">
        <v>420</v>
      </c>
      <c r="V72" s="10" t="s">
        <v>2277</v>
      </c>
      <c r="X72" s="15">
        <v>6</v>
      </c>
      <c r="Y72" s="10" t="s">
        <v>22</v>
      </c>
      <c r="Z72" s="10" t="s">
        <v>2846</v>
      </c>
      <c r="AA72" s="10" t="s">
        <v>23</v>
      </c>
      <c r="AB72" s="10" t="s">
        <v>2841</v>
      </c>
    </row>
    <row r="73" spans="1:28">
      <c r="A73" s="10" t="s">
        <v>556</v>
      </c>
      <c r="B73" s="11" t="s">
        <v>474</v>
      </c>
      <c r="C73" s="11" t="s">
        <v>437</v>
      </c>
      <c r="D73" s="12">
        <v>47</v>
      </c>
      <c r="E73" s="11" t="s">
        <v>1054</v>
      </c>
      <c r="F73" s="14" t="str">
        <f>_xlfn.XLOOKUP(E73,Profession!$B$2:$B$15,Profession!$A$2:$A$15,"Not Found")</f>
        <v>P013</v>
      </c>
      <c r="G73" s="11" t="s">
        <v>1110</v>
      </c>
      <c r="H73" s="10" t="str">
        <f>_xlfn.XLOOKUP(G73,Region!$B$2:$B$16,Region!$A$2:$A$16,"Not Found")</f>
        <v>R013</v>
      </c>
      <c r="I73" s="10" t="s">
        <v>420</v>
      </c>
      <c r="J73" s="10" t="s">
        <v>420</v>
      </c>
      <c r="K73" s="10" t="s">
        <v>435</v>
      </c>
      <c r="L73" s="10" t="s">
        <v>1058</v>
      </c>
      <c r="M73" s="16" t="s">
        <v>422</v>
      </c>
      <c r="N73" s="10" t="s">
        <v>61</v>
      </c>
      <c r="O73" s="16" t="s">
        <v>433</v>
      </c>
      <c r="P73" s="11" t="s">
        <v>435</v>
      </c>
      <c r="Q73" s="11" t="s">
        <v>420</v>
      </c>
      <c r="R73" s="11" t="s">
        <v>1067</v>
      </c>
      <c r="S73" s="10" t="s">
        <v>62</v>
      </c>
      <c r="T73" s="81">
        <v>6</v>
      </c>
      <c r="U73" s="10" t="s">
        <v>420</v>
      </c>
      <c r="V73" s="10" t="s">
        <v>450</v>
      </c>
      <c r="X73" s="15">
        <v>6</v>
      </c>
      <c r="Y73" s="10" t="s">
        <v>75</v>
      </c>
      <c r="Z73" s="10" t="s">
        <v>2847</v>
      </c>
      <c r="AA73" s="10" t="s">
        <v>70</v>
      </c>
      <c r="AB73" s="10" t="s">
        <v>46</v>
      </c>
    </row>
    <row r="74" spans="1:28">
      <c r="A74" s="10" t="s">
        <v>557</v>
      </c>
      <c r="B74" s="11" t="s">
        <v>475</v>
      </c>
      <c r="C74" s="11" t="s">
        <v>437</v>
      </c>
      <c r="D74" s="12">
        <v>50</v>
      </c>
      <c r="E74" s="11" t="s">
        <v>1088</v>
      </c>
      <c r="F74" s="14" t="str">
        <f>_xlfn.XLOOKUP(E74,Profession!$B$2:$B$15,Profession!$A$2:$A$15,"Not Found")</f>
        <v>P014</v>
      </c>
      <c r="G74" s="11" t="s">
        <v>1114</v>
      </c>
      <c r="H74" s="10" t="str">
        <f>_xlfn.XLOOKUP(G74,Region!$B$2:$B$16,Region!$A$2:$A$16,"Not Found")</f>
        <v>R014</v>
      </c>
      <c r="I74" s="10" t="s">
        <v>420</v>
      </c>
      <c r="J74" s="10" t="s">
        <v>420</v>
      </c>
      <c r="K74" s="10" t="s">
        <v>435</v>
      </c>
      <c r="L74" s="10" t="s">
        <v>1058</v>
      </c>
      <c r="M74" s="16" t="s">
        <v>422</v>
      </c>
      <c r="N74" s="10" t="s">
        <v>61</v>
      </c>
      <c r="O74" s="16" t="s">
        <v>433</v>
      </c>
      <c r="P74" s="11" t="s">
        <v>422</v>
      </c>
      <c r="Q74" s="11" t="s">
        <v>1061</v>
      </c>
      <c r="R74" s="11" t="s">
        <v>1067</v>
      </c>
      <c r="S74" s="10" t="s">
        <v>62</v>
      </c>
      <c r="T74" s="81">
        <v>6</v>
      </c>
      <c r="U74" s="10" t="s">
        <v>420</v>
      </c>
      <c r="V74" s="10" t="s">
        <v>450</v>
      </c>
      <c r="X74" s="15">
        <v>6</v>
      </c>
      <c r="Y74" s="10" t="s">
        <v>77</v>
      </c>
      <c r="Z74" s="10" t="s">
        <v>2282</v>
      </c>
      <c r="AA74" s="10" t="s">
        <v>23</v>
      </c>
      <c r="AB74" s="10" t="s">
        <v>46</v>
      </c>
    </row>
    <row r="75" spans="1:28">
      <c r="A75" s="10" t="s">
        <v>558</v>
      </c>
      <c r="B75" s="11" t="s">
        <v>476</v>
      </c>
      <c r="C75" s="11" t="s">
        <v>437</v>
      </c>
      <c r="D75" s="12">
        <v>50</v>
      </c>
      <c r="E75" s="11" t="s">
        <v>1088</v>
      </c>
      <c r="F75" s="14" t="str">
        <f>_xlfn.XLOOKUP(E75,Profession!$B$2:$B$15,Profession!$A$2:$A$15,"Not Found")</f>
        <v>P014</v>
      </c>
      <c r="G75" s="11" t="s">
        <v>477</v>
      </c>
      <c r="H75" s="10" t="str">
        <f>_xlfn.XLOOKUP(G75,Region!$B$2:$B$16,Region!$A$2:$A$16,"Not Found")</f>
        <v>R015</v>
      </c>
      <c r="I75" s="10" t="s">
        <v>420</v>
      </c>
      <c r="J75" s="10" t="s">
        <v>420</v>
      </c>
      <c r="K75" s="10" t="s">
        <v>431</v>
      </c>
      <c r="L75" s="10" t="s">
        <v>1058</v>
      </c>
      <c r="M75" s="16" t="s">
        <v>422</v>
      </c>
      <c r="N75" s="10" t="s">
        <v>61</v>
      </c>
      <c r="O75" s="16" t="s">
        <v>433</v>
      </c>
      <c r="P75" s="11" t="s">
        <v>435</v>
      </c>
      <c r="Q75" s="11" t="s">
        <v>1061</v>
      </c>
      <c r="R75" s="11" t="s">
        <v>1068</v>
      </c>
      <c r="S75" s="10" t="s">
        <v>62</v>
      </c>
      <c r="T75" s="81">
        <v>8</v>
      </c>
      <c r="U75" s="10" t="s">
        <v>420</v>
      </c>
      <c r="V75" s="10" t="s">
        <v>450</v>
      </c>
      <c r="X75" s="15">
        <v>6</v>
      </c>
      <c r="Y75" s="10" t="s">
        <v>36</v>
      </c>
      <c r="Z75" s="10" t="s">
        <v>2849</v>
      </c>
      <c r="AA75" s="10" t="s">
        <v>23</v>
      </c>
      <c r="AB75" s="10" t="s">
        <v>2841</v>
      </c>
    </row>
    <row r="76" spans="1:28">
      <c r="A76" s="10" t="s">
        <v>559</v>
      </c>
      <c r="B76" s="11" t="s">
        <v>93</v>
      </c>
      <c r="C76" s="11" t="s">
        <v>437</v>
      </c>
      <c r="D76" s="12">
        <v>29</v>
      </c>
      <c r="E76" s="11" t="s">
        <v>418</v>
      </c>
      <c r="F76" s="14" t="str">
        <f>_xlfn.XLOOKUP(E76,Profession!$B$2:$B$15,Profession!$A$2:$A$15,"Not Found")</f>
        <v>P001</v>
      </c>
      <c r="G76" s="11" t="s">
        <v>1115</v>
      </c>
      <c r="H76" s="10" t="str">
        <f>_xlfn.XLOOKUP(G76,Region!$B$2:$B$16,Region!$A$2:$A$16,"Not Found")</f>
        <v>R002</v>
      </c>
      <c r="I76" s="10" t="s">
        <v>423</v>
      </c>
      <c r="J76" s="10" t="s">
        <v>420</v>
      </c>
      <c r="K76" s="10" t="s">
        <v>431</v>
      </c>
      <c r="L76" s="10" t="s">
        <v>1058</v>
      </c>
      <c r="M76" s="16" t="s">
        <v>432</v>
      </c>
      <c r="N76" s="10" t="s">
        <v>61</v>
      </c>
      <c r="O76" s="16" t="s">
        <v>433</v>
      </c>
      <c r="P76" s="11" t="s">
        <v>422</v>
      </c>
      <c r="Q76" s="11" t="s">
        <v>1061</v>
      </c>
      <c r="R76" s="11" t="s">
        <v>1065</v>
      </c>
      <c r="S76" s="10" t="s">
        <v>62</v>
      </c>
      <c r="T76" s="81">
        <v>8</v>
      </c>
      <c r="U76" s="10" t="s">
        <v>420</v>
      </c>
      <c r="V76" s="10" t="s">
        <v>2277</v>
      </c>
      <c r="X76" s="15">
        <v>5</v>
      </c>
      <c r="Y76" s="10" t="s">
        <v>27</v>
      </c>
      <c r="Z76" s="10" t="s">
        <v>2849</v>
      </c>
      <c r="AA76" s="10" t="s">
        <v>23</v>
      </c>
      <c r="AB76" s="10" t="s">
        <v>28</v>
      </c>
    </row>
    <row r="77" spans="1:28">
      <c r="A77" s="10" t="s">
        <v>560</v>
      </c>
      <c r="B77" s="11" t="s">
        <v>478</v>
      </c>
      <c r="C77" s="11" t="s">
        <v>437</v>
      </c>
      <c r="D77" s="12">
        <v>18</v>
      </c>
      <c r="E77" s="11" t="s">
        <v>418</v>
      </c>
      <c r="F77" s="14" t="str">
        <f>_xlfn.XLOOKUP(E77,Profession!$B$2:$B$15,Profession!$A$2:$A$15,"Not Found")</f>
        <v>P001</v>
      </c>
      <c r="G77" s="11" t="s">
        <v>1115</v>
      </c>
      <c r="H77" s="10" t="str">
        <f>_xlfn.XLOOKUP(G77,Region!$B$2:$B$16,Region!$A$2:$A$16,"Not Found")</f>
        <v>R002</v>
      </c>
      <c r="I77" s="10" t="s">
        <v>420</v>
      </c>
      <c r="J77" s="10" t="s">
        <v>420</v>
      </c>
      <c r="K77" s="10" t="s">
        <v>434</v>
      </c>
      <c r="L77" s="10" t="s">
        <v>1057</v>
      </c>
      <c r="M77" s="16" t="s">
        <v>422</v>
      </c>
      <c r="N77" s="10" t="s">
        <v>64</v>
      </c>
      <c r="O77" s="16" t="s">
        <v>433</v>
      </c>
      <c r="P77" s="11" t="s">
        <v>422</v>
      </c>
      <c r="Q77" s="11" t="s">
        <v>420</v>
      </c>
      <c r="R77" s="11" t="s">
        <v>1065</v>
      </c>
      <c r="S77" s="10" t="s">
        <v>62</v>
      </c>
      <c r="T77" s="81">
        <v>8</v>
      </c>
      <c r="U77" s="10" t="s">
        <v>432</v>
      </c>
      <c r="V77" s="10" t="s">
        <v>450</v>
      </c>
      <c r="X77" s="15">
        <v>5</v>
      </c>
      <c r="Y77" s="10" t="s">
        <v>31</v>
      </c>
      <c r="Z77" s="10" t="s">
        <v>2279</v>
      </c>
      <c r="AA77" s="10" t="s">
        <v>23</v>
      </c>
      <c r="AB77" s="10" t="s">
        <v>24</v>
      </c>
    </row>
    <row r="78" spans="1:28">
      <c r="A78" s="10" t="s">
        <v>561</v>
      </c>
      <c r="B78" s="11" t="s">
        <v>479</v>
      </c>
      <c r="C78" s="11" t="s">
        <v>437</v>
      </c>
      <c r="D78" s="12">
        <v>19</v>
      </c>
      <c r="E78" s="11" t="s">
        <v>418</v>
      </c>
      <c r="F78" s="14" t="str">
        <f>_xlfn.XLOOKUP(E78,Profession!$B$2:$B$15,Profession!$A$2:$A$15,"Not Found")</f>
        <v>P001</v>
      </c>
      <c r="G78" s="11" t="s">
        <v>1115</v>
      </c>
      <c r="H78" s="10" t="str">
        <f>_xlfn.XLOOKUP(G78,Region!$B$2:$B$16,Region!$A$2:$A$16,"Not Found")</f>
        <v>R002</v>
      </c>
      <c r="I78" s="10" t="s">
        <v>420</v>
      </c>
      <c r="J78" s="10" t="s">
        <v>420</v>
      </c>
      <c r="K78" s="10" t="s">
        <v>435</v>
      </c>
      <c r="L78" s="10" t="s">
        <v>1058</v>
      </c>
      <c r="M78" s="16" t="s">
        <v>436</v>
      </c>
      <c r="N78" s="10" t="s">
        <v>67</v>
      </c>
      <c r="O78" s="16" t="s">
        <v>433</v>
      </c>
      <c r="P78" s="11" t="s">
        <v>422</v>
      </c>
      <c r="Q78" s="11" t="s">
        <v>420</v>
      </c>
      <c r="R78" s="11" t="s">
        <v>1065</v>
      </c>
      <c r="S78" s="10" t="s">
        <v>62</v>
      </c>
      <c r="T78" s="81">
        <v>10</v>
      </c>
      <c r="U78" s="10" t="s">
        <v>420</v>
      </c>
      <c r="V78" s="10" t="s">
        <v>2277</v>
      </c>
      <c r="X78" s="15">
        <v>5</v>
      </c>
      <c r="Y78" s="10" t="s">
        <v>34</v>
      </c>
      <c r="Z78" s="10" t="s">
        <v>2279</v>
      </c>
      <c r="AA78" s="10" t="s">
        <v>23</v>
      </c>
      <c r="AB78" s="10" t="s">
        <v>46</v>
      </c>
    </row>
    <row r="79" spans="1:28">
      <c r="A79" s="10" t="s">
        <v>562</v>
      </c>
      <c r="B79" s="11" t="s">
        <v>480</v>
      </c>
      <c r="C79" s="11" t="s">
        <v>437</v>
      </c>
      <c r="D79" s="12">
        <v>19</v>
      </c>
      <c r="E79" s="11" t="s">
        <v>418</v>
      </c>
      <c r="F79" s="14" t="str">
        <f>_xlfn.XLOOKUP(E79,Profession!$B$2:$B$15,Profession!$A$2:$A$15,"Not Found")</f>
        <v>P001</v>
      </c>
      <c r="G79" s="11" t="s">
        <v>1115</v>
      </c>
      <c r="H79" s="10" t="str">
        <f>_xlfn.XLOOKUP(G79,Region!$B$2:$B$16,Region!$A$2:$A$16,"Not Found")</f>
        <v>R002</v>
      </c>
      <c r="I79" s="10" t="s">
        <v>420</v>
      </c>
      <c r="J79" s="10" t="s">
        <v>420</v>
      </c>
      <c r="K79" s="10" t="s">
        <v>435</v>
      </c>
      <c r="L79" s="10" t="s">
        <v>1057</v>
      </c>
      <c r="M79" s="16" t="s">
        <v>432</v>
      </c>
      <c r="N79" s="10" t="s">
        <v>64</v>
      </c>
      <c r="O79" s="16" t="s">
        <v>433</v>
      </c>
      <c r="P79" s="11" t="s">
        <v>422</v>
      </c>
      <c r="Q79" s="11" t="s">
        <v>1061</v>
      </c>
      <c r="R79" s="11" t="s">
        <v>1066</v>
      </c>
      <c r="S79" s="10" t="s">
        <v>62</v>
      </c>
      <c r="T79" s="81">
        <v>8</v>
      </c>
      <c r="U79" s="10" t="s">
        <v>420</v>
      </c>
      <c r="V79" s="10" t="s">
        <v>450</v>
      </c>
      <c r="X79" s="15">
        <v>8</v>
      </c>
      <c r="Y79" s="10" t="s">
        <v>69</v>
      </c>
      <c r="Z79" s="10" t="s">
        <v>2281</v>
      </c>
      <c r="AA79" s="10" t="s">
        <v>70</v>
      </c>
      <c r="AB79" s="10" t="s">
        <v>46</v>
      </c>
    </row>
    <row r="80" spans="1:28">
      <c r="A80" s="10" t="s">
        <v>563</v>
      </c>
      <c r="B80" s="11" t="s">
        <v>481</v>
      </c>
      <c r="C80" s="11" t="s">
        <v>437</v>
      </c>
      <c r="D80" s="12">
        <v>19</v>
      </c>
      <c r="E80" s="11" t="s">
        <v>418</v>
      </c>
      <c r="F80" s="14" t="str">
        <f>_xlfn.XLOOKUP(E80,Profession!$B$2:$B$15,Profession!$A$2:$A$15,"Not Found")</f>
        <v>P001</v>
      </c>
      <c r="G80" s="11" t="s">
        <v>1115</v>
      </c>
      <c r="H80" s="10" t="str">
        <f>_xlfn.XLOOKUP(G80,Region!$B$2:$B$16,Region!$A$2:$A$16,"Not Found")</f>
        <v>R002</v>
      </c>
      <c r="I80" s="10" t="s">
        <v>420</v>
      </c>
      <c r="J80" s="10" t="s">
        <v>420</v>
      </c>
      <c r="K80" s="10" t="s">
        <v>435</v>
      </c>
      <c r="L80" s="10" t="s">
        <v>1057</v>
      </c>
      <c r="M80" s="16" t="s">
        <v>422</v>
      </c>
      <c r="N80" s="10" t="s">
        <v>64</v>
      </c>
      <c r="O80" s="16" t="s">
        <v>433</v>
      </c>
      <c r="P80" s="11" t="s">
        <v>422</v>
      </c>
      <c r="Q80" s="11" t="s">
        <v>426</v>
      </c>
      <c r="R80" s="11" t="s">
        <v>1065</v>
      </c>
      <c r="S80" s="10" t="s">
        <v>62</v>
      </c>
      <c r="T80" s="81">
        <v>8</v>
      </c>
      <c r="U80" s="10" t="s">
        <v>420</v>
      </c>
      <c r="V80" s="10" t="s">
        <v>2277</v>
      </c>
      <c r="X80" s="15">
        <v>5</v>
      </c>
      <c r="Y80" s="10" t="s">
        <v>34</v>
      </c>
      <c r="Z80" s="10" t="s">
        <v>2849</v>
      </c>
      <c r="AA80" s="10" t="s">
        <v>23</v>
      </c>
      <c r="AB80" s="10" t="s">
        <v>24</v>
      </c>
    </row>
    <row r="81" spans="1:28">
      <c r="A81" s="10" t="s">
        <v>564</v>
      </c>
      <c r="B81" s="11" t="s">
        <v>482</v>
      </c>
      <c r="C81" s="11" t="s">
        <v>437</v>
      </c>
      <c r="D81" s="12">
        <v>19</v>
      </c>
      <c r="E81" s="11" t="s">
        <v>418</v>
      </c>
      <c r="F81" s="14" t="str">
        <f>_xlfn.XLOOKUP(E81,Profession!$B$2:$B$15,Profession!$A$2:$A$15,"Not Found")</f>
        <v>P001</v>
      </c>
      <c r="G81" s="11" t="s">
        <v>1115</v>
      </c>
      <c r="H81" s="10" t="str">
        <f>_xlfn.XLOOKUP(G81,Region!$B$2:$B$16,Region!$A$2:$A$16,"Not Found")</f>
        <v>R002</v>
      </c>
      <c r="I81" s="10" t="s">
        <v>420</v>
      </c>
      <c r="J81" s="10" t="s">
        <v>420</v>
      </c>
      <c r="K81" s="10" t="s">
        <v>435</v>
      </c>
      <c r="L81" s="10" t="s">
        <v>1058</v>
      </c>
      <c r="M81" s="16" t="s">
        <v>432</v>
      </c>
      <c r="N81" s="10" t="s">
        <v>64</v>
      </c>
      <c r="O81" s="16" t="s">
        <v>433</v>
      </c>
      <c r="P81" s="11" t="s">
        <v>422</v>
      </c>
      <c r="Q81" s="11" t="s">
        <v>420</v>
      </c>
      <c r="R81" s="11" t="s">
        <v>1065</v>
      </c>
      <c r="S81" s="10" t="s">
        <v>2886</v>
      </c>
      <c r="T81" s="81">
        <v>8</v>
      </c>
      <c r="U81" s="10" t="s">
        <v>420</v>
      </c>
      <c r="V81" s="10" t="s">
        <v>2277</v>
      </c>
      <c r="X81" s="15">
        <v>5</v>
      </c>
      <c r="Y81" s="10" t="s">
        <v>36</v>
      </c>
      <c r="Z81" s="10" t="s">
        <v>2849</v>
      </c>
      <c r="AA81" s="10" t="s">
        <v>23</v>
      </c>
      <c r="AB81" s="10" t="s">
        <v>24</v>
      </c>
    </row>
    <row r="82" spans="1:28">
      <c r="A82" s="10" t="s">
        <v>565</v>
      </c>
      <c r="B82" s="11" t="s">
        <v>109</v>
      </c>
      <c r="C82" s="11" t="s">
        <v>437</v>
      </c>
      <c r="D82" s="12">
        <v>19</v>
      </c>
      <c r="E82" s="11" t="s">
        <v>418</v>
      </c>
      <c r="F82" s="14" t="str">
        <f>_xlfn.XLOOKUP(E82,Profession!$B$2:$B$15,Profession!$A$2:$A$15,"Not Found")</f>
        <v>P001</v>
      </c>
      <c r="G82" s="11" t="s">
        <v>1115</v>
      </c>
      <c r="H82" s="10" t="str">
        <f>_xlfn.XLOOKUP(G82,Region!$B$2:$B$16,Region!$A$2:$A$16,"Not Found")</f>
        <v>R002</v>
      </c>
      <c r="I82" s="10" t="s">
        <v>420</v>
      </c>
      <c r="J82" s="10" t="s">
        <v>420</v>
      </c>
      <c r="K82" s="10" t="s">
        <v>435</v>
      </c>
      <c r="L82" s="10" t="s">
        <v>1057</v>
      </c>
      <c r="M82" s="16" t="s">
        <v>432</v>
      </c>
      <c r="N82" s="10" t="s">
        <v>64</v>
      </c>
      <c r="O82" s="16" t="s">
        <v>433</v>
      </c>
      <c r="P82" s="11" t="s">
        <v>435</v>
      </c>
      <c r="Q82" s="11" t="s">
        <v>420</v>
      </c>
      <c r="R82" s="11" t="s">
        <v>1067</v>
      </c>
      <c r="S82" s="10" t="s">
        <v>62</v>
      </c>
      <c r="T82" s="81">
        <v>6</v>
      </c>
      <c r="U82" s="10" t="s">
        <v>420</v>
      </c>
      <c r="V82" s="10" t="s">
        <v>450</v>
      </c>
      <c r="X82" s="15">
        <v>6</v>
      </c>
      <c r="Y82" s="10" t="s">
        <v>75</v>
      </c>
      <c r="Z82" s="10" t="s">
        <v>2847</v>
      </c>
      <c r="AA82" s="10" t="s">
        <v>70</v>
      </c>
      <c r="AB82" s="10" t="s">
        <v>46</v>
      </c>
    </row>
    <row r="83" spans="1:28">
      <c r="A83" s="10" t="s">
        <v>566</v>
      </c>
      <c r="B83" s="11" t="s">
        <v>110</v>
      </c>
      <c r="C83" s="11" t="s">
        <v>437</v>
      </c>
      <c r="D83" s="12">
        <v>20</v>
      </c>
      <c r="E83" s="11" t="s">
        <v>418</v>
      </c>
      <c r="F83" s="14" t="str">
        <f>_xlfn.XLOOKUP(E83,Profession!$B$2:$B$15,Profession!$A$2:$A$15,"Not Found")</f>
        <v>P001</v>
      </c>
      <c r="G83" s="11" t="s">
        <v>1115</v>
      </c>
      <c r="H83" s="10" t="str">
        <f>_xlfn.XLOOKUP(G83,Region!$B$2:$B$16,Region!$A$2:$A$16,"Not Found")</f>
        <v>R002</v>
      </c>
      <c r="I83" s="10" t="s">
        <v>420</v>
      </c>
      <c r="J83" s="10" t="s">
        <v>420</v>
      </c>
      <c r="K83" s="10" t="s">
        <v>435</v>
      </c>
      <c r="L83" s="10" t="s">
        <v>1057</v>
      </c>
      <c r="M83" s="16" t="s">
        <v>429</v>
      </c>
      <c r="N83" s="10" t="s">
        <v>61</v>
      </c>
      <c r="O83" s="16" t="s">
        <v>433</v>
      </c>
      <c r="P83" s="11" t="s">
        <v>422</v>
      </c>
      <c r="Q83" s="11" t="s">
        <v>1061</v>
      </c>
      <c r="R83" s="11" t="s">
        <v>1067</v>
      </c>
      <c r="S83" s="10" t="s">
        <v>62</v>
      </c>
      <c r="T83" s="81">
        <v>6</v>
      </c>
      <c r="U83" s="10" t="s">
        <v>420</v>
      </c>
      <c r="V83" s="10" t="s">
        <v>450</v>
      </c>
      <c r="X83" s="15">
        <v>6</v>
      </c>
      <c r="Y83" s="10" t="s">
        <v>77</v>
      </c>
      <c r="Z83" s="10" t="s">
        <v>2282</v>
      </c>
      <c r="AA83" s="10" t="s">
        <v>23</v>
      </c>
      <c r="AB83" s="10" t="s">
        <v>46</v>
      </c>
    </row>
    <row r="84" spans="1:28">
      <c r="A84" s="10" t="s">
        <v>567</v>
      </c>
      <c r="B84" s="11" t="s">
        <v>111</v>
      </c>
      <c r="C84" s="11" t="s">
        <v>437</v>
      </c>
      <c r="D84" s="12">
        <v>19</v>
      </c>
      <c r="E84" s="11" t="s">
        <v>418</v>
      </c>
      <c r="F84" s="14" t="str">
        <f>_xlfn.XLOOKUP(E84,Profession!$B$2:$B$15,Profession!$A$2:$A$15,"Not Found")</f>
        <v>P001</v>
      </c>
      <c r="G84" s="11" t="s">
        <v>1115</v>
      </c>
      <c r="H84" s="10" t="str">
        <f>_xlfn.XLOOKUP(G84,Region!$B$2:$B$16,Region!$A$2:$A$16,"Not Found")</f>
        <v>R002</v>
      </c>
      <c r="I84" s="10" t="s">
        <v>420</v>
      </c>
      <c r="J84" s="10" t="s">
        <v>420</v>
      </c>
      <c r="K84" s="10" t="s">
        <v>435</v>
      </c>
      <c r="L84" s="10" t="s">
        <v>1057</v>
      </c>
      <c r="M84" s="16" t="s">
        <v>422</v>
      </c>
      <c r="N84" s="10" t="s">
        <v>19</v>
      </c>
      <c r="O84" s="16" t="s">
        <v>433</v>
      </c>
      <c r="P84" s="11" t="s">
        <v>435</v>
      </c>
      <c r="Q84" s="11" t="s">
        <v>1061</v>
      </c>
      <c r="R84" s="11" t="s">
        <v>1068</v>
      </c>
      <c r="S84" s="10" t="s">
        <v>62</v>
      </c>
      <c r="T84" s="81">
        <v>8</v>
      </c>
      <c r="U84" s="10" t="s">
        <v>420</v>
      </c>
      <c r="V84" s="10" t="s">
        <v>450</v>
      </c>
      <c r="X84" s="15">
        <v>6</v>
      </c>
      <c r="Y84" s="10" t="s">
        <v>36</v>
      </c>
      <c r="Z84" s="10" t="s">
        <v>2849</v>
      </c>
      <c r="AA84" s="10" t="s">
        <v>23</v>
      </c>
      <c r="AB84" s="10" t="s">
        <v>2841</v>
      </c>
    </row>
    <row r="85" spans="1:28">
      <c r="A85" s="10" t="s">
        <v>568</v>
      </c>
      <c r="B85" s="11" t="s">
        <v>112</v>
      </c>
      <c r="C85" s="11" t="s">
        <v>437</v>
      </c>
      <c r="D85" s="12">
        <v>19</v>
      </c>
      <c r="E85" s="11" t="s">
        <v>418</v>
      </c>
      <c r="F85" s="14" t="str">
        <f>_xlfn.XLOOKUP(E85,Profession!$B$2:$B$15,Profession!$A$2:$A$15,"Not Found")</f>
        <v>P001</v>
      </c>
      <c r="G85" s="11" t="s">
        <v>1115</v>
      </c>
      <c r="H85" s="10" t="str">
        <f>_xlfn.XLOOKUP(G85,Region!$B$2:$B$16,Region!$A$2:$A$16,"Not Found")</f>
        <v>R002</v>
      </c>
      <c r="I85" s="10" t="s">
        <v>420</v>
      </c>
      <c r="J85" s="10" t="s">
        <v>420</v>
      </c>
      <c r="K85" s="10" t="s">
        <v>431</v>
      </c>
      <c r="L85" s="10" t="s">
        <v>1057</v>
      </c>
      <c r="M85" s="16" t="s">
        <v>422</v>
      </c>
      <c r="N85" s="10" t="s">
        <v>61</v>
      </c>
      <c r="O85" s="16" t="s">
        <v>433</v>
      </c>
      <c r="P85" s="11" t="s">
        <v>422</v>
      </c>
      <c r="Q85" s="11" t="s">
        <v>1061</v>
      </c>
      <c r="R85" s="11" t="s">
        <v>1065</v>
      </c>
      <c r="S85" s="10" t="s">
        <v>62</v>
      </c>
      <c r="T85" s="81">
        <v>8</v>
      </c>
      <c r="U85" s="10" t="s">
        <v>420</v>
      </c>
      <c r="V85" s="10" t="s">
        <v>2277</v>
      </c>
      <c r="X85" s="15">
        <v>5</v>
      </c>
      <c r="Y85" s="10" t="s">
        <v>27</v>
      </c>
      <c r="Z85" s="10" t="s">
        <v>2849</v>
      </c>
      <c r="AA85" s="10" t="s">
        <v>23</v>
      </c>
      <c r="AB85" s="10" t="s">
        <v>28</v>
      </c>
    </row>
    <row r="86" spans="1:28">
      <c r="A86" s="10" t="s">
        <v>569</v>
      </c>
      <c r="B86" s="11" t="s">
        <v>113</v>
      </c>
      <c r="C86" s="11" t="s">
        <v>437</v>
      </c>
      <c r="D86" s="12">
        <v>19</v>
      </c>
      <c r="E86" s="11" t="s">
        <v>418</v>
      </c>
      <c r="F86" s="14" t="str">
        <f>_xlfn.XLOOKUP(E86,Profession!$B$2:$B$15,Profession!$A$2:$A$15,"Not Found")</f>
        <v>P001</v>
      </c>
      <c r="G86" s="11" t="s">
        <v>1115</v>
      </c>
      <c r="H86" s="10" t="str">
        <f>_xlfn.XLOOKUP(G86,Region!$B$2:$B$16,Region!$A$2:$A$16,"Not Found")</f>
        <v>R002</v>
      </c>
      <c r="I86" s="10" t="s">
        <v>420</v>
      </c>
      <c r="J86" s="10" t="s">
        <v>420</v>
      </c>
      <c r="K86" s="10" t="s">
        <v>431</v>
      </c>
      <c r="L86" s="10" t="s">
        <v>1057</v>
      </c>
      <c r="M86" s="16" t="s">
        <v>436</v>
      </c>
      <c r="N86" s="10" t="s">
        <v>61</v>
      </c>
      <c r="O86" s="16" t="s">
        <v>433</v>
      </c>
      <c r="P86" s="11" t="s">
        <v>422</v>
      </c>
      <c r="Q86" s="11" t="s">
        <v>420</v>
      </c>
      <c r="R86" s="11" t="s">
        <v>1065</v>
      </c>
      <c r="S86" s="10" t="s">
        <v>62</v>
      </c>
      <c r="T86" s="81">
        <v>8</v>
      </c>
      <c r="U86" s="10" t="s">
        <v>432</v>
      </c>
      <c r="V86" s="10" t="s">
        <v>450</v>
      </c>
      <c r="X86" s="15">
        <v>5</v>
      </c>
      <c r="Y86" s="10" t="s">
        <v>31</v>
      </c>
      <c r="Z86" s="10" t="s">
        <v>2279</v>
      </c>
      <c r="AA86" s="10" t="s">
        <v>23</v>
      </c>
      <c r="AB86" s="10" t="s">
        <v>28</v>
      </c>
    </row>
    <row r="87" spans="1:28">
      <c r="A87" s="10" t="s">
        <v>570</v>
      </c>
      <c r="B87" s="11" t="s">
        <v>114</v>
      </c>
      <c r="C87" s="11" t="s">
        <v>437</v>
      </c>
      <c r="D87" s="12">
        <v>18</v>
      </c>
      <c r="E87" s="11" t="s">
        <v>418</v>
      </c>
      <c r="F87" s="14" t="str">
        <f>_xlfn.XLOOKUP(E87,Profession!$B$2:$B$15,Profession!$A$2:$A$15,"Not Found")</f>
        <v>P001</v>
      </c>
      <c r="G87" s="11" t="s">
        <v>1115</v>
      </c>
      <c r="H87" s="10" t="str">
        <f>_xlfn.XLOOKUP(G87,Region!$B$2:$B$16,Region!$A$2:$A$16,"Not Found")</f>
        <v>R002</v>
      </c>
      <c r="I87" s="10" t="s">
        <v>420</v>
      </c>
      <c r="J87" s="10" t="s">
        <v>420</v>
      </c>
      <c r="K87" s="10" t="s">
        <v>434</v>
      </c>
      <c r="L87" s="10" t="s">
        <v>1057</v>
      </c>
      <c r="M87" s="16" t="s">
        <v>432</v>
      </c>
      <c r="N87" s="10" t="s">
        <v>61</v>
      </c>
      <c r="O87" s="16" t="s">
        <v>433</v>
      </c>
      <c r="P87" s="11" t="s">
        <v>422</v>
      </c>
      <c r="Q87" s="11" t="s">
        <v>420</v>
      </c>
      <c r="R87" s="11" t="s">
        <v>1065</v>
      </c>
      <c r="S87" s="10" t="s">
        <v>62</v>
      </c>
      <c r="T87" s="81">
        <v>10</v>
      </c>
      <c r="U87" s="10" t="s">
        <v>420</v>
      </c>
      <c r="V87" s="10" t="s">
        <v>2277</v>
      </c>
      <c r="X87" s="15">
        <v>5</v>
      </c>
      <c r="Y87" s="10" t="s">
        <v>34</v>
      </c>
      <c r="Z87" s="10" t="s">
        <v>2279</v>
      </c>
      <c r="AA87" s="10" t="s">
        <v>23</v>
      </c>
      <c r="AB87" s="10" t="s">
        <v>46</v>
      </c>
    </row>
    <row r="88" spans="1:28">
      <c r="A88" s="10" t="s">
        <v>571</v>
      </c>
      <c r="B88" s="11" t="s">
        <v>115</v>
      </c>
      <c r="C88" s="11" t="s">
        <v>437</v>
      </c>
      <c r="D88" s="12">
        <v>19</v>
      </c>
      <c r="E88" s="11" t="s">
        <v>418</v>
      </c>
      <c r="F88" s="14" t="str">
        <f>_xlfn.XLOOKUP(E88,Profession!$B$2:$B$15,Profession!$A$2:$A$15,"Not Found")</f>
        <v>P001</v>
      </c>
      <c r="G88" s="11" t="s">
        <v>1115</v>
      </c>
      <c r="H88" s="10" t="str">
        <f>_xlfn.XLOOKUP(G88,Region!$B$2:$B$16,Region!$A$2:$A$16,"Not Found")</f>
        <v>R002</v>
      </c>
      <c r="I88" s="10" t="s">
        <v>420</v>
      </c>
      <c r="J88" s="10" t="s">
        <v>420</v>
      </c>
      <c r="K88" s="10" t="s">
        <v>434</v>
      </c>
      <c r="L88" s="10" t="s">
        <v>1057</v>
      </c>
      <c r="M88" s="16" t="s">
        <v>422</v>
      </c>
      <c r="N88" s="10" t="s">
        <v>61</v>
      </c>
      <c r="O88" s="16" t="s">
        <v>433</v>
      </c>
      <c r="P88" s="11" t="s">
        <v>422</v>
      </c>
      <c r="Q88" s="11" t="s">
        <v>1061</v>
      </c>
      <c r="R88" s="11" t="s">
        <v>1066</v>
      </c>
      <c r="S88" s="10" t="s">
        <v>62</v>
      </c>
      <c r="T88" s="81">
        <v>8</v>
      </c>
      <c r="U88" s="10" t="s">
        <v>420</v>
      </c>
      <c r="V88" s="10" t="s">
        <v>450</v>
      </c>
      <c r="X88" s="15">
        <v>8</v>
      </c>
      <c r="Y88" s="10" t="s">
        <v>69</v>
      </c>
      <c r="Z88" s="10" t="s">
        <v>2281</v>
      </c>
      <c r="AA88" s="10" t="s">
        <v>70</v>
      </c>
      <c r="AB88" s="10" t="s">
        <v>24</v>
      </c>
    </row>
    <row r="89" spans="1:28">
      <c r="A89" s="10" t="s">
        <v>572</v>
      </c>
      <c r="B89" s="11" t="s">
        <v>116</v>
      </c>
      <c r="C89" s="11" t="s">
        <v>437</v>
      </c>
      <c r="D89" s="12">
        <v>19</v>
      </c>
      <c r="E89" s="11" t="s">
        <v>418</v>
      </c>
      <c r="F89" s="14" t="str">
        <f>_xlfn.XLOOKUP(E89,Profession!$B$2:$B$15,Profession!$A$2:$A$15,"Not Found")</f>
        <v>P001</v>
      </c>
      <c r="G89" s="11" t="s">
        <v>1115</v>
      </c>
      <c r="H89" s="10" t="str">
        <f>_xlfn.XLOOKUP(G89,Region!$B$2:$B$16,Region!$A$2:$A$16,"Not Found")</f>
        <v>R002</v>
      </c>
      <c r="I89" s="10" t="s">
        <v>420</v>
      </c>
      <c r="J89" s="10" t="s">
        <v>420</v>
      </c>
      <c r="K89" s="10" t="s">
        <v>435</v>
      </c>
      <c r="L89" s="10" t="s">
        <v>1057</v>
      </c>
      <c r="M89" s="16" t="s">
        <v>422</v>
      </c>
      <c r="N89" s="10" t="s">
        <v>61</v>
      </c>
      <c r="O89" s="16" t="s">
        <v>433</v>
      </c>
      <c r="P89" s="11" t="s">
        <v>422</v>
      </c>
      <c r="Q89" s="11" t="s">
        <v>426</v>
      </c>
      <c r="R89" s="11" t="s">
        <v>1065</v>
      </c>
      <c r="S89" s="10" t="s">
        <v>62</v>
      </c>
      <c r="T89" s="81">
        <v>8</v>
      </c>
      <c r="U89" s="10" t="s">
        <v>420</v>
      </c>
      <c r="V89" s="10" t="s">
        <v>2277</v>
      </c>
      <c r="X89" s="15">
        <v>5</v>
      </c>
      <c r="Y89" s="10" t="s">
        <v>34</v>
      </c>
      <c r="Z89" s="10" t="s">
        <v>2849</v>
      </c>
      <c r="AA89" s="10" t="s">
        <v>23</v>
      </c>
      <c r="AB89" s="10" t="s">
        <v>46</v>
      </c>
    </row>
    <row r="90" spans="1:28">
      <c r="A90" s="10" t="s">
        <v>573</v>
      </c>
      <c r="B90" s="11" t="s">
        <v>117</v>
      </c>
      <c r="C90" s="11" t="s">
        <v>437</v>
      </c>
      <c r="D90" s="12">
        <v>19</v>
      </c>
      <c r="E90" s="11" t="s">
        <v>418</v>
      </c>
      <c r="F90" s="14" t="str">
        <f>_xlfn.XLOOKUP(E90,Profession!$B$2:$B$15,Profession!$A$2:$A$15,"Not Found")</f>
        <v>P001</v>
      </c>
      <c r="G90" s="11" t="s">
        <v>1115</v>
      </c>
      <c r="H90" s="10" t="str">
        <f>_xlfn.XLOOKUP(G90,Region!$B$2:$B$16,Region!$A$2:$A$16,"Not Found")</f>
        <v>R002</v>
      </c>
      <c r="I90" s="10" t="s">
        <v>420</v>
      </c>
      <c r="J90" s="10" t="s">
        <v>420</v>
      </c>
      <c r="K90" s="10" t="s">
        <v>434</v>
      </c>
      <c r="L90" s="10" t="s">
        <v>1057</v>
      </c>
      <c r="M90" s="16" t="s">
        <v>422</v>
      </c>
      <c r="N90" s="10" t="s">
        <v>61</v>
      </c>
      <c r="O90" s="16" t="s">
        <v>433</v>
      </c>
      <c r="P90" s="11" t="s">
        <v>422</v>
      </c>
      <c r="Q90" s="11" t="s">
        <v>420</v>
      </c>
      <c r="R90" s="11" t="s">
        <v>1065</v>
      </c>
      <c r="S90" s="10" t="s">
        <v>2886</v>
      </c>
      <c r="T90" s="81">
        <v>8</v>
      </c>
      <c r="U90" s="10" t="s">
        <v>420</v>
      </c>
      <c r="V90" s="10" t="s">
        <v>2277</v>
      </c>
      <c r="X90" s="15">
        <v>5</v>
      </c>
      <c r="Y90" s="10" t="s">
        <v>36</v>
      </c>
      <c r="Z90" s="10" t="s">
        <v>2849</v>
      </c>
      <c r="AA90" s="10" t="s">
        <v>23</v>
      </c>
      <c r="AB90" s="10" t="s">
        <v>24</v>
      </c>
    </row>
    <row r="91" spans="1:28">
      <c r="A91" s="10" t="s">
        <v>574</v>
      </c>
      <c r="B91" s="11" t="s">
        <v>118</v>
      </c>
      <c r="C91" s="11" t="s">
        <v>437</v>
      </c>
      <c r="D91" s="12">
        <v>19</v>
      </c>
      <c r="E91" s="11" t="s">
        <v>418</v>
      </c>
      <c r="F91" s="14" t="str">
        <f>_xlfn.XLOOKUP(E91,Profession!$B$2:$B$15,Profession!$A$2:$A$15,"Not Found")</f>
        <v>P001</v>
      </c>
      <c r="G91" s="11" t="s">
        <v>1115</v>
      </c>
      <c r="H91" s="10" t="str">
        <f>_xlfn.XLOOKUP(G91,Region!$B$2:$B$16,Region!$A$2:$A$16,"Not Found")</f>
        <v>R002</v>
      </c>
      <c r="I91" s="10" t="s">
        <v>420</v>
      </c>
      <c r="J91" s="10" t="s">
        <v>420</v>
      </c>
      <c r="K91" s="10" t="s">
        <v>421</v>
      </c>
      <c r="L91" s="10" t="s">
        <v>1057</v>
      </c>
      <c r="M91" s="16" t="s">
        <v>422</v>
      </c>
      <c r="N91" s="10" t="s">
        <v>61</v>
      </c>
      <c r="O91" s="16" t="s">
        <v>433</v>
      </c>
      <c r="P91" s="11" t="s">
        <v>435</v>
      </c>
      <c r="Q91" s="11" t="s">
        <v>420</v>
      </c>
      <c r="R91" s="11" t="s">
        <v>1067</v>
      </c>
      <c r="S91" s="10" t="s">
        <v>62</v>
      </c>
      <c r="T91" s="81">
        <v>7</v>
      </c>
      <c r="U91" s="10" t="s">
        <v>420</v>
      </c>
      <c r="V91" s="10" t="s">
        <v>2277</v>
      </c>
      <c r="X91" s="15">
        <v>5</v>
      </c>
      <c r="Y91" s="10" t="s">
        <v>21</v>
      </c>
      <c r="Z91" s="10" t="s">
        <v>2850</v>
      </c>
      <c r="AA91" s="10" t="s">
        <v>119</v>
      </c>
      <c r="AB91" s="10" t="s">
        <v>46</v>
      </c>
    </row>
    <row r="92" spans="1:28">
      <c r="A92" s="10" t="s">
        <v>575</v>
      </c>
      <c r="B92" s="11" t="s">
        <v>120</v>
      </c>
      <c r="C92" s="11" t="s">
        <v>437</v>
      </c>
      <c r="D92" s="12">
        <v>19</v>
      </c>
      <c r="E92" s="11" t="s">
        <v>418</v>
      </c>
      <c r="F92" s="14" t="str">
        <f>_xlfn.XLOOKUP(E92,Profession!$B$2:$B$15,Profession!$A$2:$A$15,"Not Found")</f>
        <v>P001</v>
      </c>
      <c r="G92" s="11" t="s">
        <v>1115</v>
      </c>
      <c r="H92" s="10" t="str">
        <f>_xlfn.XLOOKUP(G92,Region!$B$2:$B$16,Region!$A$2:$A$16,"Not Found")</f>
        <v>R002</v>
      </c>
      <c r="I92" s="10" t="s">
        <v>420</v>
      </c>
      <c r="J92" s="10" t="s">
        <v>420</v>
      </c>
      <c r="K92" s="10" t="s">
        <v>421</v>
      </c>
      <c r="L92" s="10" t="s">
        <v>1057</v>
      </c>
      <c r="M92" s="16" t="s">
        <v>422</v>
      </c>
      <c r="N92" s="10" t="s">
        <v>61</v>
      </c>
      <c r="O92" s="16" t="s">
        <v>433</v>
      </c>
      <c r="P92" s="11" t="s">
        <v>422</v>
      </c>
      <c r="Q92" s="11" t="s">
        <v>1061</v>
      </c>
      <c r="R92" s="11" t="s">
        <v>1067</v>
      </c>
      <c r="S92" s="10" t="s">
        <v>62</v>
      </c>
      <c r="T92" s="81">
        <v>8</v>
      </c>
      <c r="U92" s="10" t="s">
        <v>420</v>
      </c>
      <c r="V92" s="10" t="s">
        <v>2277</v>
      </c>
      <c r="X92" s="15">
        <v>6</v>
      </c>
      <c r="Y92" s="10" t="s">
        <v>21</v>
      </c>
      <c r="Z92" s="10" t="s">
        <v>1061</v>
      </c>
      <c r="AA92" s="10" t="s">
        <v>119</v>
      </c>
      <c r="AB92" s="10" t="s">
        <v>2841</v>
      </c>
    </row>
    <row r="93" spans="1:28">
      <c r="A93" s="10" t="s">
        <v>576</v>
      </c>
      <c r="B93" s="11" t="s">
        <v>89</v>
      </c>
      <c r="C93" s="11" t="s">
        <v>437</v>
      </c>
      <c r="D93" s="12">
        <v>19</v>
      </c>
      <c r="E93" s="11" t="s">
        <v>418</v>
      </c>
      <c r="F93" s="14" t="str">
        <f>_xlfn.XLOOKUP(E93,Profession!$B$2:$B$15,Profession!$A$2:$A$15,"Not Found")</f>
        <v>P001</v>
      </c>
      <c r="G93" s="11" t="s">
        <v>1115</v>
      </c>
      <c r="H93" s="10" t="str">
        <f>_xlfn.XLOOKUP(G93,Region!$B$2:$B$16,Region!$A$2:$A$16,"Not Found")</f>
        <v>R002</v>
      </c>
      <c r="I93" s="10" t="s">
        <v>420</v>
      </c>
      <c r="J93" s="10" t="s">
        <v>420</v>
      </c>
      <c r="K93" s="10" t="s">
        <v>435</v>
      </c>
      <c r="L93" s="10" t="s">
        <v>1057</v>
      </c>
      <c r="M93" s="16" t="s">
        <v>422</v>
      </c>
      <c r="N93" s="10" t="s">
        <v>61</v>
      </c>
      <c r="O93" s="16" t="s">
        <v>433</v>
      </c>
      <c r="P93" s="11" t="s">
        <v>435</v>
      </c>
      <c r="Q93" s="11" t="s">
        <v>1061</v>
      </c>
      <c r="R93" s="11" t="s">
        <v>1068</v>
      </c>
      <c r="S93" s="10" t="s">
        <v>62</v>
      </c>
      <c r="T93" s="81">
        <v>7</v>
      </c>
      <c r="U93" s="10" t="s">
        <v>420</v>
      </c>
      <c r="V93" s="10" t="s">
        <v>2277</v>
      </c>
      <c r="X93" s="15">
        <v>4</v>
      </c>
      <c r="Y93" s="10" t="s">
        <v>21</v>
      </c>
      <c r="Z93" s="10" t="s">
        <v>2850</v>
      </c>
      <c r="AA93" s="10" t="s">
        <v>119</v>
      </c>
      <c r="AB93" s="10" t="s">
        <v>46</v>
      </c>
    </row>
    <row r="94" spans="1:28">
      <c r="A94" s="10" t="s">
        <v>577</v>
      </c>
      <c r="B94" s="11" t="s">
        <v>121</v>
      </c>
      <c r="C94" s="11" t="s">
        <v>437</v>
      </c>
      <c r="D94" s="12">
        <v>19</v>
      </c>
      <c r="E94" s="11" t="s">
        <v>418</v>
      </c>
      <c r="F94" s="14" t="str">
        <f>_xlfn.XLOOKUP(E94,Profession!$B$2:$B$15,Profession!$A$2:$A$15,"Not Found")</f>
        <v>P001</v>
      </c>
      <c r="G94" s="11" t="s">
        <v>1115</v>
      </c>
      <c r="H94" s="10" t="str">
        <f>_xlfn.XLOOKUP(G94,Region!$B$2:$B$16,Region!$A$2:$A$16,"Not Found")</f>
        <v>R002</v>
      </c>
      <c r="I94" s="10" t="s">
        <v>420</v>
      </c>
      <c r="J94" s="10" t="s">
        <v>420</v>
      </c>
      <c r="K94" s="10" t="s">
        <v>435</v>
      </c>
      <c r="L94" s="10" t="s">
        <v>1057</v>
      </c>
      <c r="M94" s="16" t="s">
        <v>422</v>
      </c>
      <c r="N94" s="10" t="s">
        <v>61</v>
      </c>
      <c r="O94" s="16" t="s">
        <v>433</v>
      </c>
      <c r="P94" s="11" t="s">
        <v>422</v>
      </c>
      <c r="Q94" s="11" t="s">
        <v>1061</v>
      </c>
      <c r="R94" s="11" t="s">
        <v>1065</v>
      </c>
      <c r="S94" s="10" t="s">
        <v>62</v>
      </c>
      <c r="T94" s="81">
        <v>7</v>
      </c>
      <c r="U94" s="10" t="s">
        <v>420</v>
      </c>
      <c r="V94" s="10" t="s">
        <v>2277</v>
      </c>
      <c r="X94" s="15">
        <v>6</v>
      </c>
      <c r="Y94" s="10" t="s">
        <v>21</v>
      </c>
      <c r="Z94" s="10" t="s">
        <v>1073</v>
      </c>
      <c r="AA94" s="10" t="s">
        <v>119</v>
      </c>
      <c r="AB94" s="10" t="s">
        <v>28</v>
      </c>
    </row>
    <row r="95" spans="1:28">
      <c r="A95" s="10" t="s">
        <v>578</v>
      </c>
      <c r="B95" s="11" t="s">
        <v>122</v>
      </c>
      <c r="C95" s="11" t="s">
        <v>437</v>
      </c>
      <c r="D95" s="12">
        <v>19</v>
      </c>
      <c r="E95" s="11" t="s">
        <v>418</v>
      </c>
      <c r="F95" s="14" t="str">
        <f>_xlfn.XLOOKUP(E95,Profession!$B$2:$B$15,Profession!$A$2:$A$15,"Not Found")</f>
        <v>P001</v>
      </c>
      <c r="G95" s="11" t="s">
        <v>1115</v>
      </c>
      <c r="H95" s="10" t="str">
        <f>_xlfn.XLOOKUP(G95,Region!$B$2:$B$16,Region!$A$2:$A$16,"Not Found")</f>
        <v>R002</v>
      </c>
      <c r="I95" s="10" t="s">
        <v>420</v>
      </c>
      <c r="J95" s="10" t="s">
        <v>420</v>
      </c>
      <c r="K95" s="10" t="s">
        <v>435</v>
      </c>
      <c r="L95" s="10" t="s">
        <v>1057</v>
      </c>
      <c r="M95" s="16" t="s">
        <v>436</v>
      </c>
      <c r="N95" s="10" t="s">
        <v>61</v>
      </c>
      <c r="O95" s="16" t="s">
        <v>433</v>
      </c>
      <c r="P95" s="11" t="s">
        <v>422</v>
      </c>
      <c r="Q95" s="11" t="s">
        <v>420</v>
      </c>
      <c r="R95" s="11" t="s">
        <v>1065</v>
      </c>
      <c r="S95" s="10" t="s">
        <v>62</v>
      </c>
      <c r="T95" s="81">
        <v>6</v>
      </c>
      <c r="U95" s="10" t="s">
        <v>420</v>
      </c>
      <c r="V95" s="10" t="s">
        <v>2277</v>
      </c>
      <c r="X95" s="15">
        <v>5</v>
      </c>
      <c r="Y95" s="10" t="s">
        <v>21</v>
      </c>
      <c r="Z95" s="10" t="s">
        <v>2850</v>
      </c>
      <c r="AA95" s="10" t="s">
        <v>119</v>
      </c>
      <c r="AB95" s="10" t="s">
        <v>2841</v>
      </c>
    </row>
    <row r="96" spans="1:28">
      <c r="A96" s="10" t="s">
        <v>579</v>
      </c>
      <c r="B96" s="11" t="s">
        <v>123</v>
      </c>
      <c r="C96" s="11" t="s">
        <v>437</v>
      </c>
      <c r="D96" s="12">
        <v>18</v>
      </c>
      <c r="E96" s="11" t="s">
        <v>418</v>
      </c>
      <c r="F96" s="14" t="str">
        <f>_xlfn.XLOOKUP(E96,Profession!$B$2:$B$15,Profession!$A$2:$A$15,"Not Found")</f>
        <v>P001</v>
      </c>
      <c r="G96" s="11" t="s">
        <v>1115</v>
      </c>
      <c r="H96" s="10" t="str">
        <f>_xlfn.XLOOKUP(G96,Region!$B$2:$B$16,Region!$A$2:$A$16,"Not Found")</f>
        <v>R002</v>
      </c>
      <c r="I96" s="10" t="s">
        <v>420</v>
      </c>
      <c r="J96" s="10" t="s">
        <v>420</v>
      </c>
      <c r="K96" s="10" t="s">
        <v>431</v>
      </c>
      <c r="L96" s="10" t="s">
        <v>1057</v>
      </c>
      <c r="M96" s="16" t="s">
        <v>432</v>
      </c>
      <c r="N96" s="10" t="s">
        <v>61</v>
      </c>
      <c r="O96" s="16" t="s">
        <v>433</v>
      </c>
      <c r="P96" s="11" t="s">
        <v>422</v>
      </c>
      <c r="Q96" s="11" t="s">
        <v>420</v>
      </c>
      <c r="R96" s="11" t="s">
        <v>1065</v>
      </c>
      <c r="S96" s="10" t="s">
        <v>62</v>
      </c>
      <c r="T96" s="81">
        <v>5</v>
      </c>
      <c r="U96" s="10" t="s">
        <v>420</v>
      </c>
      <c r="V96" s="10" t="s">
        <v>2277</v>
      </c>
      <c r="X96" s="15">
        <v>7</v>
      </c>
      <c r="Y96" s="10" t="s">
        <v>21</v>
      </c>
      <c r="Z96" s="10" t="s">
        <v>2850</v>
      </c>
      <c r="AA96" s="10" t="s">
        <v>119</v>
      </c>
      <c r="AB96" s="10" t="s">
        <v>28</v>
      </c>
    </row>
    <row r="97" spans="1:28">
      <c r="A97" s="10" t="s">
        <v>580</v>
      </c>
      <c r="B97" s="11" t="s">
        <v>92</v>
      </c>
      <c r="C97" s="11" t="s">
        <v>437</v>
      </c>
      <c r="D97" s="12">
        <v>19</v>
      </c>
      <c r="E97" s="11" t="s">
        <v>418</v>
      </c>
      <c r="F97" s="14" t="str">
        <f>_xlfn.XLOOKUP(E97,Profession!$B$2:$B$15,Profession!$A$2:$A$15,"Not Found")</f>
        <v>P001</v>
      </c>
      <c r="G97" s="11" t="s">
        <v>1115</v>
      </c>
      <c r="H97" s="10" t="str">
        <f>_xlfn.XLOOKUP(G97,Region!$B$2:$B$16,Region!$A$2:$A$16,"Not Found")</f>
        <v>R002</v>
      </c>
      <c r="I97" s="10" t="s">
        <v>420</v>
      </c>
      <c r="J97" s="10" t="s">
        <v>420</v>
      </c>
      <c r="K97" s="10" t="s">
        <v>434</v>
      </c>
      <c r="L97" s="10" t="s">
        <v>1057</v>
      </c>
      <c r="M97" s="16" t="s">
        <v>422</v>
      </c>
      <c r="N97" s="10" t="s">
        <v>61</v>
      </c>
      <c r="O97" s="16" t="s">
        <v>433</v>
      </c>
      <c r="P97" s="11" t="s">
        <v>422</v>
      </c>
      <c r="Q97" s="11" t="s">
        <v>1061</v>
      </c>
      <c r="R97" s="11" t="s">
        <v>1066</v>
      </c>
      <c r="S97" s="10" t="s">
        <v>62</v>
      </c>
      <c r="T97" s="81">
        <v>5</v>
      </c>
      <c r="U97" s="10" t="s">
        <v>420</v>
      </c>
      <c r="V97" s="10" t="s">
        <v>2277</v>
      </c>
      <c r="X97" s="15">
        <v>8</v>
      </c>
      <c r="Y97" s="10" t="s">
        <v>21</v>
      </c>
      <c r="Z97" s="10" t="s">
        <v>2850</v>
      </c>
      <c r="AA97" s="10" t="s">
        <v>119</v>
      </c>
      <c r="AB97" s="10" t="s">
        <v>46</v>
      </c>
    </row>
    <row r="98" spans="1:28">
      <c r="A98" s="10" t="s">
        <v>581</v>
      </c>
      <c r="B98" s="11" t="s">
        <v>124</v>
      </c>
      <c r="C98" s="11" t="s">
        <v>437</v>
      </c>
      <c r="D98" s="12">
        <v>20</v>
      </c>
      <c r="E98" s="11" t="s">
        <v>418</v>
      </c>
      <c r="F98" s="14" t="str">
        <f>_xlfn.XLOOKUP(E98,Profession!$B$2:$B$15,Profession!$A$2:$A$15,"Not Found")</f>
        <v>P001</v>
      </c>
      <c r="G98" s="11" t="s">
        <v>1115</v>
      </c>
      <c r="H98" s="10" t="str">
        <f>_xlfn.XLOOKUP(G98,Region!$B$2:$B$16,Region!$A$2:$A$16,"Not Found")</f>
        <v>R002</v>
      </c>
      <c r="I98" s="10" t="s">
        <v>420</v>
      </c>
      <c r="J98" s="10" t="s">
        <v>420</v>
      </c>
      <c r="K98" s="10" t="s">
        <v>434</v>
      </c>
      <c r="L98" s="10" t="s">
        <v>1058</v>
      </c>
      <c r="M98" s="16" t="s">
        <v>422</v>
      </c>
      <c r="N98" s="10" t="s">
        <v>61</v>
      </c>
      <c r="O98" s="16" t="s">
        <v>433</v>
      </c>
      <c r="P98" s="11" t="s">
        <v>422</v>
      </c>
      <c r="Q98" s="11" t="s">
        <v>426</v>
      </c>
      <c r="R98" s="11" t="s">
        <v>1065</v>
      </c>
      <c r="S98" s="10" t="s">
        <v>62</v>
      </c>
      <c r="T98" s="81">
        <v>7</v>
      </c>
      <c r="U98" s="10" t="s">
        <v>420</v>
      </c>
      <c r="V98" s="10" t="s">
        <v>2277</v>
      </c>
      <c r="X98" s="15">
        <v>4</v>
      </c>
      <c r="Y98" s="10" t="s">
        <v>21</v>
      </c>
      <c r="Z98" s="10" t="s">
        <v>2850</v>
      </c>
      <c r="AA98" s="10" t="s">
        <v>119</v>
      </c>
      <c r="AB98" s="10" t="s">
        <v>46</v>
      </c>
    </row>
    <row r="99" spans="1:28">
      <c r="A99" s="10" t="s">
        <v>582</v>
      </c>
      <c r="B99" s="11" t="s">
        <v>101</v>
      </c>
      <c r="C99" s="11" t="s">
        <v>437</v>
      </c>
      <c r="D99" s="12">
        <v>20</v>
      </c>
      <c r="E99" s="11" t="s">
        <v>418</v>
      </c>
      <c r="F99" s="14" t="str">
        <f>_xlfn.XLOOKUP(E99,Profession!$B$2:$B$15,Profession!$A$2:$A$15,"Not Found")</f>
        <v>P001</v>
      </c>
      <c r="G99" s="11" t="s">
        <v>1115</v>
      </c>
      <c r="H99" s="10" t="str">
        <f>_xlfn.XLOOKUP(G99,Region!$B$2:$B$16,Region!$A$2:$A$16,"Not Found")</f>
        <v>R002</v>
      </c>
      <c r="I99" s="10" t="s">
        <v>420</v>
      </c>
      <c r="J99" s="10" t="s">
        <v>420</v>
      </c>
      <c r="K99" s="10" t="s">
        <v>434</v>
      </c>
      <c r="L99" s="10" t="s">
        <v>1057</v>
      </c>
      <c r="M99" s="16" t="s">
        <v>422</v>
      </c>
      <c r="N99" s="10" t="s">
        <v>61</v>
      </c>
      <c r="O99" s="16" t="s">
        <v>433</v>
      </c>
      <c r="P99" s="11" t="s">
        <v>422</v>
      </c>
      <c r="Q99" s="11" t="s">
        <v>420</v>
      </c>
      <c r="R99" s="11" t="s">
        <v>1065</v>
      </c>
      <c r="S99" s="10" t="s">
        <v>2886</v>
      </c>
      <c r="T99" s="81">
        <v>8</v>
      </c>
      <c r="U99" s="10" t="s">
        <v>420</v>
      </c>
      <c r="V99" s="10" t="s">
        <v>2277</v>
      </c>
      <c r="X99" s="15">
        <v>4</v>
      </c>
      <c r="Y99" s="10" t="s">
        <v>21</v>
      </c>
      <c r="Z99" s="10" t="s">
        <v>2850</v>
      </c>
      <c r="AA99" s="10" t="s">
        <v>119</v>
      </c>
      <c r="AB99" s="10" t="s">
        <v>24</v>
      </c>
    </row>
    <row r="100" spans="1:28">
      <c r="A100" s="10" t="s">
        <v>583</v>
      </c>
      <c r="B100" s="11" t="s">
        <v>125</v>
      </c>
      <c r="C100" s="11" t="s">
        <v>437</v>
      </c>
      <c r="D100" s="12">
        <v>19</v>
      </c>
      <c r="E100" s="11" t="s">
        <v>418</v>
      </c>
      <c r="F100" s="14" t="str">
        <f>_xlfn.XLOOKUP(E100,Profession!$B$2:$B$15,Profession!$A$2:$A$15,"Not Found")</f>
        <v>P001</v>
      </c>
      <c r="G100" s="11" t="s">
        <v>1115</v>
      </c>
      <c r="H100" s="10" t="str">
        <f>_xlfn.XLOOKUP(G100,Region!$B$2:$B$16,Region!$A$2:$A$16,"Not Found")</f>
        <v>R002</v>
      </c>
      <c r="I100" s="10" t="s">
        <v>420</v>
      </c>
      <c r="J100" s="10" t="s">
        <v>420</v>
      </c>
      <c r="K100" s="10" t="s">
        <v>435</v>
      </c>
      <c r="L100" s="10" t="s">
        <v>1058</v>
      </c>
      <c r="M100" s="16" t="s">
        <v>422</v>
      </c>
      <c r="N100" s="10" t="s">
        <v>61</v>
      </c>
      <c r="O100" s="16" t="s">
        <v>433</v>
      </c>
      <c r="P100" s="11" t="s">
        <v>435</v>
      </c>
      <c r="Q100" s="11" t="s">
        <v>420</v>
      </c>
      <c r="R100" s="11" t="s">
        <v>1067</v>
      </c>
      <c r="S100" s="10" t="s">
        <v>62</v>
      </c>
      <c r="T100" s="81">
        <v>6</v>
      </c>
      <c r="U100" s="10" t="s">
        <v>420</v>
      </c>
      <c r="V100" s="10" t="s">
        <v>450</v>
      </c>
      <c r="X100" s="15">
        <v>6</v>
      </c>
      <c r="Y100" s="10" t="s">
        <v>21</v>
      </c>
      <c r="Z100" s="10" t="s">
        <v>2850</v>
      </c>
      <c r="AA100" s="10" t="s">
        <v>119</v>
      </c>
      <c r="AB100" s="10" t="s">
        <v>46</v>
      </c>
    </row>
    <row r="101" spans="1:28">
      <c r="A101" s="10" t="s">
        <v>584</v>
      </c>
      <c r="B101" s="11" t="s">
        <v>126</v>
      </c>
      <c r="C101" s="11" t="s">
        <v>437</v>
      </c>
      <c r="D101" s="12">
        <v>20</v>
      </c>
      <c r="E101" s="11" t="s">
        <v>418</v>
      </c>
      <c r="F101" s="14" t="str">
        <f>_xlfn.XLOOKUP(E101,Profession!$B$2:$B$15,Profession!$A$2:$A$15,"Not Found")</f>
        <v>P001</v>
      </c>
      <c r="G101" s="11" t="s">
        <v>1115</v>
      </c>
      <c r="H101" s="10" t="str">
        <f>_xlfn.XLOOKUP(G101,Region!$B$2:$B$16,Region!$A$2:$A$16,"Not Found")</f>
        <v>R002</v>
      </c>
      <c r="I101" s="10" t="s">
        <v>420</v>
      </c>
      <c r="J101" s="10" t="s">
        <v>420</v>
      </c>
      <c r="K101" s="10" t="s">
        <v>435</v>
      </c>
      <c r="L101" s="10" t="s">
        <v>1057</v>
      </c>
      <c r="M101" s="16" t="s">
        <v>432</v>
      </c>
      <c r="N101" s="10" t="s">
        <v>61</v>
      </c>
      <c r="O101" s="16" t="s">
        <v>433</v>
      </c>
      <c r="P101" s="11" t="s">
        <v>422</v>
      </c>
      <c r="Q101" s="11" t="s">
        <v>1061</v>
      </c>
      <c r="R101" s="11" t="s">
        <v>1067</v>
      </c>
      <c r="S101" s="10" t="s">
        <v>62</v>
      </c>
      <c r="T101" s="81">
        <v>6</v>
      </c>
      <c r="U101" s="10" t="s">
        <v>420</v>
      </c>
      <c r="V101" s="10" t="s">
        <v>450</v>
      </c>
      <c r="X101" s="15">
        <v>6</v>
      </c>
      <c r="Y101" s="10" t="s">
        <v>21</v>
      </c>
      <c r="Z101" s="10" t="s">
        <v>2851</v>
      </c>
      <c r="AA101" s="10" t="s">
        <v>119</v>
      </c>
      <c r="AB101" s="10" t="s">
        <v>46</v>
      </c>
    </row>
    <row r="102" spans="1:28">
      <c r="A102" s="10" t="s">
        <v>585</v>
      </c>
      <c r="B102" s="11" t="s">
        <v>127</v>
      </c>
      <c r="C102" s="11" t="s">
        <v>437</v>
      </c>
      <c r="D102" s="12">
        <v>20</v>
      </c>
      <c r="E102" s="11" t="s">
        <v>418</v>
      </c>
      <c r="F102" s="14" t="str">
        <f>_xlfn.XLOOKUP(E102,Profession!$B$2:$B$15,Profession!$A$2:$A$15,"Not Found")</f>
        <v>P001</v>
      </c>
      <c r="G102" s="11" t="s">
        <v>1115</v>
      </c>
      <c r="H102" s="10" t="str">
        <f>_xlfn.XLOOKUP(G102,Region!$B$2:$B$16,Region!$A$2:$A$16,"Not Found")</f>
        <v>R002</v>
      </c>
      <c r="I102" s="10" t="s">
        <v>420</v>
      </c>
      <c r="J102" s="10" t="s">
        <v>420</v>
      </c>
      <c r="K102" s="10" t="s">
        <v>431</v>
      </c>
      <c r="L102" s="10" t="s">
        <v>1057</v>
      </c>
      <c r="M102" s="16" t="s">
        <v>422</v>
      </c>
      <c r="N102" s="10" t="s">
        <v>64</v>
      </c>
      <c r="O102" s="16" t="s">
        <v>433</v>
      </c>
      <c r="P102" s="11" t="s">
        <v>435</v>
      </c>
      <c r="Q102" s="11" t="s">
        <v>1061</v>
      </c>
      <c r="R102" s="11" t="s">
        <v>1068</v>
      </c>
      <c r="S102" s="10" t="s">
        <v>62</v>
      </c>
      <c r="T102" s="81">
        <v>8</v>
      </c>
      <c r="U102" s="10" t="s">
        <v>420</v>
      </c>
      <c r="V102" s="10" t="s">
        <v>450</v>
      </c>
      <c r="X102" s="15">
        <v>6</v>
      </c>
      <c r="Y102" s="10" t="s">
        <v>36</v>
      </c>
      <c r="Z102" s="10" t="s">
        <v>2849</v>
      </c>
      <c r="AA102" s="10" t="s">
        <v>23</v>
      </c>
      <c r="AB102" s="10" t="s">
        <v>2841</v>
      </c>
    </row>
    <row r="103" spans="1:28">
      <c r="A103" s="10" t="s">
        <v>586</v>
      </c>
      <c r="B103" s="11" t="s">
        <v>128</v>
      </c>
      <c r="C103" s="11" t="s">
        <v>437</v>
      </c>
      <c r="D103" s="12">
        <v>19</v>
      </c>
      <c r="E103" s="11" t="s">
        <v>418</v>
      </c>
      <c r="F103" s="14" t="str">
        <f>_xlfn.XLOOKUP(E103,Profession!$B$2:$B$15,Profession!$A$2:$A$15,"Not Found")</f>
        <v>P001</v>
      </c>
      <c r="G103" s="11" t="s">
        <v>1115</v>
      </c>
      <c r="H103" s="10" t="str">
        <f>_xlfn.XLOOKUP(G103,Region!$B$2:$B$16,Region!$A$2:$A$16,"Not Found")</f>
        <v>R002</v>
      </c>
      <c r="I103" s="10" t="s">
        <v>420</v>
      </c>
      <c r="J103" s="10" t="s">
        <v>420</v>
      </c>
      <c r="K103" s="10" t="s">
        <v>431</v>
      </c>
      <c r="L103" s="10" t="s">
        <v>1057</v>
      </c>
      <c r="M103" s="16" t="s">
        <v>436</v>
      </c>
      <c r="N103" s="10" t="s">
        <v>67</v>
      </c>
      <c r="O103" s="16" t="s">
        <v>433</v>
      </c>
      <c r="P103" s="11" t="s">
        <v>422</v>
      </c>
      <c r="Q103" s="11" t="s">
        <v>1061</v>
      </c>
      <c r="R103" s="11" t="s">
        <v>1065</v>
      </c>
      <c r="S103" s="10" t="s">
        <v>62</v>
      </c>
      <c r="T103" s="81">
        <v>8</v>
      </c>
      <c r="U103" s="10" t="s">
        <v>420</v>
      </c>
      <c r="V103" s="10" t="s">
        <v>2277</v>
      </c>
      <c r="X103" s="15">
        <v>5</v>
      </c>
      <c r="Y103" s="10" t="s">
        <v>27</v>
      </c>
      <c r="Z103" s="10" t="s">
        <v>2849</v>
      </c>
      <c r="AA103" s="10" t="s">
        <v>23</v>
      </c>
      <c r="AB103" s="10" t="s">
        <v>28</v>
      </c>
    </row>
    <row r="104" spans="1:28">
      <c r="A104" s="10" t="s">
        <v>587</v>
      </c>
      <c r="B104" s="11" t="s">
        <v>129</v>
      </c>
      <c r="C104" s="11" t="s">
        <v>437</v>
      </c>
      <c r="D104" s="12">
        <v>20</v>
      </c>
      <c r="E104" s="11" t="s">
        <v>418</v>
      </c>
      <c r="F104" s="14" t="str">
        <f>_xlfn.XLOOKUP(E104,Profession!$B$2:$B$15,Profession!$A$2:$A$15,"Not Found")</f>
        <v>P001</v>
      </c>
      <c r="G104" s="11" t="s">
        <v>1115</v>
      </c>
      <c r="H104" s="10" t="str">
        <f>_xlfn.XLOOKUP(G104,Region!$B$2:$B$16,Region!$A$2:$A$16,"Not Found")</f>
        <v>R002</v>
      </c>
      <c r="I104" s="10" t="s">
        <v>420</v>
      </c>
      <c r="J104" s="10" t="s">
        <v>420</v>
      </c>
      <c r="K104" s="10" t="s">
        <v>434</v>
      </c>
      <c r="L104" s="10" t="s">
        <v>1057</v>
      </c>
      <c r="M104" s="16" t="s">
        <v>432</v>
      </c>
      <c r="N104" s="10" t="s">
        <v>64</v>
      </c>
      <c r="O104" s="16" t="s">
        <v>433</v>
      </c>
      <c r="P104" s="11" t="s">
        <v>422</v>
      </c>
      <c r="Q104" s="11" t="s">
        <v>420</v>
      </c>
      <c r="R104" s="11" t="s">
        <v>1065</v>
      </c>
      <c r="S104" s="10" t="s">
        <v>62</v>
      </c>
      <c r="T104" s="81">
        <v>8</v>
      </c>
      <c r="U104" s="10" t="s">
        <v>432</v>
      </c>
      <c r="V104" s="10" t="s">
        <v>450</v>
      </c>
      <c r="X104" s="15">
        <v>5</v>
      </c>
      <c r="Y104" s="10" t="s">
        <v>31</v>
      </c>
      <c r="Z104" s="10" t="s">
        <v>2279</v>
      </c>
      <c r="AA104" s="10" t="s">
        <v>23</v>
      </c>
      <c r="AB104" s="10" t="s">
        <v>28</v>
      </c>
    </row>
    <row r="105" spans="1:28">
      <c r="A105" s="10" t="s">
        <v>588</v>
      </c>
      <c r="B105" s="11" t="s">
        <v>130</v>
      </c>
      <c r="C105" s="11" t="s">
        <v>437</v>
      </c>
      <c r="D105" s="12">
        <v>19</v>
      </c>
      <c r="E105" s="11" t="s">
        <v>418</v>
      </c>
      <c r="F105" s="14" t="str">
        <f>_xlfn.XLOOKUP(E105,Profession!$B$2:$B$15,Profession!$A$2:$A$15,"Not Found")</f>
        <v>P001</v>
      </c>
      <c r="G105" s="11" t="s">
        <v>1115</v>
      </c>
      <c r="H105" s="10" t="str">
        <f>_xlfn.XLOOKUP(G105,Region!$B$2:$B$16,Region!$A$2:$A$16,"Not Found")</f>
        <v>R002</v>
      </c>
      <c r="I105" s="10" t="s">
        <v>420</v>
      </c>
      <c r="J105" s="10" t="s">
        <v>420</v>
      </c>
      <c r="K105" s="10" t="s">
        <v>435</v>
      </c>
      <c r="L105" s="10" t="s">
        <v>1058</v>
      </c>
      <c r="M105" s="16" t="s">
        <v>422</v>
      </c>
      <c r="N105" s="10" t="s">
        <v>64</v>
      </c>
      <c r="O105" s="16" t="s">
        <v>433</v>
      </c>
      <c r="P105" s="11" t="s">
        <v>422</v>
      </c>
      <c r="Q105" s="11" t="s">
        <v>420</v>
      </c>
      <c r="R105" s="11" t="s">
        <v>1065</v>
      </c>
      <c r="S105" s="10" t="s">
        <v>62</v>
      </c>
      <c r="T105" s="81">
        <v>7</v>
      </c>
      <c r="U105" s="10" t="s">
        <v>420</v>
      </c>
      <c r="V105" s="10" t="s">
        <v>2277</v>
      </c>
      <c r="X105" s="15">
        <v>5</v>
      </c>
      <c r="Y105" s="10" t="s">
        <v>34</v>
      </c>
      <c r="Z105" s="10" t="s">
        <v>2279</v>
      </c>
      <c r="AA105" s="10" t="s">
        <v>23</v>
      </c>
      <c r="AB105" s="10" t="s">
        <v>28</v>
      </c>
    </row>
    <row r="106" spans="1:28">
      <c r="A106" s="10" t="s">
        <v>589</v>
      </c>
      <c r="B106" s="11" t="s">
        <v>131</v>
      </c>
      <c r="C106" s="11" t="s">
        <v>437</v>
      </c>
      <c r="D106" s="12">
        <v>19</v>
      </c>
      <c r="E106" s="11" t="s">
        <v>418</v>
      </c>
      <c r="F106" s="14" t="str">
        <f>_xlfn.XLOOKUP(E106,Profession!$B$2:$B$15,Profession!$A$2:$A$15,"Not Found")</f>
        <v>P001</v>
      </c>
      <c r="G106" s="11" t="s">
        <v>1115</v>
      </c>
      <c r="H106" s="10" t="str">
        <f>_xlfn.XLOOKUP(G106,Region!$B$2:$B$16,Region!$A$2:$A$16,"Not Found")</f>
        <v>R002</v>
      </c>
      <c r="I106" s="10" t="s">
        <v>420</v>
      </c>
      <c r="J106" s="10" t="s">
        <v>420</v>
      </c>
      <c r="K106" s="10" t="s">
        <v>435</v>
      </c>
      <c r="L106" s="10" t="s">
        <v>1057</v>
      </c>
      <c r="M106" s="16" t="s">
        <v>432</v>
      </c>
      <c r="N106" s="10" t="s">
        <v>64</v>
      </c>
      <c r="O106" s="16" t="s">
        <v>433</v>
      </c>
      <c r="P106" s="11" t="s">
        <v>422</v>
      </c>
      <c r="Q106" s="11" t="s">
        <v>1061</v>
      </c>
      <c r="R106" s="11" t="s">
        <v>1066</v>
      </c>
      <c r="S106" s="10" t="s">
        <v>62</v>
      </c>
      <c r="T106" s="81">
        <v>8</v>
      </c>
      <c r="U106" s="10" t="s">
        <v>420</v>
      </c>
      <c r="V106" s="10" t="s">
        <v>450</v>
      </c>
      <c r="X106" s="15">
        <v>8</v>
      </c>
      <c r="Y106" s="10" t="s">
        <v>69</v>
      </c>
      <c r="Z106" s="10" t="s">
        <v>2281</v>
      </c>
      <c r="AA106" s="10" t="s">
        <v>70</v>
      </c>
      <c r="AB106" s="10" t="s">
        <v>46</v>
      </c>
    </row>
    <row r="107" spans="1:28">
      <c r="A107" s="10" t="s">
        <v>590</v>
      </c>
      <c r="B107" s="11" t="s">
        <v>132</v>
      </c>
      <c r="C107" s="11" t="s">
        <v>437</v>
      </c>
      <c r="D107" s="12">
        <v>19</v>
      </c>
      <c r="E107" s="11" t="s">
        <v>418</v>
      </c>
      <c r="F107" s="14" t="str">
        <f>_xlfn.XLOOKUP(E107,Profession!$B$2:$B$15,Profession!$A$2:$A$15,"Not Found")</f>
        <v>P001</v>
      </c>
      <c r="G107" s="11" t="s">
        <v>1115</v>
      </c>
      <c r="H107" s="10" t="str">
        <f>_xlfn.XLOOKUP(G107,Region!$B$2:$B$16,Region!$A$2:$A$16,"Not Found")</f>
        <v>R002</v>
      </c>
      <c r="I107" s="10" t="s">
        <v>420</v>
      </c>
      <c r="J107" s="10" t="s">
        <v>420</v>
      </c>
      <c r="K107" s="10" t="s">
        <v>435</v>
      </c>
      <c r="L107" s="10" t="s">
        <v>1057</v>
      </c>
      <c r="M107" s="16" t="s">
        <v>436</v>
      </c>
      <c r="N107" s="10" t="s">
        <v>61</v>
      </c>
      <c r="O107" s="16" t="s">
        <v>433</v>
      </c>
      <c r="P107" s="11" t="s">
        <v>422</v>
      </c>
      <c r="Q107" s="11" t="s">
        <v>426</v>
      </c>
      <c r="R107" s="11" t="s">
        <v>1065</v>
      </c>
      <c r="S107" s="10" t="s">
        <v>62</v>
      </c>
      <c r="T107" s="81">
        <v>8</v>
      </c>
      <c r="U107" s="10" t="s">
        <v>420</v>
      </c>
      <c r="V107" s="10" t="s">
        <v>2277</v>
      </c>
      <c r="X107" s="15">
        <v>5</v>
      </c>
      <c r="Y107" s="10" t="s">
        <v>34</v>
      </c>
      <c r="Z107" s="10" t="s">
        <v>2849</v>
      </c>
      <c r="AA107" s="10" t="s">
        <v>23</v>
      </c>
      <c r="AB107" s="10" t="s">
        <v>46</v>
      </c>
    </row>
    <row r="108" spans="1:28">
      <c r="A108" s="10" t="s">
        <v>591</v>
      </c>
      <c r="B108" s="11" t="s">
        <v>133</v>
      </c>
      <c r="C108" s="11" t="s">
        <v>437</v>
      </c>
      <c r="D108" s="12">
        <v>19</v>
      </c>
      <c r="E108" s="11" t="s">
        <v>418</v>
      </c>
      <c r="F108" s="14" t="str">
        <f>_xlfn.XLOOKUP(E108,Profession!$B$2:$B$15,Profession!$A$2:$A$15,"Not Found")</f>
        <v>P001</v>
      </c>
      <c r="G108" s="11" t="s">
        <v>1115</v>
      </c>
      <c r="H108" s="10" t="str">
        <f>_xlfn.XLOOKUP(G108,Region!$B$2:$B$16,Region!$A$2:$A$16,"Not Found")</f>
        <v>R002</v>
      </c>
      <c r="I108" s="10" t="s">
        <v>420</v>
      </c>
      <c r="J108" s="10" t="s">
        <v>420</v>
      </c>
      <c r="K108" s="10" t="s">
        <v>435</v>
      </c>
      <c r="L108" s="10" t="s">
        <v>1057</v>
      </c>
      <c r="M108" s="16" t="s">
        <v>432</v>
      </c>
      <c r="N108" s="10" t="s">
        <v>61</v>
      </c>
      <c r="O108" s="16" t="s">
        <v>433</v>
      </c>
      <c r="P108" s="11" t="s">
        <v>422</v>
      </c>
      <c r="Q108" s="11" t="s">
        <v>420</v>
      </c>
      <c r="R108" s="11" t="s">
        <v>1065</v>
      </c>
      <c r="S108" s="10" t="s">
        <v>2886</v>
      </c>
      <c r="T108" s="81">
        <v>8</v>
      </c>
      <c r="U108" s="10" t="s">
        <v>420</v>
      </c>
      <c r="V108" s="10" t="s">
        <v>2277</v>
      </c>
      <c r="X108" s="15">
        <v>5</v>
      </c>
      <c r="Y108" s="10" t="s">
        <v>36</v>
      </c>
      <c r="Z108" s="10" t="s">
        <v>2849</v>
      </c>
      <c r="AA108" s="10" t="s">
        <v>23</v>
      </c>
      <c r="AB108" s="10" t="s">
        <v>24</v>
      </c>
    </row>
    <row r="109" spans="1:28">
      <c r="A109" s="10" t="s">
        <v>592</v>
      </c>
      <c r="B109" s="11" t="s">
        <v>134</v>
      </c>
      <c r="C109" s="11" t="s">
        <v>437</v>
      </c>
      <c r="D109" s="12">
        <v>19</v>
      </c>
      <c r="E109" s="11" t="s">
        <v>418</v>
      </c>
      <c r="F109" s="14" t="str">
        <f>_xlfn.XLOOKUP(E109,Profession!$B$2:$B$15,Profession!$A$2:$A$15,"Not Found")</f>
        <v>P001</v>
      </c>
      <c r="G109" s="11" t="s">
        <v>1115</v>
      </c>
      <c r="H109" s="10" t="str">
        <f>_xlfn.XLOOKUP(G109,Region!$B$2:$B$16,Region!$A$2:$A$16,"Not Found")</f>
        <v>R002</v>
      </c>
      <c r="I109" s="10" t="s">
        <v>420</v>
      </c>
      <c r="J109" s="10" t="s">
        <v>420</v>
      </c>
      <c r="K109" s="10" t="s">
        <v>435</v>
      </c>
      <c r="L109" s="10" t="s">
        <v>1057</v>
      </c>
      <c r="M109" s="16" t="s">
        <v>422</v>
      </c>
      <c r="N109" s="10" t="s">
        <v>61</v>
      </c>
      <c r="O109" s="16" t="s">
        <v>433</v>
      </c>
      <c r="P109" s="11" t="s">
        <v>435</v>
      </c>
      <c r="Q109" s="11" t="s">
        <v>1061</v>
      </c>
      <c r="R109" s="11" t="s">
        <v>1068</v>
      </c>
      <c r="S109" s="10" t="s">
        <v>62</v>
      </c>
      <c r="T109" s="81">
        <v>7</v>
      </c>
      <c r="U109" s="10" t="s">
        <v>420</v>
      </c>
      <c r="V109" s="10" t="s">
        <v>2277</v>
      </c>
      <c r="X109" s="15">
        <v>4</v>
      </c>
      <c r="Y109" s="10" t="s">
        <v>21</v>
      </c>
      <c r="Z109" s="10" t="s">
        <v>2850</v>
      </c>
      <c r="AA109" s="10" t="s">
        <v>119</v>
      </c>
      <c r="AB109" s="10" t="s">
        <v>24</v>
      </c>
    </row>
    <row r="110" spans="1:28">
      <c r="A110" s="10" t="s">
        <v>593</v>
      </c>
      <c r="B110" s="11" t="s">
        <v>135</v>
      </c>
      <c r="C110" s="11" t="s">
        <v>437</v>
      </c>
      <c r="D110" s="12">
        <v>18</v>
      </c>
      <c r="E110" s="11" t="s">
        <v>418</v>
      </c>
      <c r="F110" s="14" t="str">
        <f>_xlfn.XLOOKUP(E110,Profession!$B$2:$B$15,Profession!$A$2:$A$15,"Not Found")</f>
        <v>P001</v>
      </c>
      <c r="G110" s="11" t="s">
        <v>1115</v>
      </c>
      <c r="H110" s="10" t="str">
        <f>_xlfn.XLOOKUP(G110,Region!$B$2:$B$16,Region!$A$2:$A$16,"Not Found")</f>
        <v>R002</v>
      </c>
      <c r="I110" s="10" t="s">
        <v>420</v>
      </c>
      <c r="J110" s="10" t="s">
        <v>420</v>
      </c>
      <c r="K110" s="10" t="s">
        <v>435</v>
      </c>
      <c r="L110" s="10" t="s">
        <v>1057</v>
      </c>
      <c r="M110" s="16" t="s">
        <v>422</v>
      </c>
      <c r="N110" s="10" t="s">
        <v>61</v>
      </c>
      <c r="O110" s="16" t="s">
        <v>433</v>
      </c>
      <c r="P110" s="11" t="s">
        <v>422</v>
      </c>
      <c r="Q110" s="11" t="s">
        <v>1061</v>
      </c>
      <c r="R110" s="11" t="s">
        <v>1065</v>
      </c>
      <c r="S110" s="10" t="s">
        <v>62</v>
      </c>
      <c r="T110" s="81">
        <v>7</v>
      </c>
      <c r="U110" s="10" t="s">
        <v>420</v>
      </c>
      <c r="V110" s="10" t="s">
        <v>2277</v>
      </c>
      <c r="X110" s="15">
        <v>6</v>
      </c>
      <c r="Y110" s="10" t="s">
        <v>21</v>
      </c>
      <c r="Z110" s="10" t="s">
        <v>2852</v>
      </c>
      <c r="AA110" s="10" t="s">
        <v>119</v>
      </c>
      <c r="AB110" s="10" t="s">
        <v>46</v>
      </c>
    </row>
    <row r="111" spans="1:28">
      <c r="A111" s="10" t="s">
        <v>594</v>
      </c>
      <c r="B111" s="11" t="s">
        <v>136</v>
      </c>
      <c r="C111" s="11" t="s">
        <v>437</v>
      </c>
      <c r="D111" s="12">
        <v>19</v>
      </c>
      <c r="E111" s="11" t="s">
        <v>418</v>
      </c>
      <c r="F111" s="14" t="str">
        <f>_xlfn.XLOOKUP(E111,Profession!$B$2:$B$15,Profession!$A$2:$A$15,"Not Found")</f>
        <v>P001</v>
      </c>
      <c r="G111" s="11" t="s">
        <v>1115</v>
      </c>
      <c r="H111" s="10" t="str">
        <f>_xlfn.XLOOKUP(G111,Region!$B$2:$B$16,Region!$A$2:$A$16,"Not Found")</f>
        <v>R002</v>
      </c>
      <c r="I111" s="10" t="s">
        <v>420</v>
      </c>
      <c r="J111" s="10" t="s">
        <v>420</v>
      </c>
      <c r="K111" s="10" t="s">
        <v>435</v>
      </c>
      <c r="L111" s="10" t="s">
        <v>1057</v>
      </c>
      <c r="M111" s="16" t="s">
        <v>422</v>
      </c>
      <c r="N111" s="10" t="s">
        <v>61</v>
      </c>
      <c r="O111" s="16" t="s">
        <v>433</v>
      </c>
      <c r="P111" s="11" t="s">
        <v>422</v>
      </c>
      <c r="Q111" s="11" t="s">
        <v>420</v>
      </c>
      <c r="R111" s="11" t="s">
        <v>1065</v>
      </c>
      <c r="S111" s="10" t="s">
        <v>62</v>
      </c>
      <c r="T111" s="81">
        <v>6</v>
      </c>
      <c r="U111" s="10" t="s">
        <v>420</v>
      </c>
      <c r="V111" s="10" t="s">
        <v>2277</v>
      </c>
      <c r="X111" s="15">
        <v>5</v>
      </c>
      <c r="Y111" s="10" t="s">
        <v>21</v>
      </c>
      <c r="Z111" s="10" t="s">
        <v>2850</v>
      </c>
      <c r="AA111" s="10" t="s">
        <v>119</v>
      </c>
      <c r="AB111" s="10" t="s">
        <v>28</v>
      </c>
    </row>
    <row r="112" spans="1:28">
      <c r="A112" s="10" t="s">
        <v>595</v>
      </c>
      <c r="B112" s="11" t="s">
        <v>137</v>
      </c>
      <c r="C112" s="11" t="s">
        <v>417</v>
      </c>
      <c r="D112" s="12">
        <v>50</v>
      </c>
      <c r="E112" s="11" t="s">
        <v>1088</v>
      </c>
      <c r="F112" s="14" t="str">
        <f>_xlfn.XLOOKUP(E112,Profession!$B$2:$B$15,Profession!$A$2:$A$15,"Not Found")</f>
        <v>P014</v>
      </c>
      <c r="G112" s="11" t="s">
        <v>477</v>
      </c>
      <c r="H112" s="10" t="str">
        <f>_xlfn.XLOOKUP(G112,Region!$B$2:$B$16,Region!$A$2:$A$16,"Not Found")</f>
        <v>R015</v>
      </c>
      <c r="I112" s="10" t="s">
        <v>420</v>
      </c>
      <c r="J112" s="10" t="s">
        <v>420</v>
      </c>
      <c r="K112" s="10" t="s">
        <v>435</v>
      </c>
      <c r="L112" s="10" t="s">
        <v>1058</v>
      </c>
      <c r="M112" s="16" t="s">
        <v>422</v>
      </c>
      <c r="N112" s="10" t="s">
        <v>138</v>
      </c>
      <c r="O112" s="16" t="s">
        <v>433</v>
      </c>
      <c r="P112" s="11" t="s">
        <v>435</v>
      </c>
      <c r="Q112" s="11" t="s">
        <v>1061</v>
      </c>
      <c r="R112" s="11" t="s">
        <v>1068</v>
      </c>
      <c r="S112" s="10" t="s">
        <v>62</v>
      </c>
      <c r="T112" s="81">
        <v>8</v>
      </c>
      <c r="U112" s="10" t="s">
        <v>420</v>
      </c>
      <c r="V112" s="10" t="s">
        <v>450</v>
      </c>
      <c r="X112" s="15">
        <v>6</v>
      </c>
      <c r="Y112" s="10" t="s">
        <v>36</v>
      </c>
      <c r="Z112" s="10" t="s">
        <v>2849</v>
      </c>
      <c r="AA112" s="10" t="s">
        <v>23</v>
      </c>
      <c r="AB112" s="10" t="s">
        <v>2841</v>
      </c>
    </row>
    <row r="113" spans="1:28">
      <c r="A113" s="10" t="s">
        <v>596</v>
      </c>
      <c r="B113" s="11" t="s">
        <v>139</v>
      </c>
      <c r="C113" s="11" t="s">
        <v>437</v>
      </c>
      <c r="D113" s="12">
        <v>21</v>
      </c>
      <c r="E113" s="11" t="s">
        <v>418</v>
      </c>
      <c r="F113" s="14" t="str">
        <f>_xlfn.XLOOKUP(E113,Profession!$B$2:$B$15,Profession!$A$2:$A$15,"Not Found")</f>
        <v>P001</v>
      </c>
      <c r="G113" s="11" t="s">
        <v>419</v>
      </c>
      <c r="H113" s="10" t="str">
        <f>_xlfn.XLOOKUP(G113,Region!$B$2:$B$16,Region!$A$2:$A$16,"Not Found")</f>
        <v>R001</v>
      </c>
      <c r="I113" s="10" t="s">
        <v>420</v>
      </c>
      <c r="J113" s="10" t="s">
        <v>420</v>
      </c>
      <c r="K113" s="10" t="s">
        <v>435</v>
      </c>
      <c r="L113" s="10" t="s">
        <v>1057</v>
      </c>
      <c r="M113" s="16" t="s">
        <v>422</v>
      </c>
      <c r="N113" s="10" t="s">
        <v>26</v>
      </c>
      <c r="O113" s="16" t="s">
        <v>423</v>
      </c>
      <c r="P113" s="11" t="s">
        <v>1059</v>
      </c>
      <c r="Q113" s="11" t="s">
        <v>422</v>
      </c>
      <c r="R113" s="11" t="s">
        <v>1062</v>
      </c>
      <c r="S113" s="10" t="s">
        <v>2884</v>
      </c>
      <c r="T113" s="81">
        <v>7</v>
      </c>
      <c r="U113" s="10" t="s">
        <v>420</v>
      </c>
      <c r="V113" s="10" t="s">
        <v>2278</v>
      </c>
      <c r="X113" s="15">
        <v>3</v>
      </c>
      <c r="Y113" s="10" t="s">
        <v>27</v>
      </c>
      <c r="Z113" s="10" t="s">
        <v>2849</v>
      </c>
      <c r="AA113" s="10" t="s">
        <v>23</v>
      </c>
      <c r="AB113" s="10" t="s">
        <v>24</v>
      </c>
    </row>
    <row r="114" spans="1:28">
      <c r="A114" s="10" t="s">
        <v>597</v>
      </c>
      <c r="B114" s="11" t="s">
        <v>140</v>
      </c>
      <c r="C114" s="11" t="s">
        <v>437</v>
      </c>
      <c r="D114" s="12">
        <v>22</v>
      </c>
      <c r="E114" s="11" t="s">
        <v>465</v>
      </c>
      <c r="F114" s="14" t="str">
        <f>_xlfn.XLOOKUP(E114,Profession!$B$2:$B$15,Profession!$A$2:$A$15,"Not Found")</f>
        <v>P010</v>
      </c>
      <c r="G114" s="11" t="s">
        <v>1115</v>
      </c>
      <c r="H114" s="10" t="str">
        <f>_xlfn.XLOOKUP(G114,Region!$B$2:$B$16,Region!$A$2:$A$16,"Not Found")</f>
        <v>R002</v>
      </c>
      <c r="I114" s="10" t="s">
        <v>420</v>
      </c>
      <c r="J114" s="10" t="s">
        <v>420</v>
      </c>
      <c r="K114" s="10" t="s">
        <v>421</v>
      </c>
      <c r="L114" s="10" t="s">
        <v>1058</v>
      </c>
      <c r="M114" s="16" t="s">
        <v>422</v>
      </c>
      <c r="N114" s="10" t="s">
        <v>138</v>
      </c>
      <c r="O114" s="16" t="s">
        <v>450</v>
      </c>
      <c r="P114" s="11" t="s">
        <v>422</v>
      </c>
      <c r="Q114" s="11" t="s">
        <v>420</v>
      </c>
      <c r="R114" s="11" t="s">
        <v>1065</v>
      </c>
      <c r="S114" s="10" t="s">
        <v>62</v>
      </c>
      <c r="T114" s="81">
        <v>8</v>
      </c>
      <c r="U114" s="10" t="s">
        <v>420</v>
      </c>
      <c r="V114" s="10" t="s">
        <v>450</v>
      </c>
      <c r="X114" s="15">
        <v>4</v>
      </c>
      <c r="Y114" s="10" t="s">
        <v>56</v>
      </c>
      <c r="Z114" s="10" t="s">
        <v>2849</v>
      </c>
      <c r="AA114" s="10" t="s">
        <v>23</v>
      </c>
      <c r="AB114" s="10" t="s">
        <v>2843</v>
      </c>
    </row>
    <row r="115" spans="1:28">
      <c r="A115" s="10" t="s">
        <v>598</v>
      </c>
      <c r="B115" s="11" t="s">
        <v>141</v>
      </c>
      <c r="C115" s="11" t="s">
        <v>437</v>
      </c>
      <c r="D115" s="12">
        <v>23</v>
      </c>
      <c r="E115" s="11" t="s">
        <v>442</v>
      </c>
      <c r="F115" s="14" t="str">
        <f>_xlfn.XLOOKUP(E115,Profession!$B$2:$B$15,Profession!$A$2:$A$15,"Not Found")</f>
        <v>P002</v>
      </c>
      <c r="G115" s="11" t="s">
        <v>419</v>
      </c>
      <c r="H115" s="10" t="str">
        <f>_xlfn.XLOOKUP(G115,Region!$B$2:$B$16,Region!$A$2:$A$16,"Not Found")</f>
        <v>R001</v>
      </c>
      <c r="I115" s="10" t="s">
        <v>420</v>
      </c>
      <c r="J115" s="10" t="s">
        <v>420</v>
      </c>
      <c r="K115" s="10" t="s">
        <v>435</v>
      </c>
      <c r="L115" s="10" t="s">
        <v>1058</v>
      </c>
      <c r="M115" s="16" t="s">
        <v>436</v>
      </c>
      <c r="N115" s="10" t="s">
        <v>138</v>
      </c>
      <c r="O115" s="16" t="s">
        <v>444</v>
      </c>
      <c r="P115" s="11" t="s">
        <v>422</v>
      </c>
      <c r="Q115" s="11" t="s">
        <v>1061</v>
      </c>
      <c r="R115" s="11" t="s">
        <v>1068</v>
      </c>
      <c r="S115" s="10" t="s">
        <v>62</v>
      </c>
      <c r="T115" s="81">
        <v>6</v>
      </c>
      <c r="U115" s="10" t="s">
        <v>420</v>
      </c>
      <c r="V115" s="10" t="s">
        <v>2277</v>
      </c>
      <c r="X115" s="15">
        <v>6</v>
      </c>
      <c r="Y115" s="10" t="s">
        <v>100</v>
      </c>
      <c r="Z115" s="10" t="s">
        <v>2849</v>
      </c>
      <c r="AA115" s="10" t="s">
        <v>37</v>
      </c>
      <c r="AB115" s="10" t="s">
        <v>2844</v>
      </c>
    </row>
    <row r="116" spans="1:28">
      <c r="A116" s="10" t="s">
        <v>599</v>
      </c>
      <c r="B116" s="11" t="s">
        <v>109</v>
      </c>
      <c r="C116" s="11" t="s">
        <v>437</v>
      </c>
      <c r="D116" s="12">
        <v>24</v>
      </c>
      <c r="E116" s="11" t="s">
        <v>462</v>
      </c>
      <c r="F116" s="14" t="str">
        <f>_xlfn.XLOOKUP(E116,Profession!$B$2:$B$15,Profession!$A$2:$A$15,"Not Found")</f>
        <v>P008</v>
      </c>
      <c r="G116" s="11" t="s">
        <v>1112</v>
      </c>
      <c r="H116" s="10" t="str">
        <f>_xlfn.XLOOKUP(G116,Region!$B$2:$B$16,Region!$A$2:$A$16,"Not Found")</f>
        <v>R008</v>
      </c>
      <c r="I116" s="10" t="s">
        <v>420</v>
      </c>
      <c r="J116" s="10" t="s">
        <v>420</v>
      </c>
      <c r="K116" s="10" t="s">
        <v>431</v>
      </c>
      <c r="L116" s="10" t="s">
        <v>1058</v>
      </c>
      <c r="M116" s="16" t="s">
        <v>422</v>
      </c>
      <c r="N116" s="10" t="s">
        <v>138</v>
      </c>
      <c r="O116" s="16" t="s">
        <v>450</v>
      </c>
      <c r="P116" s="11" t="s">
        <v>422</v>
      </c>
      <c r="Q116" s="11" t="s">
        <v>420</v>
      </c>
      <c r="R116" s="11" t="s">
        <v>107</v>
      </c>
      <c r="S116" s="10" t="s">
        <v>62</v>
      </c>
      <c r="T116" s="81">
        <v>7</v>
      </c>
      <c r="U116" s="10" t="s">
        <v>420</v>
      </c>
      <c r="V116" s="10" t="s">
        <v>450</v>
      </c>
      <c r="X116" s="15">
        <v>5</v>
      </c>
      <c r="Y116" s="10" t="s">
        <v>56</v>
      </c>
      <c r="Z116" s="10" t="s">
        <v>2849</v>
      </c>
      <c r="AA116" s="10" t="s">
        <v>23</v>
      </c>
      <c r="AB116" s="10" t="s">
        <v>2843</v>
      </c>
    </row>
    <row r="117" spans="1:28">
      <c r="A117" s="10" t="s">
        <v>600</v>
      </c>
      <c r="B117" s="11" t="s">
        <v>92</v>
      </c>
      <c r="C117" s="11" t="s">
        <v>437</v>
      </c>
      <c r="D117" s="12">
        <v>25</v>
      </c>
      <c r="E117" s="11" t="s">
        <v>473</v>
      </c>
      <c r="F117" s="14" t="str">
        <f>_xlfn.XLOOKUP(E117,Profession!$B$2:$B$15,Profession!$A$2:$A$15,"Not Found")</f>
        <v>P012</v>
      </c>
      <c r="G117" s="11" t="s">
        <v>1113</v>
      </c>
      <c r="H117" s="10" t="str">
        <f>_xlfn.XLOOKUP(G117,Region!$B$2:$B$16,Region!$A$2:$A$16,"Not Found")</f>
        <v>R012</v>
      </c>
      <c r="I117" s="10" t="s">
        <v>423</v>
      </c>
      <c r="J117" s="10" t="s">
        <v>423</v>
      </c>
      <c r="K117" s="10" t="s">
        <v>435</v>
      </c>
      <c r="L117" s="10" t="s">
        <v>1058</v>
      </c>
      <c r="M117" s="16" t="s">
        <v>422</v>
      </c>
      <c r="N117" s="10" t="s">
        <v>138</v>
      </c>
      <c r="O117" s="16" t="s">
        <v>444</v>
      </c>
      <c r="P117" s="11" t="s">
        <v>422</v>
      </c>
      <c r="Q117" s="11" t="s">
        <v>1061</v>
      </c>
      <c r="R117" s="11" t="s">
        <v>107</v>
      </c>
      <c r="S117" s="10" t="s">
        <v>62</v>
      </c>
      <c r="T117" s="81">
        <v>6</v>
      </c>
      <c r="U117" s="10" t="s">
        <v>420</v>
      </c>
      <c r="V117" s="10" t="s">
        <v>2277</v>
      </c>
      <c r="X117" s="15">
        <v>6</v>
      </c>
      <c r="Y117" s="10" t="s">
        <v>22</v>
      </c>
      <c r="Z117" s="10" t="s">
        <v>2846</v>
      </c>
      <c r="AA117" s="10" t="s">
        <v>23</v>
      </c>
      <c r="AB117" s="10" t="s">
        <v>2842</v>
      </c>
    </row>
    <row r="118" spans="1:28">
      <c r="A118" s="10" t="s">
        <v>601</v>
      </c>
      <c r="B118" s="11" t="s">
        <v>142</v>
      </c>
      <c r="C118" s="11" t="s">
        <v>437</v>
      </c>
      <c r="D118" s="12">
        <v>26</v>
      </c>
      <c r="E118" s="11" t="s">
        <v>1108</v>
      </c>
      <c r="F118" s="14" t="str">
        <f>_xlfn.XLOOKUP(E118,Profession!$B$2:$B$15,Profession!$A$2:$A$15,"Not Found")</f>
        <v>P011</v>
      </c>
      <c r="G118" s="11" t="s">
        <v>419</v>
      </c>
      <c r="H118" s="10" t="str">
        <f>_xlfn.XLOOKUP(G118,Region!$B$2:$B$16,Region!$A$2:$A$16,"Not Found")</f>
        <v>R001</v>
      </c>
      <c r="I118" s="10" t="s">
        <v>420</v>
      </c>
      <c r="J118" s="10" t="s">
        <v>420</v>
      </c>
      <c r="K118" s="10" t="s">
        <v>431</v>
      </c>
      <c r="L118" s="10" t="s">
        <v>1058</v>
      </c>
      <c r="M118" s="16" t="s">
        <v>422</v>
      </c>
      <c r="N118" s="10" t="s">
        <v>138</v>
      </c>
      <c r="O118" s="16" t="s">
        <v>444</v>
      </c>
      <c r="P118" s="11" t="s">
        <v>422</v>
      </c>
      <c r="Q118" s="11" t="s">
        <v>420</v>
      </c>
      <c r="R118" s="11" t="s">
        <v>1070</v>
      </c>
      <c r="S118" s="10" t="s">
        <v>62</v>
      </c>
      <c r="T118" s="81">
        <v>6</v>
      </c>
      <c r="U118" s="10" t="s">
        <v>420</v>
      </c>
      <c r="V118" s="10" t="s">
        <v>2277</v>
      </c>
      <c r="X118" s="15">
        <v>5</v>
      </c>
      <c r="Y118" s="10" t="s">
        <v>58</v>
      </c>
      <c r="Z118" s="10" t="s">
        <v>2849</v>
      </c>
      <c r="AA118" s="10" t="s">
        <v>23</v>
      </c>
      <c r="AB118" s="10" t="s">
        <v>2843</v>
      </c>
    </row>
    <row r="119" spans="1:28">
      <c r="A119" s="10" t="s">
        <v>602</v>
      </c>
      <c r="B119" s="11" t="s">
        <v>143</v>
      </c>
      <c r="C119" s="11" t="s">
        <v>437</v>
      </c>
      <c r="D119" s="12">
        <v>27</v>
      </c>
      <c r="E119" s="11" t="s">
        <v>459</v>
      </c>
      <c r="F119" s="14" t="str">
        <f>_xlfn.XLOOKUP(E119,Profession!$B$2:$B$15,Profession!$A$2:$A$15,"Not Found")</f>
        <v>P007</v>
      </c>
      <c r="G119" s="11" t="s">
        <v>419</v>
      </c>
      <c r="H119" s="10" t="str">
        <f>_xlfn.XLOOKUP(G119,Region!$B$2:$B$16,Region!$A$2:$A$16,"Not Found")</f>
        <v>R001</v>
      </c>
      <c r="I119" s="10" t="s">
        <v>420</v>
      </c>
      <c r="J119" s="10" t="s">
        <v>420</v>
      </c>
      <c r="K119" s="10" t="s">
        <v>421</v>
      </c>
      <c r="L119" s="10" t="s">
        <v>1058</v>
      </c>
      <c r="M119" s="16" t="s">
        <v>422</v>
      </c>
      <c r="N119" s="10" t="s">
        <v>19</v>
      </c>
      <c r="O119" s="16" t="s">
        <v>444</v>
      </c>
      <c r="P119" s="11" t="s">
        <v>422</v>
      </c>
      <c r="Q119" s="11" t="s">
        <v>420</v>
      </c>
      <c r="R119" s="11" t="s">
        <v>1070</v>
      </c>
      <c r="S119" s="10" t="s">
        <v>62</v>
      </c>
      <c r="T119" s="81">
        <v>8</v>
      </c>
      <c r="U119" s="10" t="s">
        <v>420</v>
      </c>
      <c r="V119" s="10" t="s">
        <v>450</v>
      </c>
      <c r="X119" s="15">
        <v>4</v>
      </c>
      <c r="Y119" s="10" t="s">
        <v>36</v>
      </c>
      <c r="Z119" s="10" t="s">
        <v>2849</v>
      </c>
      <c r="AA119" s="10" t="s">
        <v>37</v>
      </c>
      <c r="AB119" s="10" t="s">
        <v>24</v>
      </c>
    </row>
    <row r="120" spans="1:28">
      <c r="A120" s="10" t="s">
        <v>603</v>
      </c>
      <c r="B120" s="11" t="s">
        <v>113</v>
      </c>
      <c r="C120" s="11" t="s">
        <v>437</v>
      </c>
      <c r="D120" s="12">
        <v>28</v>
      </c>
      <c r="E120" s="11" t="s">
        <v>418</v>
      </c>
      <c r="F120" s="14" t="str">
        <f>_xlfn.XLOOKUP(E120,Profession!$B$2:$B$15,Profession!$A$2:$A$15,"Not Found")</f>
        <v>P001</v>
      </c>
      <c r="G120" s="11" t="s">
        <v>1115</v>
      </c>
      <c r="H120" s="10" t="str">
        <f>_xlfn.XLOOKUP(G120,Region!$B$2:$B$16,Region!$A$2:$A$16,"Not Found")</f>
        <v>R002</v>
      </c>
      <c r="I120" s="10" t="s">
        <v>420</v>
      </c>
      <c r="J120" s="10" t="s">
        <v>420</v>
      </c>
      <c r="K120" s="10" t="s">
        <v>435</v>
      </c>
      <c r="L120" s="10" t="s">
        <v>1058</v>
      </c>
      <c r="M120" s="16" t="s">
        <v>432</v>
      </c>
      <c r="N120" s="10" t="s">
        <v>138</v>
      </c>
      <c r="O120" s="16" t="s">
        <v>433</v>
      </c>
      <c r="P120" s="11" t="s">
        <v>422</v>
      </c>
      <c r="Q120" s="11" t="s">
        <v>1061</v>
      </c>
      <c r="R120" s="11" t="s">
        <v>1065</v>
      </c>
      <c r="S120" s="10" t="s">
        <v>62</v>
      </c>
      <c r="T120" s="81">
        <v>8</v>
      </c>
      <c r="U120" s="10" t="s">
        <v>420</v>
      </c>
      <c r="V120" s="10" t="s">
        <v>2277</v>
      </c>
      <c r="X120" s="15">
        <v>5</v>
      </c>
      <c r="Y120" s="10" t="s">
        <v>27</v>
      </c>
      <c r="Z120" s="10" t="s">
        <v>2849</v>
      </c>
      <c r="AA120" s="10" t="s">
        <v>23</v>
      </c>
      <c r="AB120" s="10" t="s">
        <v>2841</v>
      </c>
    </row>
    <row r="121" spans="1:28">
      <c r="A121" s="10" t="s">
        <v>604</v>
      </c>
      <c r="B121" s="11" t="s">
        <v>144</v>
      </c>
      <c r="C121" s="11" t="s">
        <v>437</v>
      </c>
      <c r="D121" s="12">
        <v>29</v>
      </c>
      <c r="E121" s="11" t="s">
        <v>452</v>
      </c>
      <c r="F121" s="14" t="str">
        <f>_xlfn.XLOOKUP(E121,Profession!$B$2:$B$15,Profession!$A$2:$A$15,"Not Found")</f>
        <v>P005</v>
      </c>
      <c r="G121" s="11" t="s">
        <v>453</v>
      </c>
      <c r="H121" s="10" t="str">
        <f>_xlfn.XLOOKUP(G121,Region!$B$2:$B$16,Region!$A$2:$A$16,"Not Found")</f>
        <v>R005</v>
      </c>
      <c r="I121" s="10" t="s">
        <v>420</v>
      </c>
      <c r="J121" s="10" t="s">
        <v>420</v>
      </c>
      <c r="K121" s="10" t="s">
        <v>434</v>
      </c>
      <c r="L121" s="10" t="s">
        <v>1058</v>
      </c>
      <c r="M121" s="16" t="s">
        <v>422</v>
      </c>
      <c r="N121" s="10" t="s">
        <v>105</v>
      </c>
      <c r="O121" s="16" t="s">
        <v>433</v>
      </c>
      <c r="P121" s="11" t="s">
        <v>422</v>
      </c>
      <c r="Q121" s="11" t="s">
        <v>434</v>
      </c>
      <c r="R121" s="11" t="s">
        <v>1068</v>
      </c>
      <c r="S121" s="10" t="s">
        <v>62</v>
      </c>
      <c r="T121" s="81">
        <v>7</v>
      </c>
      <c r="U121" s="10" t="s">
        <v>2272</v>
      </c>
      <c r="V121" s="10" t="s">
        <v>450</v>
      </c>
      <c r="X121" s="15">
        <v>5</v>
      </c>
      <c r="Y121" s="10" t="s">
        <v>40</v>
      </c>
      <c r="Z121" s="10" t="s">
        <v>2280</v>
      </c>
      <c r="AA121" s="10" t="s">
        <v>37</v>
      </c>
      <c r="AB121" s="10" t="s">
        <v>24</v>
      </c>
    </row>
    <row r="122" spans="1:28">
      <c r="A122" s="10" t="s">
        <v>605</v>
      </c>
      <c r="B122" s="11" t="s">
        <v>145</v>
      </c>
      <c r="C122" s="11" t="s">
        <v>437</v>
      </c>
      <c r="D122" s="12">
        <v>30</v>
      </c>
      <c r="E122" s="11" t="s">
        <v>465</v>
      </c>
      <c r="F122" s="14" t="str">
        <f>_xlfn.XLOOKUP(E122,Profession!$B$2:$B$15,Profession!$A$2:$A$15,"Not Found")</f>
        <v>P010</v>
      </c>
      <c r="G122" s="11" t="s">
        <v>467</v>
      </c>
      <c r="H122" s="10" t="str">
        <f>_xlfn.XLOOKUP(G122,Region!$B$2:$B$16,Region!$A$2:$A$16,"Not Found")</f>
        <v>R009</v>
      </c>
      <c r="I122" s="10" t="s">
        <v>420</v>
      </c>
      <c r="J122" s="10" t="s">
        <v>420</v>
      </c>
      <c r="K122" s="10" t="s">
        <v>434</v>
      </c>
      <c r="L122" s="10" t="s">
        <v>1058</v>
      </c>
      <c r="M122" s="16" t="s">
        <v>422</v>
      </c>
      <c r="N122" s="10" t="s">
        <v>138</v>
      </c>
      <c r="O122" s="16" t="s">
        <v>444</v>
      </c>
      <c r="P122" s="11" t="s">
        <v>422</v>
      </c>
      <c r="Q122" s="11" t="s">
        <v>420</v>
      </c>
      <c r="R122" s="11" t="s">
        <v>1070</v>
      </c>
      <c r="S122" s="10" t="s">
        <v>62</v>
      </c>
      <c r="T122" s="81">
        <v>6</v>
      </c>
      <c r="U122" s="10" t="s">
        <v>420</v>
      </c>
      <c r="V122" s="10" t="s">
        <v>2277</v>
      </c>
      <c r="X122" s="15">
        <v>4</v>
      </c>
      <c r="Y122" s="10" t="s">
        <v>56</v>
      </c>
      <c r="Z122" s="10" t="s">
        <v>2849</v>
      </c>
      <c r="AA122" s="10" t="s">
        <v>23</v>
      </c>
      <c r="AB122" s="10" t="s">
        <v>2843</v>
      </c>
    </row>
    <row r="123" spans="1:28">
      <c r="A123" s="10" t="s">
        <v>606</v>
      </c>
      <c r="B123" s="11" t="s">
        <v>115</v>
      </c>
      <c r="C123" s="11" t="s">
        <v>437</v>
      </c>
      <c r="D123" s="12">
        <v>31</v>
      </c>
      <c r="E123" s="11" t="s">
        <v>448</v>
      </c>
      <c r="F123" s="14" t="str">
        <f>_xlfn.XLOOKUP(E123,Profession!$B$2:$B$15,Profession!$A$2:$A$15,"Not Found")</f>
        <v>P004</v>
      </c>
      <c r="G123" s="11" t="s">
        <v>1111</v>
      </c>
      <c r="H123" s="10" t="str">
        <f>_xlfn.XLOOKUP(G123,Region!$B$2:$B$16,Region!$A$2:$A$16,"Not Found")</f>
        <v>R004</v>
      </c>
      <c r="I123" s="10" t="s">
        <v>420</v>
      </c>
      <c r="J123" s="10" t="s">
        <v>420</v>
      </c>
      <c r="K123" s="10" t="s">
        <v>431</v>
      </c>
      <c r="L123" s="10" t="s">
        <v>1057</v>
      </c>
      <c r="M123" s="16" t="s">
        <v>432</v>
      </c>
      <c r="N123" s="10" t="s">
        <v>138</v>
      </c>
      <c r="O123" s="16" t="s">
        <v>444</v>
      </c>
      <c r="P123" s="11" t="s">
        <v>422</v>
      </c>
      <c r="Q123" s="11" t="s">
        <v>420</v>
      </c>
      <c r="R123" s="11" t="s">
        <v>1070</v>
      </c>
      <c r="S123" s="10" t="s">
        <v>62</v>
      </c>
      <c r="T123" s="81">
        <v>8</v>
      </c>
      <c r="U123" s="10" t="s">
        <v>420</v>
      </c>
      <c r="V123" s="10" t="s">
        <v>450</v>
      </c>
      <c r="X123" s="15">
        <v>4</v>
      </c>
      <c r="Y123" s="10" t="s">
        <v>56</v>
      </c>
      <c r="Z123" s="10" t="s">
        <v>2849</v>
      </c>
      <c r="AA123" s="10" t="s">
        <v>23</v>
      </c>
      <c r="AB123" s="10" t="s">
        <v>46</v>
      </c>
    </row>
    <row r="124" spans="1:28">
      <c r="A124" s="10" t="s">
        <v>607</v>
      </c>
      <c r="B124" s="11" t="s">
        <v>146</v>
      </c>
      <c r="C124" s="11" t="s">
        <v>437</v>
      </c>
      <c r="D124" s="12">
        <v>32</v>
      </c>
      <c r="E124" s="11" t="s">
        <v>448</v>
      </c>
      <c r="F124" s="14" t="str">
        <f>_xlfn.XLOOKUP(E124,Profession!$B$2:$B$15,Profession!$A$2:$A$15,"Not Found")</f>
        <v>P004</v>
      </c>
      <c r="G124" s="11" t="s">
        <v>1111</v>
      </c>
      <c r="H124" s="10" t="str">
        <f>_xlfn.XLOOKUP(G124,Region!$B$2:$B$16,Region!$A$2:$A$16,"Not Found")</f>
        <v>R004</v>
      </c>
      <c r="I124" s="10" t="s">
        <v>420</v>
      </c>
      <c r="J124" s="10" t="s">
        <v>420</v>
      </c>
      <c r="K124" s="10" t="s">
        <v>431</v>
      </c>
      <c r="L124" s="10" t="s">
        <v>1058</v>
      </c>
      <c r="M124" s="16" t="s">
        <v>432</v>
      </c>
      <c r="N124" s="10" t="s">
        <v>138</v>
      </c>
      <c r="O124" s="16" t="s">
        <v>450</v>
      </c>
      <c r="P124" s="11" t="s">
        <v>422</v>
      </c>
      <c r="Q124" s="11" t="s">
        <v>420</v>
      </c>
      <c r="R124" s="11" t="s">
        <v>107</v>
      </c>
      <c r="S124" s="10" t="s">
        <v>62</v>
      </c>
      <c r="T124" s="81">
        <v>7</v>
      </c>
      <c r="U124" s="10" t="s">
        <v>420</v>
      </c>
      <c r="V124" s="10" t="s">
        <v>450</v>
      </c>
      <c r="X124" s="15">
        <v>4</v>
      </c>
      <c r="Y124" s="10" t="s">
        <v>56</v>
      </c>
      <c r="Z124" s="10" t="s">
        <v>2849</v>
      </c>
      <c r="AA124" s="10" t="s">
        <v>23</v>
      </c>
      <c r="AB124" s="10" t="s">
        <v>46</v>
      </c>
    </row>
    <row r="125" spans="1:28">
      <c r="A125" s="10" t="s">
        <v>608</v>
      </c>
      <c r="B125" s="11" t="s">
        <v>147</v>
      </c>
      <c r="C125" s="11" t="s">
        <v>437</v>
      </c>
      <c r="D125" s="12">
        <v>33</v>
      </c>
      <c r="E125" s="11" t="s">
        <v>465</v>
      </c>
      <c r="F125" s="14" t="str">
        <f>_xlfn.XLOOKUP(E125,Profession!$B$2:$B$15,Profession!$A$2:$A$15,"Not Found")</f>
        <v>P010</v>
      </c>
      <c r="G125" s="11" t="s">
        <v>419</v>
      </c>
      <c r="H125" s="10" t="str">
        <f>_xlfn.XLOOKUP(G125,Region!$B$2:$B$16,Region!$A$2:$A$16,"Not Found")</f>
        <v>R001</v>
      </c>
      <c r="I125" s="10" t="s">
        <v>423</v>
      </c>
      <c r="J125" s="10" t="s">
        <v>423</v>
      </c>
      <c r="K125" s="10" t="s">
        <v>434</v>
      </c>
      <c r="L125" s="10" t="s">
        <v>1058</v>
      </c>
      <c r="M125" s="16" t="s">
        <v>422</v>
      </c>
      <c r="N125" s="10" t="s">
        <v>138</v>
      </c>
      <c r="O125" s="16" t="s">
        <v>444</v>
      </c>
      <c r="P125" s="11" t="s">
        <v>422</v>
      </c>
      <c r="Q125" s="11" t="s">
        <v>420</v>
      </c>
      <c r="R125" s="11" t="s">
        <v>1065</v>
      </c>
      <c r="S125" s="10" t="s">
        <v>62</v>
      </c>
      <c r="T125" s="81">
        <v>8</v>
      </c>
      <c r="U125" s="10" t="s">
        <v>420</v>
      </c>
      <c r="V125" s="10" t="s">
        <v>450</v>
      </c>
      <c r="X125" s="15">
        <v>7</v>
      </c>
      <c r="Y125" s="10" t="s">
        <v>100</v>
      </c>
      <c r="Z125" s="10" t="s">
        <v>2849</v>
      </c>
      <c r="AA125" s="10" t="s">
        <v>23</v>
      </c>
      <c r="AB125" s="10" t="s">
        <v>2843</v>
      </c>
    </row>
    <row r="126" spans="1:28">
      <c r="A126" s="10" t="s">
        <v>609</v>
      </c>
      <c r="B126" s="11" t="s">
        <v>95</v>
      </c>
      <c r="C126" s="11" t="s">
        <v>437</v>
      </c>
      <c r="D126" s="12">
        <v>34</v>
      </c>
      <c r="E126" s="11" t="s">
        <v>462</v>
      </c>
      <c r="F126" s="14" t="str">
        <f>_xlfn.XLOOKUP(E126,Profession!$B$2:$B$15,Profession!$A$2:$A$15,"Not Found")</f>
        <v>P008</v>
      </c>
      <c r="G126" s="11" t="s">
        <v>464</v>
      </c>
      <c r="H126" s="10" t="str">
        <f>_xlfn.XLOOKUP(G126,Region!$B$2:$B$16,Region!$A$2:$A$16,"Not Found")</f>
        <v>R007</v>
      </c>
      <c r="I126" s="10" t="s">
        <v>423</v>
      </c>
      <c r="J126" s="10" t="s">
        <v>423</v>
      </c>
      <c r="K126" s="10" t="s">
        <v>435</v>
      </c>
      <c r="L126" s="10" t="s">
        <v>1058</v>
      </c>
      <c r="M126" s="16" t="s">
        <v>436</v>
      </c>
      <c r="N126" s="10" t="s">
        <v>138</v>
      </c>
      <c r="O126" s="16" t="s">
        <v>450</v>
      </c>
      <c r="P126" s="11" t="s">
        <v>422</v>
      </c>
      <c r="Q126" s="11" t="s">
        <v>420</v>
      </c>
      <c r="R126" s="11" t="s">
        <v>107</v>
      </c>
      <c r="S126" s="10" t="s">
        <v>62</v>
      </c>
      <c r="T126" s="81">
        <v>5</v>
      </c>
      <c r="U126" s="10" t="s">
        <v>2275</v>
      </c>
      <c r="V126" s="10" t="s">
        <v>450</v>
      </c>
      <c r="X126" s="15">
        <v>5</v>
      </c>
      <c r="Y126" s="10" t="s">
        <v>54</v>
      </c>
      <c r="Z126" s="10" t="s">
        <v>2849</v>
      </c>
      <c r="AA126" s="10" t="s">
        <v>23</v>
      </c>
      <c r="AB126" s="10" t="s">
        <v>2844</v>
      </c>
    </row>
    <row r="127" spans="1:28">
      <c r="A127" s="10" t="s">
        <v>610</v>
      </c>
      <c r="B127" s="11" t="s">
        <v>148</v>
      </c>
      <c r="C127" s="11" t="s">
        <v>437</v>
      </c>
      <c r="D127" s="12">
        <v>35</v>
      </c>
      <c r="E127" s="11" t="s">
        <v>473</v>
      </c>
      <c r="F127" s="14" t="str">
        <f>_xlfn.XLOOKUP(E127,Profession!$B$2:$B$15,Profession!$A$2:$A$15,"Not Found")</f>
        <v>P012</v>
      </c>
      <c r="G127" s="11" t="s">
        <v>419</v>
      </c>
      <c r="H127" s="10" t="str">
        <f>_xlfn.XLOOKUP(G127,Region!$B$2:$B$16,Region!$A$2:$A$16,"Not Found")</f>
        <v>R001</v>
      </c>
      <c r="I127" s="10" t="s">
        <v>423</v>
      </c>
      <c r="J127" s="10" t="s">
        <v>423</v>
      </c>
      <c r="K127" s="10" t="s">
        <v>434</v>
      </c>
      <c r="L127" s="10" t="s">
        <v>1058</v>
      </c>
      <c r="M127" s="16" t="s">
        <v>432</v>
      </c>
      <c r="N127" s="10" t="s">
        <v>138</v>
      </c>
      <c r="O127" s="16" t="s">
        <v>444</v>
      </c>
      <c r="P127" s="11" t="s">
        <v>422</v>
      </c>
      <c r="Q127" s="11" t="s">
        <v>420</v>
      </c>
      <c r="R127" s="11" t="s">
        <v>107</v>
      </c>
      <c r="S127" s="10" t="s">
        <v>62</v>
      </c>
      <c r="T127" s="81">
        <v>7</v>
      </c>
      <c r="U127" s="10" t="s">
        <v>420</v>
      </c>
      <c r="V127" s="10" t="s">
        <v>450</v>
      </c>
      <c r="X127" s="15">
        <v>5</v>
      </c>
      <c r="Y127" s="10" t="s">
        <v>87</v>
      </c>
      <c r="Z127" s="10" t="s">
        <v>2848</v>
      </c>
      <c r="AA127" s="10" t="s">
        <v>23</v>
      </c>
      <c r="AB127" s="10" t="s">
        <v>149</v>
      </c>
    </row>
    <row r="128" spans="1:28">
      <c r="A128" s="10" t="s">
        <v>611</v>
      </c>
      <c r="B128" s="11" t="s">
        <v>150</v>
      </c>
      <c r="C128" s="11" t="s">
        <v>437</v>
      </c>
      <c r="D128" s="12">
        <v>36</v>
      </c>
      <c r="E128" s="11" t="s">
        <v>452</v>
      </c>
      <c r="F128" s="14" t="str">
        <f>_xlfn.XLOOKUP(E128,Profession!$B$2:$B$15,Profession!$A$2:$A$15,"Not Found")</f>
        <v>P005</v>
      </c>
      <c r="G128" s="11" t="s">
        <v>455</v>
      </c>
      <c r="H128" s="10" t="str">
        <f>_xlfn.XLOOKUP(G128,Region!$B$2:$B$16,Region!$A$2:$A$16,"Not Found")</f>
        <v>R006</v>
      </c>
      <c r="I128" s="10" t="s">
        <v>420</v>
      </c>
      <c r="J128" s="10" t="s">
        <v>420</v>
      </c>
      <c r="K128" s="10" t="s">
        <v>434</v>
      </c>
      <c r="L128" s="10" t="s">
        <v>1058</v>
      </c>
      <c r="M128" s="16" t="s">
        <v>422</v>
      </c>
      <c r="N128" s="10" t="s">
        <v>106</v>
      </c>
      <c r="O128" s="16" t="s">
        <v>436</v>
      </c>
      <c r="P128" s="11" t="s">
        <v>422</v>
      </c>
      <c r="Q128" s="11" t="s">
        <v>435</v>
      </c>
      <c r="R128" s="11" t="s">
        <v>1071</v>
      </c>
      <c r="S128" s="10" t="s">
        <v>62</v>
      </c>
      <c r="T128" s="81">
        <v>6</v>
      </c>
      <c r="U128" s="10" t="s">
        <v>420</v>
      </c>
      <c r="V128" s="10" t="s">
        <v>2277</v>
      </c>
      <c r="X128" s="15">
        <v>8</v>
      </c>
      <c r="Y128" s="10" t="s">
        <v>42</v>
      </c>
      <c r="Z128" s="10" t="s">
        <v>2849</v>
      </c>
      <c r="AA128" s="10" t="s">
        <v>43</v>
      </c>
      <c r="AB128" s="10" t="s">
        <v>46</v>
      </c>
    </row>
    <row r="129" spans="1:28">
      <c r="A129" s="10" t="s">
        <v>612</v>
      </c>
      <c r="B129" s="11" t="s">
        <v>151</v>
      </c>
      <c r="C129" s="11" t="s">
        <v>437</v>
      </c>
      <c r="D129" s="12">
        <v>37</v>
      </c>
      <c r="E129" s="11" t="s">
        <v>452</v>
      </c>
      <c r="F129" s="14" t="str">
        <f>_xlfn.XLOOKUP(E129,Profession!$B$2:$B$15,Profession!$A$2:$A$15,"Not Found")</f>
        <v>P005</v>
      </c>
      <c r="G129" s="11" t="s">
        <v>1115</v>
      </c>
      <c r="H129" s="10" t="str">
        <f>_xlfn.XLOOKUP(G129,Region!$B$2:$B$16,Region!$A$2:$A$16,"Not Found")</f>
        <v>R002</v>
      </c>
      <c r="I129" s="10" t="s">
        <v>420</v>
      </c>
      <c r="J129" s="10" t="s">
        <v>420</v>
      </c>
      <c r="K129" s="10" t="s">
        <v>435</v>
      </c>
      <c r="L129" s="10" t="s">
        <v>1058</v>
      </c>
      <c r="M129" s="16" t="s">
        <v>429</v>
      </c>
      <c r="N129" s="10" t="s">
        <v>64</v>
      </c>
      <c r="O129" s="16" t="s">
        <v>433</v>
      </c>
      <c r="P129" s="11" t="s">
        <v>422</v>
      </c>
      <c r="Q129" s="11" t="s">
        <v>420</v>
      </c>
      <c r="R129" s="11" t="s">
        <v>1072</v>
      </c>
      <c r="S129" s="10" t="s">
        <v>2885</v>
      </c>
      <c r="T129" s="81">
        <v>6</v>
      </c>
      <c r="U129" s="10" t="s">
        <v>2273</v>
      </c>
      <c r="V129" s="10" t="s">
        <v>2277</v>
      </c>
      <c r="X129" s="15">
        <v>3</v>
      </c>
      <c r="Y129" s="10" t="s">
        <v>45</v>
      </c>
      <c r="Z129" s="10" t="s">
        <v>2849</v>
      </c>
      <c r="AA129" s="10" t="s">
        <v>37</v>
      </c>
      <c r="AB129" s="10" t="s">
        <v>149</v>
      </c>
    </row>
    <row r="130" spans="1:28">
      <c r="A130" s="10" t="s">
        <v>613</v>
      </c>
      <c r="B130" s="11" t="s">
        <v>152</v>
      </c>
      <c r="C130" s="11" t="s">
        <v>437</v>
      </c>
      <c r="D130" s="12">
        <v>38</v>
      </c>
      <c r="E130" s="11" t="s">
        <v>442</v>
      </c>
      <c r="F130" s="14" t="str">
        <f>_xlfn.XLOOKUP(E130,Profession!$B$2:$B$15,Profession!$A$2:$A$15,"Not Found")</f>
        <v>P002</v>
      </c>
      <c r="G130" s="11" t="s">
        <v>419</v>
      </c>
      <c r="H130" s="10" t="str">
        <f>_xlfn.XLOOKUP(G130,Region!$B$2:$B$16,Region!$A$2:$A$16,"Not Found")</f>
        <v>R001</v>
      </c>
      <c r="I130" s="10" t="s">
        <v>420</v>
      </c>
      <c r="J130" s="10" t="s">
        <v>420</v>
      </c>
      <c r="K130" s="10" t="s">
        <v>426</v>
      </c>
      <c r="L130" s="10" t="s">
        <v>1058</v>
      </c>
      <c r="M130" s="16" t="s">
        <v>422</v>
      </c>
      <c r="N130" s="10" t="s">
        <v>102</v>
      </c>
      <c r="O130" s="16" t="s">
        <v>426</v>
      </c>
      <c r="P130" s="11" t="s">
        <v>1059</v>
      </c>
      <c r="Q130" s="11" t="s">
        <v>422</v>
      </c>
      <c r="R130" s="11" t="s">
        <v>1062</v>
      </c>
      <c r="S130" s="10" t="s">
        <v>2884</v>
      </c>
      <c r="T130" s="81">
        <v>6.3008333333333297</v>
      </c>
      <c r="U130" s="10" t="s">
        <v>420</v>
      </c>
      <c r="V130" s="10" t="s">
        <v>2277</v>
      </c>
      <c r="X130" s="15">
        <v>4</v>
      </c>
      <c r="Y130" s="10" t="s">
        <v>36</v>
      </c>
      <c r="Z130" s="10" t="s">
        <v>2849</v>
      </c>
      <c r="AA130" s="10" t="s">
        <v>23</v>
      </c>
      <c r="AB130" s="10" t="s">
        <v>2843</v>
      </c>
    </row>
    <row r="131" spans="1:28">
      <c r="A131" s="10" t="s">
        <v>614</v>
      </c>
      <c r="B131" s="11" t="s">
        <v>124</v>
      </c>
      <c r="C131" s="11" t="s">
        <v>437</v>
      </c>
      <c r="D131" s="12">
        <v>39</v>
      </c>
      <c r="E131" s="11" t="s">
        <v>465</v>
      </c>
      <c r="F131" s="14" t="str">
        <f>_xlfn.XLOOKUP(E131,Profession!$B$2:$B$15,Profession!$A$2:$A$15,"Not Found")</f>
        <v>P010</v>
      </c>
      <c r="G131" s="11" t="s">
        <v>108</v>
      </c>
      <c r="H131" s="10" t="str">
        <f>_xlfn.XLOOKUP(G131,Region!$B$2:$B$16,Region!$A$2:$A$16,"Not Found")</f>
        <v>R010</v>
      </c>
      <c r="I131" s="10" t="s">
        <v>420</v>
      </c>
      <c r="J131" s="10" t="s">
        <v>420</v>
      </c>
      <c r="K131" s="10" t="s">
        <v>435</v>
      </c>
      <c r="L131" s="10" t="s">
        <v>1058</v>
      </c>
      <c r="M131" s="16" t="s">
        <v>422</v>
      </c>
      <c r="N131" s="10" t="s">
        <v>138</v>
      </c>
      <c r="O131" s="16" t="s">
        <v>450</v>
      </c>
      <c r="P131" s="11" t="s">
        <v>422</v>
      </c>
      <c r="Q131" s="11" t="s">
        <v>420</v>
      </c>
      <c r="R131" s="11" t="s">
        <v>107</v>
      </c>
      <c r="S131" s="10" t="s">
        <v>62</v>
      </c>
      <c r="T131" s="81">
        <v>7</v>
      </c>
      <c r="U131" s="10" t="s">
        <v>420</v>
      </c>
      <c r="V131" s="10" t="s">
        <v>450</v>
      </c>
      <c r="X131" s="15">
        <v>7</v>
      </c>
      <c r="Y131" s="10" t="s">
        <v>19</v>
      </c>
      <c r="Z131" s="10" t="s">
        <v>2849</v>
      </c>
      <c r="AA131" s="10" t="s">
        <v>23</v>
      </c>
      <c r="AB131" s="10" t="s">
        <v>2841</v>
      </c>
    </row>
    <row r="132" spans="1:28">
      <c r="A132" s="10" t="s">
        <v>615</v>
      </c>
      <c r="B132" s="11" t="s">
        <v>153</v>
      </c>
      <c r="C132" s="11" t="s">
        <v>437</v>
      </c>
      <c r="D132" s="12">
        <v>40</v>
      </c>
      <c r="E132" s="11" t="s">
        <v>458</v>
      </c>
      <c r="F132" s="14" t="str">
        <f>_xlfn.XLOOKUP(E132,Profession!$B$2:$B$15,Profession!$A$2:$A$15,"Not Found")</f>
        <v>P006</v>
      </c>
      <c r="G132" s="11" t="s">
        <v>1115</v>
      </c>
      <c r="H132" s="10" t="str">
        <f>_xlfn.XLOOKUP(G132,Region!$B$2:$B$16,Region!$A$2:$A$16,"Not Found")</f>
        <v>R002</v>
      </c>
      <c r="I132" s="10" t="s">
        <v>420</v>
      </c>
      <c r="J132" s="10" t="s">
        <v>420</v>
      </c>
      <c r="K132" s="10" t="s">
        <v>434</v>
      </c>
      <c r="L132" s="10" t="s">
        <v>1058</v>
      </c>
      <c r="M132" s="16" t="s">
        <v>432</v>
      </c>
      <c r="N132" s="10" t="s">
        <v>64</v>
      </c>
      <c r="O132" s="16" t="s">
        <v>433</v>
      </c>
      <c r="P132" s="11" t="s">
        <v>422</v>
      </c>
      <c r="Q132" s="11" t="s">
        <v>1061</v>
      </c>
      <c r="R132" s="11" t="s">
        <v>1065</v>
      </c>
      <c r="S132" s="10" t="s">
        <v>62</v>
      </c>
      <c r="T132" s="81">
        <v>6</v>
      </c>
      <c r="U132" s="10" t="s">
        <v>2274</v>
      </c>
      <c r="V132" s="10" t="s">
        <v>450</v>
      </c>
      <c r="X132" s="15">
        <v>3</v>
      </c>
      <c r="Y132" s="10" t="s">
        <v>49</v>
      </c>
      <c r="Z132" s="10" t="s">
        <v>2849</v>
      </c>
      <c r="AA132" s="10" t="s">
        <v>37</v>
      </c>
      <c r="AB132" s="10" t="s">
        <v>46</v>
      </c>
    </row>
    <row r="133" spans="1:28">
      <c r="A133" s="10" t="s">
        <v>616</v>
      </c>
      <c r="B133" s="11" t="s">
        <v>154</v>
      </c>
      <c r="C133" s="11" t="s">
        <v>437</v>
      </c>
      <c r="D133" s="12">
        <v>41</v>
      </c>
      <c r="E133" s="11" t="s">
        <v>1054</v>
      </c>
      <c r="F133" s="14" t="str">
        <f>_xlfn.XLOOKUP(E133,Profession!$B$2:$B$15,Profession!$A$2:$A$15,"Not Found")</f>
        <v>P013</v>
      </c>
      <c r="G133" s="11" t="s">
        <v>1110</v>
      </c>
      <c r="H133" s="10" t="str">
        <f>_xlfn.XLOOKUP(G133,Region!$B$2:$B$16,Region!$A$2:$A$16,"Not Found")</f>
        <v>R013</v>
      </c>
      <c r="I133" s="10" t="s">
        <v>420</v>
      </c>
      <c r="J133" s="10" t="s">
        <v>420</v>
      </c>
      <c r="K133" s="10" t="s">
        <v>435</v>
      </c>
      <c r="L133" s="10" t="s">
        <v>1058</v>
      </c>
      <c r="M133" s="16" t="s">
        <v>422</v>
      </c>
      <c r="N133" s="10" t="s">
        <v>138</v>
      </c>
      <c r="O133" s="16" t="s">
        <v>433</v>
      </c>
      <c r="P133" s="11" t="s">
        <v>435</v>
      </c>
      <c r="Q133" s="11" t="s">
        <v>420</v>
      </c>
      <c r="R133" s="11" t="s">
        <v>1067</v>
      </c>
      <c r="S133" s="10" t="s">
        <v>62</v>
      </c>
      <c r="T133" s="81">
        <v>6</v>
      </c>
      <c r="U133" s="10" t="s">
        <v>420</v>
      </c>
      <c r="V133" s="10" t="s">
        <v>450</v>
      </c>
      <c r="X133" s="15">
        <v>6</v>
      </c>
      <c r="Y133" s="10" t="s">
        <v>75</v>
      </c>
      <c r="Z133" s="10" t="s">
        <v>2847</v>
      </c>
      <c r="AA133" s="10" t="s">
        <v>70</v>
      </c>
      <c r="AB133" s="10" t="s">
        <v>149</v>
      </c>
    </row>
    <row r="134" spans="1:28">
      <c r="A134" s="10" t="s">
        <v>617</v>
      </c>
      <c r="B134" s="11" t="s">
        <v>155</v>
      </c>
      <c r="C134" s="11" t="s">
        <v>437</v>
      </c>
      <c r="D134" s="12">
        <v>42</v>
      </c>
      <c r="E134" s="11" t="s">
        <v>446</v>
      </c>
      <c r="F134" s="14" t="str">
        <f>_xlfn.XLOOKUP(E134,Profession!$B$2:$B$15,Profession!$A$2:$A$15,"Not Found")</f>
        <v>P003</v>
      </c>
      <c r="G134" s="11" t="s">
        <v>104</v>
      </c>
      <c r="H134" s="10" t="str">
        <f>_xlfn.XLOOKUP(G134,Region!$B$2:$B$16,Region!$A$2:$A$16,"Not Found")</f>
        <v>R003</v>
      </c>
      <c r="I134" s="10" t="s">
        <v>420</v>
      </c>
      <c r="J134" s="10" t="s">
        <v>420</v>
      </c>
      <c r="K134" s="10" t="s">
        <v>435</v>
      </c>
      <c r="L134" s="10" t="s">
        <v>1058</v>
      </c>
      <c r="M134" s="16" t="s">
        <v>422</v>
      </c>
      <c r="N134" s="10" t="s">
        <v>138</v>
      </c>
      <c r="O134" s="16" t="s">
        <v>433</v>
      </c>
      <c r="P134" s="11" t="s">
        <v>422</v>
      </c>
      <c r="Q134" s="11" t="s">
        <v>420</v>
      </c>
      <c r="R134" s="11" t="s">
        <v>1070</v>
      </c>
      <c r="S134" s="10" t="s">
        <v>62</v>
      </c>
      <c r="T134" s="81">
        <v>8</v>
      </c>
      <c r="U134" s="10" t="s">
        <v>420</v>
      </c>
      <c r="V134" s="10" t="s">
        <v>2277</v>
      </c>
      <c r="X134" s="15">
        <v>5</v>
      </c>
      <c r="Y134" s="10" t="s">
        <v>19</v>
      </c>
      <c r="Z134" s="10" t="s">
        <v>2849</v>
      </c>
      <c r="AA134" s="10" t="s">
        <v>23</v>
      </c>
      <c r="AB134" s="10" t="s">
        <v>28</v>
      </c>
    </row>
    <row r="135" spans="1:28">
      <c r="A135" s="10" t="s">
        <v>618</v>
      </c>
      <c r="B135" s="11" t="s">
        <v>131</v>
      </c>
      <c r="C135" s="11" t="s">
        <v>437</v>
      </c>
      <c r="D135" s="12">
        <v>43</v>
      </c>
      <c r="E135" s="11" t="s">
        <v>1088</v>
      </c>
      <c r="F135" s="14" t="str">
        <f>_xlfn.XLOOKUP(E135,Profession!$B$2:$B$15,Profession!$A$2:$A$15,"Not Found")</f>
        <v>P014</v>
      </c>
      <c r="G135" s="11" t="s">
        <v>1114</v>
      </c>
      <c r="H135" s="10" t="str">
        <f>_xlfn.XLOOKUP(G135,Region!$B$2:$B$16,Region!$A$2:$A$16,"Not Found")</f>
        <v>R014</v>
      </c>
      <c r="I135" s="10" t="s">
        <v>420</v>
      </c>
      <c r="J135" s="10" t="s">
        <v>420</v>
      </c>
      <c r="K135" s="10" t="s">
        <v>435</v>
      </c>
      <c r="L135" s="10" t="s">
        <v>1058</v>
      </c>
      <c r="M135" s="16" t="s">
        <v>422</v>
      </c>
      <c r="N135" s="10" t="s">
        <v>138</v>
      </c>
      <c r="O135" s="16" t="s">
        <v>433</v>
      </c>
      <c r="P135" s="11" t="s">
        <v>422</v>
      </c>
      <c r="Q135" s="11" t="s">
        <v>1061</v>
      </c>
      <c r="R135" s="11" t="s">
        <v>1067</v>
      </c>
      <c r="S135" s="10" t="s">
        <v>62</v>
      </c>
      <c r="T135" s="81">
        <v>6</v>
      </c>
      <c r="U135" s="10" t="s">
        <v>420</v>
      </c>
      <c r="V135" s="10" t="s">
        <v>450</v>
      </c>
      <c r="X135" s="15">
        <v>6</v>
      </c>
      <c r="Y135" s="10" t="s">
        <v>77</v>
      </c>
      <c r="Z135" s="10" t="s">
        <v>2282</v>
      </c>
      <c r="AA135" s="10" t="s">
        <v>23</v>
      </c>
      <c r="AB135" s="10" t="s">
        <v>46</v>
      </c>
    </row>
    <row r="136" spans="1:28">
      <c r="A136" s="10" t="s">
        <v>619</v>
      </c>
      <c r="B136" s="11" t="s">
        <v>93</v>
      </c>
      <c r="C136" s="11" t="s">
        <v>437</v>
      </c>
      <c r="D136" s="12">
        <v>44</v>
      </c>
      <c r="E136" s="11" t="s">
        <v>1088</v>
      </c>
      <c r="F136" s="14" t="str">
        <f>_xlfn.XLOOKUP(E136,Profession!$B$2:$B$15,Profession!$A$2:$A$15,"Not Found")</f>
        <v>P014</v>
      </c>
      <c r="G136" s="11" t="s">
        <v>477</v>
      </c>
      <c r="H136" s="10" t="str">
        <f>_xlfn.XLOOKUP(G136,Region!$B$2:$B$16,Region!$A$2:$A$16,"Not Found")</f>
        <v>R015</v>
      </c>
      <c r="I136" s="10" t="s">
        <v>420</v>
      </c>
      <c r="J136" s="10" t="s">
        <v>420</v>
      </c>
      <c r="K136" s="10" t="s">
        <v>435</v>
      </c>
      <c r="L136" s="10" t="s">
        <v>1058</v>
      </c>
      <c r="M136" s="16" t="s">
        <v>422</v>
      </c>
      <c r="N136" s="10" t="s">
        <v>138</v>
      </c>
      <c r="O136" s="16" t="s">
        <v>433</v>
      </c>
      <c r="P136" s="11" t="s">
        <v>435</v>
      </c>
      <c r="Q136" s="11" t="s">
        <v>1061</v>
      </c>
      <c r="R136" s="11" t="s">
        <v>1068</v>
      </c>
      <c r="S136" s="10" t="s">
        <v>62</v>
      </c>
      <c r="T136" s="81">
        <v>8</v>
      </c>
      <c r="U136" s="10" t="s">
        <v>420</v>
      </c>
      <c r="V136" s="10" t="s">
        <v>450</v>
      </c>
      <c r="X136" s="15">
        <v>6</v>
      </c>
      <c r="Y136" s="10" t="s">
        <v>36</v>
      </c>
      <c r="Z136" s="10" t="s">
        <v>2849</v>
      </c>
      <c r="AA136" s="10" t="s">
        <v>23</v>
      </c>
      <c r="AB136" s="10" t="s">
        <v>2841</v>
      </c>
    </row>
    <row r="137" spans="1:28">
      <c r="A137" s="10" t="s">
        <v>620</v>
      </c>
      <c r="B137" s="11" t="s">
        <v>156</v>
      </c>
      <c r="C137" s="11" t="s">
        <v>437</v>
      </c>
      <c r="D137" s="12">
        <v>20</v>
      </c>
      <c r="E137" s="11" t="s">
        <v>418</v>
      </c>
      <c r="F137" s="14" t="str">
        <f>_xlfn.XLOOKUP(E137,Profession!$B$2:$B$15,Profession!$A$2:$A$15,"Not Found")</f>
        <v>P001</v>
      </c>
      <c r="G137" s="11" t="s">
        <v>419</v>
      </c>
      <c r="H137" s="10" t="str">
        <f>_xlfn.XLOOKUP(G137,Region!$B$2:$B$16,Region!$A$2:$A$16,"Not Found")</f>
        <v>R001</v>
      </c>
      <c r="I137" s="10" t="s">
        <v>420</v>
      </c>
      <c r="J137" s="10" t="s">
        <v>420</v>
      </c>
      <c r="K137" s="10" t="s">
        <v>435</v>
      </c>
      <c r="L137" s="10" t="s">
        <v>1057</v>
      </c>
      <c r="M137" s="16" t="s">
        <v>422</v>
      </c>
      <c r="N137" s="10" t="s">
        <v>26</v>
      </c>
      <c r="O137" s="16" t="s">
        <v>423</v>
      </c>
      <c r="P137" s="11" t="s">
        <v>1059</v>
      </c>
      <c r="Q137" s="11" t="s">
        <v>422</v>
      </c>
      <c r="R137" s="11" t="s">
        <v>1062</v>
      </c>
      <c r="S137" s="10" t="s">
        <v>2884</v>
      </c>
      <c r="T137" s="81">
        <v>7</v>
      </c>
      <c r="U137" s="10" t="s">
        <v>420</v>
      </c>
      <c r="V137" s="10" t="s">
        <v>2278</v>
      </c>
      <c r="X137" s="15">
        <v>3</v>
      </c>
      <c r="Y137" s="10" t="s">
        <v>27</v>
      </c>
      <c r="Z137" s="10" t="s">
        <v>2849</v>
      </c>
      <c r="AA137" s="10" t="s">
        <v>23</v>
      </c>
      <c r="AB137" s="10" t="s">
        <v>24</v>
      </c>
    </row>
    <row r="138" spans="1:28">
      <c r="A138" s="10" t="s">
        <v>621</v>
      </c>
      <c r="B138" s="11" t="s">
        <v>157</v>
      </c>
      <c r="C138" s="11" t="s">
        <v>437</v>
      </c>
      <c r="D138" s="12">
        <v>21</v>
      </c>
      <c r="E138" s="11" t="s">
        <v>465</v>
      </c>
      <c r="F138" s="14" t="str">
        <f>_xlfn.XLOOKUP(E138,Profession!$B$2:$B$15,Profession!$A$2:$A$15,"Not Found")</f>
        <v>P010</v>
      </c>
      <c r="G138" s="11" t="s">
        <v>1115</v>
      </c>
      <c r="H138" s="10" t="str">
        <f>_xlfn.XLOOKUP(G138,Region!$B$2:$B$16,Region!$A$2:$A$16,"Not Found")</f>
        <v>R002</v>
      </c>
      <c r="I138" s="10" t="s">
        <v>420</v>
      </c>
      <c r="J138" s="10" t="s">
        <v>420</v>
      </c>
      <c r="K138" s="10" t="s">
        <v>421</v>
      </c>
      <c r="L138" s="10" t="s">
        <v>1058</v>
      </c>
      <c r="M138" s="16" t="s">
        <v>422</v>
      </c>
      <c r="N138" s="10" t="s">
        <v>138</v>
      </c>
      <c r="O138" s="16" t="s">
        <v>450</v>
      </c>
      <c r="P138" s="11" t="s">
        <v>422</v>
      </c>
      <c r="Q138" s="11" t="s">
        <v>420</v>
      </c>
      <c r="R138" s="11" t="s">
        <v>1065</v>
      </c>
      <c r="S138" s="10" t="s">
        <v>62</v>
      </c>
      <c r="T138" s="81">
        <v>8</v>
      </c>
      <c r="U138" s="10" t="s">
        <v>420</v>
      </c>
      <c r="V138" s="10" t="s">
        <v>450</v>
      </c>
      <c r="X138" s="15">
        <v>4</v>
      </c>
      <c r="Y138" s="10" t="s">
        <v>56</v>
      </c>
      <c r="Z138" s="10" t="s">
        <v>2849</v>
      </c>
      <c r="AA138" s="10" t="s">
        <v>23</v>
      </c>
      <c r="AB138" s="10" t="s">
        <v>2843</v>
      </c>
    </row>
    <row r="139" spans="1:28">
      <c r="A139" s="10" t="s">
        <v>622</v>
      </c>
      <c r="B139" s="11" t="s">
        <v>158</v>
      </c>
      <c r="C139" s="11" t="s">
        <v>437</v>
      </c>
      <c r="D139" s="12">
        <v>22</v>
      </c>
      <c r="E139" s="11" t="s">
        <v>442</v>
      </c>
      <c r="F139" s="14" t="str">
        <f>_xlfn.XLOOKUP(E139,Profession!$B$2:$B$15,Profession!$A$2:$A$15,"Not Found")</f>
        <v>P002</v>
      </c>
      <c r="G139" s="11" t="s">
        <v>419</v>
      </c>
      <c r="H139" s="10" t="str">
        <f>_xlfn.XLOOKUP(G139,Region!$B$2:$B$16,Region!$A$2:$A$16,"Not Found")</f>
        <v>R001</v>
      </c>
      <c r="I139" s="10" t="s">
        <v>420</v>
      </c>
      <c r="J139" s="10" t="s">
        <v>420</v>
      </c>
      <c r="K139" s="10" t="s">
        <v>435</v>
      </c>
      <c r="L139" s="10" t="s">
        <v>1058</v>
      </c>
      <c r="M139" s="16" t="s">
        <v>436</v>
      </c>
      <c r="N139" s="10" t="s">
        <v>138</v>
      </c>
      <c r="O139" s="16" t="s">
        <v>444</v>
      </c>
      <c r="P139" s="11" t="s">
        <v>422</v>
      </c>
      <c r="Q139" s="11" t="s">
        <v>1061</v>
      </c>
      <c r="R139" s="11" t="s">
        <v>1068</v>
      </c>
      <c r="S139" s="10" t="s">
        <v>62</v>
      </c>
      <c r="T139" s="81">
        <v>6</v>
      </c>
      <c r="U139" s="10" t="s">
        <v>420</v>
      </c>
      <c r="V139" s="10" t="s">
        <v>2277</v>
      </c>
      <c r="X139" s="15">
        <v>6</v>
      </c>
      <c r="Y139" s="10" t="s">
        <v>100</v>
      </c>
      <c r="Z139" s="10" t="s">
        <v>2849</v>
      </c>
      <c r="AA139" s="10" t="s">
        <v>37</v>
      </c>
      <c r="AB139" s="10" t="s">
        <v>2844</v>
      </c>
    </row>
    <row r="140" spans="1:28">
      <c r="A140" s="10" t="s">
        <v>623</v>
      </c>
      <c r="B140" s="11" t="s">
        <v>159</v>
      </c>
      <c r="C140" s="11" t="s">
        <v>437</v>
      </c>
      <c r="D140" s="12">
        <v>23</v>
      </c>
      <c r="E140" s="11" t="s">
        <v>462</v>
      </c>
      <c r="F140" s="14" t="str">
        <f>_xlfn.XLOOKUP(E140,Profession!$B$2:$B$15,Profession!$A$2:$A$15,"Not Found")</f>
        <v>P008</v>
      </c>
      <c r="G140" s="11" t="s">
        <v>1112</v>
      </c>
      <c r="H140" s="10" t="str">
        <f>_xlfn.XLOOKUP(G140,Region!$B$2:$B$16,Region!$A$2:$A$16,"Not Found")</f>
        <v>R008</v>
      </c>
      <c r="I140" s="10" t="s">
        <v>420</v>
      </c>
      <c r="J140" s="10" t="s">
        <v>420</v>
      </c>
      <c r="K140" s="10" t="s">
        <v>431</v>
      </c>
      <c r="L140" s="10" t="s">
        <v>1058</v>
      </c>
      <c r="M140" s="16" t="s">
        <v>422</v>
      </c>
      <c r="N140" s="10" t="s">
        <v>138</v>
      </c>
      <c r="O140" s="16" t="s">
        <v>450</v>
      </c>
      <c r="P140" s="11" t="s">
        <v>422</v>
      </c>
      <c r="Q140" s="11" t="s">
        <v>420</v>
      </c>
      <c r="R140" s="11" t="s">
        <v>107</v>
      </c>
      <c r="S140" s="10" t="s">
        <v>62</v>
      </c>
      <c r="T140" s="81">
        <v>7</v>
      </c>
      <c r="U140" s="10" t="s">
        <v>420</v>
      </c>
      <c r="V140" s="10" t="s">
        <v>450</v>
      </c>
      <c r="X140" s="15">
        <v>5</v>
      </c>
      <c r="Y140" s="10" t="s">
        <v>56</v>
      </c>
      <c r="Z140" s="10" t="s">
        <v>2849</v>
      </c>
      <c r="AA140" s="10" t="s">
        <v>23</v>
      </c>
      <c r="AB140" s="10" t="s">
        <v>2843</v>
      </c>
    </row>
    <row r="141" spans="1:28">
      <c r="A141" s="10" t="s">
        <v>624</v>
      </c>
      <c r="B141" s="11" t="s">
        <v>160</v>
      </c>
      <c r="C141" s="11" t="s">
        <v>437</v>
      </c>
      <c r="D141" s="12">
        <v>24</v>
      </c>
      <c r="E141" s="11" t="s">
        <v>473</v>
      </c>
      <c r="F141" s="14" t="str">
        <f>_xlfn.XLOOKUP(E141,Profession!$B$2:$B$15,Profession!$A$2:$A$15,"Not Found")</f>
        <v>P012</v>
      </c>
      <c r="G141" s="11" t="s">
        <v>1113</v>
      </c>
      <c r="H141" s="10" t="str">
        <f>_xlfn.XLOOKUP(G141,Region!$B$2:$B$16,Region!$A$2:$A$16,"Not Found")</f>
        <v>R012</v>
      </c>
      <c r="I141" s="10" t="s">
        <v>423</v>
      </c>
      <c r="J141" s="10" t="s">
        <v>423</v>
      </c>
      <c r="K141" s="10" t="s">
        <v>435</v>
      </c>
      <c r="L141" s="10" t="s">
        <v>1058</v>
      </c>
      <c r="M141" s="16" t="s">
        <v>422</v>
      </c>
      <c r="N141" s="10" t="s">
        <v>138</v>
      </c>
      <c r="O141" s="16" t="s">
        <v>444</v>
      </c>
      <c r="P141" s="11" t="s">
        <v>422</v>
      </c>
      <c r="Q141" s="11" t="s">
        <v>1061</v>
      </c>
      <c r="R141" s="11" t="s">
        <v>107</v>
      </c>
      <c r="S141" s="10" t="s">
        <v>62</v>
      </c>
      <c r="T141" s="81">
        <v>6</v>
      </c>
      <c r="U141" s="10" t="s">
        <v>420</v>
      </c>
      <c r="V141" s="10" t="s">
        <v>2277</v>
      </c>
      <c r="X141" s="15">
        <v>6</v>
      </c>
      <c r="Y141" s="10" t="s">
        <v>22</v>
      </c>
      <c r="Z141" s="10" t="s">
        <v>2846</v>
      </c>
      <c r="AA141" s="10" t="s">
        <v>23</v>
      </c>
      <c r="AB141" s="10" t="s">
        <v>2842</v>
      </c>
    </row>
    <row r="142" spans="1:28">
      <c r="A142" s="10" t="s">
        <v>625</v>
      </c>
      <c r="B142" s="11" t="s">
        <v>161</v>
      </c>
      <c r="C142" s="11" t="s">
        <v>437</v>
      </c>
      <c r="D142" s="12">
        <v>25</v>
      </c>
      <c r="E142" s="11" t="s">
        <v>1108</v>
      </c>
      <c r="F142" s="14" t="str">
        <f>_xlfn.XLOOKUP(E142,Profession!$B$2:$B$15,Profession!$A$2:$A$15,"Not Found")</f>
        <v>P011</v>
      </c>
      <c r="G142" s="11" t="s">
        <v>419</v>
      </c>
      <c r="H142" s="10" t="str">
        <f>_xlfn.XLOOKUP(G142,Region!$B$2:$B$16,Region!$A$2:$A$16,"Not Found")</f>
        <v>R001</v>
      </c>
      <c r="I142" s="10" t="s">
        <v>420</v>
      </c>
      <c r="J142" s="10" t="s">
        <v>420</v>
      </c>
      <c r="K142" s="10" t="s">
        <v>431</v>
      </c>
      <c r="L142" s="10" t="s">
        <v>1058</v>
      </c>
      <c r="M142" s="16" t="s">
        <v>422</v>
      </c>
      <c r="N142" s="10" t="s">
        <v>138</v>
      </c>
      <c r="O142" s="16" t="s">
        <v>444</v>
      </c>
      <c r="P142" s="11" t="s">
        <v>422</v>
      </c>
      <c r="Q142" s="11" t="s">
        <v>420</v>
      </c>
      <c r="R142" s="11" t="s">
        <v>1070</v>
      </c>
      <c r="S142" s="10" t="s">
        <v>62</v>
      </c>
      <c r="T142" s="81">
        <v>6</v>
      </c>
      <c r="U142" s="10" t="s">
        <v>420</v>
      </c>
      <c r="V142" s="10" t="s">
        <v>2277</v>
      </c>
      <c r="X142" s="15">
        <v>5</v>
      </c>
      <c r="Y142" s="10" t="s">
        <v>58</v>
      </c>
      <c r="Z142" s="10" t="s">
        <v>2849</v>
      </c>
      <c r="AA142" s="10" t="s">
        <v>23</v>
      </c>
      <c r="AB142" s="10" t="s">
        <v>2843</v>
      </c>
    </row>
    <row r="143" spans="1:28">
      <c r="A143" s="10" t="s">
        <v>626</v>
      </c>
      <c r="B143" s="11" t="s">
        <v>162</v>
      </c>
      <c r="C143" s="11" t="s">
        <v>437</v>
      </c>
      <c r="D143" s="12">
        <v>26</v>
      </c>
      <c r="E143" s="11" t="s">
        <v>459</v>
      </c>
      <c r="F143" s="14" t="str">
        <f>_xlfn.XLOOKUP(E143,Profession!$B$2:$B$15,Profession!$A$2:$A$15,"Not Found")</f>
        <v>P007</v>
      </c>
      <c r="G143" s="11" t="s">
        <v>419</v>
      </c>
      <c r="H143" s="10" t="str">
        <f>_xlfn.XLOOKUP(G143,Region!$B$2:$B$16,Region!$A$2:$A$16,"Not Found")</f>
        <v>R001</v>
      </c>
      <c r="I143" s="10" t="s">
        <v>420</v>
      </c>
      <c r="J143" s="10" t="s">
        <v>420</v>
      </c>
      <c r="K143" s="10" t="s">
        <v>421</v>
      </c>
      <c r="L143" s="10" t="s">
        <v>1058</v>
      </c>
      <c r="M143" s="16" t="s">
        <v>422</v>
      </c>
      <c r="N143" s="10" t="s">
        <v>19</v>
      </c>
      <c r="O143" s="16" t="s">
        <v>444</v>
      </c>
      <c r="P143" s="11" t="s">
        <v>422</v>
      </c>
      <c r="Q143" s="11" t="s">
        <v>420</v>
      </c>
      <c r="R143" s="11" t="s">
        <v>1070</v>
      </c>
      <c r="S143" s="10" t="s">
        <v>62</v>
      </c>
      <c r="T143" s="81">
        <v>8</v>
      </c>
      <c r="U143" s="10" t="s">
        <v>420</v>
      </c>
      <c r="V143" s="10" t="s">
        <v>450</v>
      </c>
      <c r="X143" s="15">
        <v>4</v>
      </c>
      <c r="Y143" s="10" t="s">
        <v>36</v>
      </c>
      <c r="Z143" s="10" t="s">
        <v>2849</v>
      </c>
      <c r="AA143" s="10" t="s">
        <v>37</v>
      </c>
      <c r="AB143" s="10" t="s">
        <v>24</v>
      </c>
    </row>
    <row r="144" spans="1:28">
      <c r="A144" s="10" t="s">
        <v>627</v>
      </c>
      <c r="B144" s="11" t="s">
        <v>163</v>
      </c>
      <c r="C144" s="11" t="s">
        <v>437</v>
      </c>
      <c r="D144" s="12">
        <v>27</v>
      </c>
      <c r="E144" s="11" t="s">
        <v>418</v>
      </c>
      <c r="F144" s="14" t="str">
        <f>_xlfn.XLOOKUP(E144,Profession!$B$2:$B$15,Profession!$A$2:$A$15,"Not Found")</f>
        <v>P001</v>
      </c>
      <c r="G144" s="11" t="s">
        <v>1115</v>
      </c>
      <c r="H144" s="10" t="str">
        <f>_xlfn.XLOOKUP(G144,Region!$B$2:$B$16,Region!$A$2:$A$16,"Not Found")</f>
        <v>R002</v>
      </c>
      <c r="I144" s="10" t="s">
        <v>420</v>
      </c>
      <c r="J144" s="10" t="s">
        <v>420</v>
      </c>
      <c r="K144" s="10" t="s">
        <v>435</v>
      </c>
      <c r="L144" s="10" t="s">
        <v>1058</v>
      </c>
      <c r="M144" s="16" t="s">
        <v>432</v>
      </c>
      <c r="N144" s="10" t="s">
        <v>138</v>
      </c>
      <c r="O144" s="16" t="s">
        <v>433</v>
      </c>
      <c r="P144" s="11" t="s">
        <v>422</v>
      </c>
      <c r="Q144" s="11" t="s">
        <v>1061</v>
      </c>
      <c r="R144" s="11" t="s">
        <v>1065</v>
      </c>
      <c r="S144" s="10" t="s">
        <v>62</v>
      </c>
      <c r="T144" s="81">
        <v>8</v>
      </c>
      <c r="U144" s="10" t="s">
        <v>420</v>
      </c>
      <c r="V144" s="10" t="s">
        <v>2277</v>
      </c>
      <c r="X144" s="15">
        <v>5</v>
      </c>
      <c r="Y144" s="10" t="s">
        <v>27</v>
      </c>
      <c r="Z144" s="10" t="s">
        <v>2849</v>
      </c>
      <c r="AA144" s="10" t="s">
        <v>23</v>
      </c>
      <c r="AB144" s="10" t="s">
        <v>2841</v>
      </c>
    </row>
    <row r="145" spans="1:28">
      <c r="A145" s="10" t="s">
        <v>628</v>
      </c>
      <c r="B145" s="11" t="s">
        <v>111</v>
      </c>
      <c r="C145" s="11" t="s">
        <v>437</v>
      </c>
      <c r="D145" s="12">
        <v>28</v>
      </c>
      <c r="E145" s="11" t="s">
        <v>452</v>
      </c>
      <c r="F145" s="14" t="str">
        <f>_xlfn.XLOOKUP(E145,Profession!$B$2:$B$15,Profession!$A$2:$A$15,"Not Found")</f>
        <v>P005</v>
      </c>
      <c r="G145" s="11" t="s">
        <v>453</v>
      </c>
      <c r="H145" s="10" t="str">
        <f>_xlfn.XLOOKUP(G145,Region!$B$2:$B$16,Region!$A$2:$A$16,"Not Found")</f>
        <v>R005</v>
      </c>
      <c r="I145" s="10" t="s">
        <v>420</v>
      </c>
      <c r="J145" s="10" t="s">
        <v>420</v>
      </c>
      <c r="K145" s="10" t="s">
        <v>434</v>
      </c>
      <c r="L145" s="10" t="s">
        <v>1058</v>
      </c>
      <c r="M145" s="16" t="s">
        <v>422</v>
      </c>
      <c r="N145" s="10" t="s">
        <v>105</v>
      </c>
      <c r="O145" s="16" t="s">
        <v>433</v>
      </c>
      <c r="P145" s="11" t="s">
        <v>422</v>
      </c>
      <c r="Q145" s="11" t="s">
        <v>434</v>
      </c>
      <c r="R145" s="11" t="s">
        <v>1068</v>
      </c>
      <c r="S145" s="10" t="s">
        <v>62</v>
      </c>
      <c r="T145" s="81">
        <v>7</v>
      </c>
      <c r="U145" s="10" t="s">
        <v>2272</v>
      </c>
      <c r="V145" s="10" t="s">
        <v>450</v>
      </c>
      <c r="X145" s="15">
        <v>5</v>
      </c>
      <c r="Y145" s="10" t="s">
        <v>40</v>
      </c>
      <c r="Z145" s="10" t="s">
        <v>2280</v>
      </c>
      <c r="AA145" s="10" t="s">
        <v>37</v>
      </c>
      <c r="AB145" s="10" t="s">
        <v>24</v>
      </c>
    </row>
    <row r="146" spans="1:28">
      <c r="A146" s="10" t="s">
        <v>629</v>
      </c>
      <c r="B146" s="11" t="s">
        <v>164</v>
      </c>
      <c r="C146" s="11" t="s">
        <v>437</v>
      </c>
      <c r="D146" s="12">
        <v>29</v>
      </c>
      <c r="E146" s="11" t="s">
        <v>465</v>
      </c>
      <c r="F146" s="14" t="str">
        <f>_xlfn.XLOOKUP(E146,Profession!$B$2:$B$15,Profession!$A$2:$A$15,"Not Found")</f>
        <v>P010</v>
      </c>
      <c r="G146" s="11" t="s">
        <v>467</v>
      </c>
      <c r="H146" s="10" t="str">
        <f>_xlfn.XLOOKUP(G146,Region!$B$2:$B$16,Region!$A$2:$A$16,"Not Found")</f>
        <v>R009</v>
      </c>
      <c r="I146" s="10" t="s">
        <v>420</v>
      </c>
      <c r="J146" s="10" t="s">
        <v>420</v>
      </c>
      <c r="K146" s="10" t="s">
        <v>434</v>
      </c>
      <c r="L146" s="10" t="s">
        <v>1058</v>
      </c>
      <c r="M146" s="16" t="s">
        <v>422</v>
      </c>
      <c r="N146" s="10" t="s">
        <v>138</v>
      </c>
      <c r="O146" s="16" t="s">
        <v>444</v>
      </c>
      <c r="P146" s="11" t="s">
        <v>422</v>
      </c>
      <c r="Q146" s="11" t="s">
        <v>420</v>
      </c>
      <c r="R146" s="11" t="s">
        <v>1070</v>
      </c>
      <c r="S146" s="10" t="s">
        <v>62</v>
      </c>
      <c r="T146" s="81">
        <v>6</v>
      </c>
      <c r="U146" s="10" t="s">
        <v>420</v>
      </c>
      <c r="V146" s="10" t="s">
        <v>2277</v>
      </c>
      <c r="X146" s="15">
        <v>4</v>
      </c>
      <c r="Y146" s="10" t="s">
        <v>56</v>
      </c>
      <c r="Z146" s="10" t="s">
        <v>2849</v>
      </c>
      <c r="AA146" s="10" t="s">
        <v>23</v>
      </c>
      <c r="AB146" s="10" t="s">
        <v>2843</v>
      </c>
    </row>
    <row r="147" spans="1:28">
      <c r="A147" s="10" t="s">
        <v>630</v>
      </c>
      <c r="B147" s="11" t="s">
        <v>165</v>
      </c>
      <c r="C147" s="11" t="s">
        <v>437</v>
      </c>
      <c r="D147" s="12">
        <v>30</v>
      </c>
      <c r="E147" s="11" t="s">
        <v>448</v>
      </c>
      <c r="F147" s="14" t="str">
        <f>_xlfn.XLOOKUP(E147,Profession!$B$2:$B$15,Profession!$A$2:$A$15,"Not Found")</f>
        <v>P004</v>
      </c>
      <c r="G147" s="11" t="s">
        <v>1111</v>
      </c>
      <c r="H147" s="10" t="str">
        <f>_xlfn.XLOOKUP(G147,Region!$B$2:$B$16,Region!$A$2:$A$16,"Not Found")</f>
        <v>R004</v>
      </c>
      <c r="I147" s="10" t="s">
        <v>420</v>
      </c>
      <c r="J147" s="10" t="s">
        <v>420</v>
      </c>
      <c r="K147" s="10" t="s">
        <v>431</v>
      </c>
      <c r="L147" s="10" t="s">
        <v>1057</v>
      </c>
      <c r="M147" s="16" t="s">
        <v>432</v>
      </c>
      <c r="N147" s="10" t="s">
        <v>138</v>
      </c>
      <c r="O147" s="16" t="s">
        <v>444</v>
      </c>
      <c r="P147" s="11" t="s">
        <v>422</v>
      </c>
      <c r="Q147" s="11" t="s">
        <v>420</v>
      </c>
      <c r="R147" s="11" t="s">
        <v>1070</v>
      </c>
      <c r="S147" s="10" t="s">
        <v>62</v>
      </c>
      <c r="T147" s="81">
        <v>8</v>
      </c>
      <c r="U147" s="10" t="s">
        <v>420</v>
      </c>
      <c r="V147" s="10" t="s">
        <v>450</v>
      </c>
      <c r="X147" s="15">
        <v>4</v>
      </c>
      <c r="Y147" s="10" t="s">
        <v>56</v>
      </c>
      <c r="Z147" s="10" t="s">
        <v>2849</v>
      </c>
      <c r="AA147" s="10" t="s">
        <v>23</v>
      </c>
      <c r="AB147" s="10" t="s">
        <v>46</v>
      </c>
    </row>
    <row r="148" spans="1:28">
      <c r="A148" s="10" t="s">
        <v>631</v>
      </c>
      <c r="B148" s="11" t="s">
        <v>166</v>
      </c>
      <c r="C148" s="11" t="s">
        <v>437</v>
      </c>
      <c r="D148" s="12">
        <v>31</v>
      </c>
      <c r="E148" s="11" t="s">
        <v>448</v>
      </c>
      <c r="F148" s="14" t="str">
        <f>_xlfn.XLOOKUP(E148,Profession!$B$2:$B$15,Profession!$A$2:$A$15,"Not Found")</f>
        <v>P004</v>
      </c>
      <c r="G148" s="11" t="s">
        <v>1111</v>
      </c>
      <c r="H148" s="10" t="str">
        <f>_xlfn.XLOOKUP(G148,Region!$B$2:$B$16,Region!$A$2:$A$16,"Not Found")</f>
        <v>R004</v>
      </c>
      <c r="I148" s="10" t="s">
        <v>420</v>
      </c>
      <c r="J148" s="10" t="s">
        <v>420</v>
      </c>
      <c r="K148" s="10" t="s">
        <v>431</v>
      </c>
      <c r="L148" s="10" t="s">
        <v>1058</v>
      </c>
      <c r="M148" s="16" t="s">
        <v>432</v>
      </c>
      <c r="N148" s="10" t="s">
        <v>138</v>
      </c>
      <c r="O148" s="16" t="s">
        <v>450</v>
      </c>
      <c r="P148" s="11" t="s">
        <v>422</v>
      </c>
      <c r="Q148" s="11" t="s">
        <v>420</v>
      </c>
      <c r="R148" s="11" t="s">
        <v>107</v>
      </c>
      <c r="S148" s="10" t="s">
        <v>62</v>
      </c>
      <c r="T148" s="81">
        <v>7</v>
      </c>
      <c r="U148" s="10" t="s">
        <v>420</v>
      </c>
      <c r="V148" s="10" t="s">
        <v>450</v>
      </c>
      <c r="X148" s="15">
        <v>4</v>
      </c>
      <c r="Y148" s="10" t="s">
        <v>56</v>
      </c>
      <c r="Z148" s="10" t="s">
        <v>2849</v>
      </c>
      <c r="AA148" s="10" t="s">
        <v>23</v>
      </c>
      <c r="AB148" s="10" t="s">
        <v>46</v>
      </c>
    </row>
    <row r="149" spans="1:28">
      <c r="A149" s="10" t="s">
        <v>632</v>
      </c>
      <c r="B149" s="11" t="s">
        <v>117</v>
      </c>
      <c r="C149" s="11" t="s">
        <v>437</v>
      </c>
      <c r="D149" s="12">
        <v>32</v>
      </c>
      <c r="E149" s="11" t="s">
        <v>465</v>
      </c>
      <c r="F149" s="14" t="str">
        <f>_xlfn.XLOOKUP(E149,Profession!$B$2:$B$15,Profession!$A$2:$A$15,"Not Found")</f>
        <v>P010</v>
      </c>
      <c r="G149" s="11" t="s">
        <v>419</v>
      </c>
      <c r="H149" s="10" t="str">
        <f>_xlfn.XLOOKUP(G149,Region!$B$2:$B$16,Region!$A$2:$A$16,"Not Found")</f>
        <v>R001</v>
      </c>
      <c r="I149" s="10" t="s">
        <v>423</v>
      </c>
      <c r="J149" s="10" t="s">
        <v>423</v>
      </c>
      <c r="K149" s="10" t="s">
        <v>434</v>
      </c>
      <c r="L149" s="10" t="s">
        <v>1058</v>
      </c>
      <c r="M149" s="16" t="s">
        <v>422</v>
      </c>
      <c r="N149" s="10" t="s">
        <v>138</v>
      </c>
      <c r="O149" s="16" t="s">
        <v>444</v>
      </c>
      <c r="P149" s="11" t="s">
        <v>422</v>
      </c>
      <c r="Q149" s="11" t="s">
        <v>420</v>
      </c>
      <c r="R149" s="11" t="s">
        <v>1065</v>
      </c>
      <c r="S149" s="10" t="s">
        <v>62</v>
      </c>
      <c r="T149" s="81">
        <v>8</v>
      </c>
      <c r="U149" s="10" t="s">
        <v>420</v>
      </c>
      <c r="V149" s="10" t="s">
        <v>450</v>
      </c>
      <c r="X149" s="15">
        <v>7</v>
      </c>
      <c r="Y149" s="10" t="s">
        <v>100</v>
      </c>
      <c r="Z149" s="10" t="s">
        <v>2849</v>
      </c>
      <c r="AA149" s="10" t="s">
        <v>23</v>
      </c>
      <c r="AB149" s="10" t="s">
        <v>2843</v>
      </c>
    </row>
    <row r="150" spans="1:28">
      <c r="A150" s="10" t="s">
        <v>633</v>
      </c>
      <c r="B150" s="11" t="s">
        <v>167</v>
      </c>
      <c r="C150" s="11" t="s">
        <v>437</v>
      </c>
      <c r="D150" s="12">
        <v>33</v>
      </c>
      <c r="E150" s="11" t="s">
        <v>462</v>
      </c>
      <c r="F150" s="14" t="str">
        <f>_xlfn.XLOOKUP(E150,Profession!$B$2:$B$15,Profession!$A$2:$A$15,"Not Found")</f>
        <v>P008</v>
      </c>
      <c r="G150" s="11" t="s">
        <v>464</v>
      </c>
      <c r="H150" s="10" t="str">
        <f>_xlfn.XLOOKUP(G150,Region!$B$2:$B$16,Region!$A$2:$A$16,"Not Found")</f>
        <v>R007</v>
      </c>
      <c r="I150" s="10" t="s">
        <v>423</v>
      </c>
      <c r="J150" s="10" t="s">
        <v>423</v>
      </c>
      <c r="K150" s="10" t="s">
        <v>435</v>
      </c>
      <c r="L150" s="10" t="s">
        <v>1058</v>
      </c>
      <c r="M150" s="16" t="s">
        <v>436</v>
      </c>
      <c r="N150" s="10" t="s">
        <v>138</v>
      </c>
      <c r="O150" s="16" t="s">
        <v>450</v>
      </c>
      <c r="P150" s="11" t="s">
        <v>422</v>
      </c>
      <c r="Q150" s="11" t="s">
        <v>420</v>
      </c>
      <c r="R150" s="11" t="s">
        <v>107</v>
      </c>
      <c r="S150" s="10" t="s">
        <v>62</v>
      </c>
      <c r="T150" s="81">
        <v>5</v>
      </c>
      <c r="U150" s="10" t="s">
        <v>2275</v>
      </c>
      <c r="V150" s="10" t="s">
        <v>450</v>
      </c>
      <c r="X150" s="15">
        <v>5</v>
      </c>
      <c r="Y150" s="10" t="s">
        <v>54</v>
      </c>
      <c r="Z150" s="10" t="s">
        <v>2849</v>
      </c>
      <c r="AA150" s="10" t="s">
        <v>23</v>
      </c>
      <c r="AB150" s="10" t="s">
        <v>2844</v>
      </c>
    </row>
    <row r="151" spans="1:28">
      <c r="A151" s="10" t="s">
        <v>634</v>
      </c>
      <c r="B151" s="11" t="s">
        <v>129</v>
      </c>
      <c r="C151" s="11" t="s">
        <v>437</v>
      </c>
      <c r="D151" s="12">
        <v>34</v>
      </c>
      <c r="E151" s="11" t="s">
        <v>473</v>
      </c>
      <c r="F151" s="14" t="str">
        <f>_xlfn.XLOOKUP(E151,Profession!$B$2:$B$15,Profession!$A$2:$A$15,"Not Found")</f>
        <v>P012</v>
      </c>
      <c r="G151" s="11" t="s">
        <v>419</v>
      </c>
      <c r="H151" s="10" t="str">
        <f>_xlfn.XLOOKUP(G151,Region!$B$2:$B$16,Region!$A$2:$A$16,"Not Found")</f>
        <v>R001</v>
      </c>
      <c r="I151" s="10" t="s">
        <v>423</v>
      </c>
      <c r="J151" s="10" t="s">
        <v>423</v>
      </c>
      <c r="K151" s="10" t="s">
        <v>434</v>
      </c>
      <c r="L151" s="10" t="s">
        <v>1058</v>
      </c>
      <c r="M151" s="16" t="s">
        <v>432</v>
      </c>
      <c r="N151" s="10" t="s">
        <v>138</v>
      </c>
      <c r="O151" s="16" t="s">
        <v>444</v>
      </c>
      <c r="P151" s="11" t="s">
        <v>422</v>
      </c>
      <c r="Q151" s="11" t="s">
        <v>420</v>
      </c>
      <c r="R151" s="11" t="s">
        <v>107</v>
      </c>
      <c r="S151" s="10" t="s">
        <v>62</v>
      </c>
      <c r="T151" s="81">
        <v>7</v>
      </c>
      <c r="U151" s="10" t="s">
        <v>420</v>
      </c>
      <c r="V151" s="10" t="s">
        <v>450</v>
      </c>
      <c r="X151" s="15">
        <v>5</v>
      </c>
      <c r="Y151" s="10" t="s">
        <v>87</v>
      </c>
      <c r="Z151" s="10" t="s">
        <v>2848</v>
      </c>
      <c r="AA151" s="10" t="s">
        <v>23</v>
      </c>
      <c r="AB151" s="10" t="s">
        <v>149</v>
      </c>
    </row>
    <row r="152" spans="1:28">
      <c r="A152" s="10" t="s">
        <v>635</v>
      </c>
      <c r="B152" s="11" t="s">
        <v>168</v>
      </c>
      <c r="C152" s="11" t="s">
        <v>437</v>
      </c>
      <c r="D152" s="12">
        <v>35</v>
      </c>
      <c r="E152" s="11" t="s">
        <v>452</v>
      </c>
      <c r="F152" s="14" t="str">
        <f>_xlfn.XLOOKUP(E152,Profession!$B$2:$B$15,Profession!$A$2:$A$15,"Not Found")</f>
        <v>P005</v>
      </c>
      <c r="G152" s="11" t="s">
        <v>455</v>
      </c>
      <c r="H152" s="10" t="str">
        <f>_xlfn.XLOOKUP(G152,Region!$B$2:$B$16,Region!$A$2:$A$16,"Not Found")</f>
        <v>R006</v>
      </c>
      <c r="I152" s="10" t="s">
        <v>420</v>
      </c>
      <c r="J152" s="10" t="s">
        <v>420</v>
      </c>
      <c r="K152" s="10" t="s">
        <v>434</v>
      </c>
      <c r="L152" s="10" t="s">
        <v>1058</v>
      </c>
      <c r="M152" s="16" t="s">
        <v>422</v>
      </c>
      <c r="N152" s="10" t="s">
        <v>106</v>
      </c>
      <c r="O152" s="16" t="s">
        <v>436</v>
      </c>
      <c r="P152" s="11" t="s">
        <v>422</v>
      </c>
      <c r="Q152" s="11" t="s">
        <v>435</v>
      </c>
      <c r="R152" s="11" t="s">
        <v>1071</v>
      </c>
      <c r="S152" s="10" t="s">
        <v>62</v>
      </c>
      <c r="T152" s="81">
        <v>6</v>
      </c>
      <c r="U152" s="10" t="s">
        <v>420</v>
      </c>
      <c r="V152" s="10" t="s">
        <v>2277</v>
      </c>
      <c r="X152" s="15">
        <v>8</v>
      </c>
      <c r="Y152" s="10" t="s">
        <v>42</v>
      </c>
      <c r="Z152" s="10" t="s">
        <v>2849</v>
      </c>
      <c r="AA152" s="10" t="s">
        <v>43</v>
      </c>
      <c r="AB152" s="10" t="s">
        <v>46</v>
      </c>
    </row>
    <row r="153" spans="1:28">
      <c r="A153" s="10" t="s">
        <v>636</v>
      </c>
      <c r="B153" s="11" t="s">
        <v>134</v>
      </c>
      <c r="C153" s="11" t="s">
        <v>437</v>
      </c>
      <c r="D153" s="12">
        <v>36</v>
      </c>
      <c r="E153" s="11" t="s">
        <v>452</v>
      </c>
      <c r="F153" s="14" t="str">
        <f>_xlfn.XLOOKUP(E153,Profession!$B$2:$B$15,Profession!$A$2:$A$15,"Not Found")</f>
        <v>P005</v>
      </c>
      <c r="G153" s="11" t="s">
        <v>1115</v>
      </c>
      <c r="H153" s="10" t="str">
        <f>_xlfn.XLOOKUP(G153,Region!$B$2:$B$16,Region!$A$2:$A$16,"Not Found")</f>
        <v>R002</v>
      </c>
      <c r="I153" s="10" t="s">
        <v>420</v>
      </c>
      <c r="J153" s="10" t="s">
        <v>420</v>
      </c>
      <c r="K153" s="10" t="s">
        <v>435</v>
      </c>
      <c r="L153" s="10" t="s">
        <v>1058</v>
      </c>
      <c r="M153" s="16" t="s">
        <v>429</v>
      </c>
      <c r="N153" s="10" t="s">
        <v>64</v>
      </c>
      <c r="O153" s="16" t="s">
        <v>433</v>
      </c>
      <c r="P153" s="11" t="s">
        <v>422</v>
      </c>
      <c r="Q153" s="11" t="s">
        <v>420</v>
      </c>
      <c r="R153" s="11" t="s">
        <v>1072</v>
      </c>
      <c r="S153" s="10" t="s">
        <v>2885</v>
      </c>
      <c r="T153" s="81">
        <v>6</v>
      </c>
      <c r="U153" s="10" t="s">
        <v>2273</v>
      </c>
      <c r="V153" s="10" t="s">
        <v>2277</v>
      </c>
      <c r="X153" s="15">
        <v>3</v>
      </c>
      <c r="Y153" s="10" t="s">
        <v>45</v>
      </c>
      <c r="Z153" s="10" t="s">
        <v>2849</v>
      </c>
      <c r="AA153" s="10" t="s">
        <v>37</v>
      </c>
      <c r="AB153" s="10" t="s">
        <v>149</v>
      </c>
    </row>
    <row r="154" spans="1:28">
      <c r="A154" s="10" t="s">
        <v>637</v>
      </c>
      <c r="B154" s="11" t="s">
        <v>169</v>
      </c>
      <c r="C154" s="11" t="s">
        <v>437</v>
      </c>
      <c r="D154" s="12">
        <v>37</v>
      </c>
      <c r="E154" s="11" t="s">
        <v>442</v>
      </c>
      <c r="F154" s="14" t="str">
        <f>_xlfn.XLOOKUP(E154,Profession!$B$2:$B$15,Profession!$A$2:$A$15,"Not Found")</f>
        <v>P002</v>
      </c>
      <c r="G154" s="11" t="s">
        <v>419</v>
      </c>
      <c r="H154" s="10" t="str">
        <f>_xlfn.XLOOKUP(G154,Region!$B$2:$B$16,Region!$A$2:$A$16,"Not Found")</f>
        <v>R001</v>
      </c>
      <c r="I154" s="10" t="s">
        <v>420</v>
      </c>
      <c r="J154" s="10" t="s">
        <v>420</v>
      </c>
      <c r="K154" s="10" t="s">
        <v>426</v>
      </c>
      <c r="L154" s="10" t="s">
        <v>1058</v>
      </c>
      <c r="M154" s="16" t="s">
        <v>422</v>
      </c>
      <c r="N154" s="10" t="s">
        <v>102</v>
      </c>
      <c r="O154" s="16" t="s">
        <v>426</v>
      </c>
      <c r="P154" s="11" t="s">
        <v>1059</v>
      </c>
      <c r="Q154" s="11" t="s">
        <v>422</v>
      </c>
      <c r="R154" s="11" t="s">
        <v>1062</v>
      </c>
      <c r="S154" s="10" t="s">
        <v>2884</v>
      </c>
      <c r="T154" s="81">
        <v>6.3008333333333297</v>
      </c>
      <c r="U154" s="10" t="s">
        <v>420</v>
      </c>
      <c r="V154" s="10" t="s">
        <v>2277</v>
      </c>
      <c r="X154" s="15">
        <v>4</v>
      </c>
      <c r="Y154" s="10" t="s">
        <v>36</v>
      </c>
      <c r="Z154" s="10" t="s">
        <v>2849</v>
      </c>
      <c r="AA154" s="10" t="s">
        <v>23</v>
      </c>
      <c r="AB154" s="10" t="s">
        <v>2843</v>
      </c>
    </row>
    <row r="155" spans="1:28">
      <c r="A155" s="10" t="s">
        <v>638</v>
      </c>
      <c r="B155" s="11" t="s">
        <v>120</v>
      </c>
      <c r="C155" s="11" t="s">
        <v>437</v>
      </c>
      <c r="D155" s="12">
        <v>38</v>
      </c>
      <c r="E155" s="11" t="s">
        <v>465</v>
      </c>
      <c r="F155" s="14" t="str">
        <f>_xlfn.XLOOKUP(E155,Profession!$B$2:$B$15,Profession!$A$2:$A$15,"Not Found")</f>
        <v>P010</v>
      </c>
      <c r="G155" s="11" t="s">
        <v>108</v>
      </c>
      <c r="H155" s="10" t="str">
        <f>_xlfn.XLOOKUP(G155,Region!$B$2:$B$16,Region!$A$2:$A$16,"Not Found")</f>
        <v>R010</v>
      </c>
      <c r="I155" s="10" t="s">
        <v>420</v>
      </c>
      <c r="J155" s="10" t="s">
        <v>420</v>
      </c>
      <c r="K155" s="10" t="s">
        <v>435</v>
      </c>
      <c r="L155" s="10" t="s">
        <v>1058</v>
      </c>
      <c r="M155" s="16" t="s">
        <v>422</v>
      </c>
      <c r="N155" s="10" t="s">
        <v>138</v>
      </c>
      <c r="O155" s="16" t="s">
        <v>450</v>
      </c>
      <c r="P155" s="11" t="s">
        <v>422</v>
      </c>
      <c r="Q155" s="11" t="s">
        <v>420</v>
      </c>
      <c r="R155" s="11" t="s">
        <v>107</v>
      </c>
      <c r="S155" s="10" t="s">
        <v>62</v>
      </c>
      <c r="T155" s="81">
        <v>7</v>
      </c>
      <c r="U155" s="10" t="s">
        <v>420</v>
      </c>
      <c r="V155" s="10" t="s">
        <v>450</v>
      </c>
      <c r="X155" s="15">
        <v>7</v>
      </c>
      <c r="Y155" s="10" t="s">
        <v>19</v>
      </c>
      <c r="Z155" s="10" t="s">
        <v>2849</v>
      </c>
      <c r="AA155" s="10" t="s">
        <v>23</v>
      </c>
      <c r="AB155" s="10" t="s">
        <v>2841</v>
      </c>
    </row>
    <row r="156" spans="1:28">
      <c r="A156" s="10" t="s">
        <v>639</v>
      </c>
      <c r="B156" s="11" t="s">
        <v>88</v>
      </c>
      <c r="C156" s="11" t="s">
        <v>437</v>
      </c>
      <c r="D156" s="12">
        <v>39</v>
      </c>
      <c r="E156" s="11" t="s">
        <v>458</v>
      </c>
      <c r="F156" s="14" t="str">
        <f>_xlfn.XLOOKUP(E156,Profession!$B$2:$B$15,Profession!$A$2:$A$15,"Not Found")</f>
        <v>P006</v>
      </c>
      <c r="G156" s="11" t="s">
        <v>1115</v>
      </c>
      <c r="H156" s="10" t="str">
        <f>_xlfn.XLOOKUP(G156,Region!$B$2:$B$16,Region!$A$2:$A$16,"Not Found")</f>
        <v>R002</v>
      </c>
      <c r="I156" s="10" t="s">
        <v>420</v>
      </c>
      <c r="J156" s="10" t="s">
        <v>420</v>
      </c>
      <c r="K156" s="10" t="s">
        <v>434</v>
      </c>
      <c r="L156" s="10" t="s">
        <v>1058</v>
      </c>
      <c r="M156" s="16" t="s">
        <v>432</v>
      </c>
      <c r="N156" s="10" t="s">
        <v>64</v>
      </c>
      <c r="O156" s="16" t="s">
        <v>433</v>
      </c>
      <c r="P156" s="11" t="s">
        <v>422</v>
      </c>
      <c r="Q156" s="11" t="s">
        <v>1061</v>
      </c>
      <c r="R156" s="11" t="s">
        <v>1065</v>
      </c>
      <c r="S156" s="10" t="s">
        <v>62</v>
      </c>
      <c r="T156" s="81">
        <v>6</v>
      </c>
      <c r="U156" s="10" t="s">
        <v>2274</v>
      </c>
      <c r="V156" s="10" t="s">
        <v>450</v>
      </c>
      <c r="X156" s="15">
        <v>3</v>
      </c>
      <c r="Y156" s="10" t="s">
        <v>49</v>
      </c>
      <c r="Z156" s="10" t="s">
        <v>2849</v>
      </c>
      <c r="AA156" s="10" t="s">
        <v>37</v>
      </c>
      <c r="AB156" s="10" t="s">
        <v>46</v>
      </c>
    </row>
    <row r="157" spans="1:28">
      <c r="A157" s="10" t="s">
        <v>640</v>
      </c>
      <c r="B157" s="11" t="s">
        <v>170</v>
      </c>
      <c r="C157" s="11" t="s">
        <v>437</v>
      </c>
      <c r="D157" s="12">
        <v>40</v>
      </c>
      <c r="E157" s="11" t="s">
        <v>1054</v>
      </c>
      <c r="F157" s="14" t="str">
        <f>_xlfn.XLOOKUP(E157,Profession!$B$2:$B$15,Profession!$A$2:$A$15,"Not Found")</f>
        <v>P013</v>
      </c>
      <c r="G157" s="11" t="s">
        <v>1110</v>
      </c>
      <c r="H157" s="10" t="str">
        <f>_xlfn.XLOOKUP(G157,Region!$B$2:$B$16,Region!$A$2:$A$16,"Not Found")</f>
        <v>R013</v>
      </c>
      <c r="I157" s="10" t="s">
        <v>420</v>
      </c>
      <c r="J157" s="10" t="s">
        <v>420</v>
      </c>
      <c r="K157" s="10" t="s">
        <v>435</v>
      </c>
      <c r="L157" s="10" t="s">
        <v>1058</v>
      </c>
      <c r="M157" s="16" t="s">
        <v>422</v>
      </c>
      <c r="N157" s="10" t="s">
        <v>138</v>
      </c>
      <c r="O157" s="16" t="s">
        <v>433</v>
      </c>
      <c r="P157" s="11" t="s">
        <v>435</v>
      </c>
      <c r="Q157" s="11" t="s">
        <v>420</v>
      </c>
      <c r="R157" s="11" t="s">
        <v>1067</v>
      </c>
      <c r="S157" s="10" t="s">
        <v>62</v>
      </c>
      <c r="T157" s="81">
        <v>6</v>
      </c>
      <c r="U157" s="10" t="s">
        <v>420</v>
      </c>
      <c r="V157" s="10" t="s">
        <v>450</v>
      </c>
      <c r="X157" s="15">
        <v>6</v>
      </c>
      <c r="Y157" s="10" t="s">
        <v>75</v>
      </c>
      <c r="Z157" s="10" t="s">
        <v>2847</v>
      </c>
      <c r="AA157" s="10" t="s">
        <v>70</v>
      </c>
      <c r="AB157" s="10" t="s">
        <v>149</v>
      </c>
    </row>
    <row r="158" spans="1:28">
      <c r="A158" s="10" t="s">
        <v>641</v>
      </c>
      <c r="B158" s="11" t="s">
        <v>171</v>
      </c>
      <c r="C158" s="11" t="s">
        <v>437</v>
      </c>
      <c r="D158" s="12">
        <v>41</v>
      </c>
      <c r="E158" s="11" t="s">
        <v>446</v>
      </c>
      <c r="F158" s="14" t="str">
        <f>_xlfn.XLOOKUP(E158,Profession!$B$2:$B$15,Profession!$A$2:$A$15,"Not Found")</f>
        <v>P003</v>
      </c>
      <c r="G158" s="11" t="s">
        <v>104</v>
      </c>
      <c r="H158" s="10" t="str">
        <f>_xlfn.XLOOKUP(G158,Region!$B$2:$B$16,Region!$A$2:$A$16,"Not Found")</f>
        <v>R003</v>
      </c>
      <c r="I158" s="10" t="s">
        <v>420</v>
      </c>
      <c r="J158" s="10" t="s">
        <v>420</v>
      </c>
      <c r="K158" s="10" t="s">
        <v>435</v>
      </c>
      <c r="L158" s="10" t="s">
        <v>1058</v>
      </c>
      <c r="M158" s="16" t="s">
        <v>422</v>
      </c>
      <c r="N158" s="10" t="s">
        <v>138</v>
      </c>
      <c r="O158" s="16" t="s">
        <v>433</v>
      </c>
      <c r="P158" s="11" t="s">
        <v>422</v>
      </c>
      <c r="Q158" s="11" t="s">
        <v>420</v>
      </c>
      <c r="R158" s="11" t="s">
        <v>1070</v>
      </c>
      <c r="S158" s="10" t="s">
        <v>62</v>
      </c>
      <c r="T158" s="81">
        <v>8</v>
      </c>
      <c r="U158" s="10" t="s">
        <v>420</v>
      </c>
      <c r="V158" s="10" t="s">
        <v>2277</v>
      </c>
      <c r="X158" s="15">
        <v>5</v>
      </c>
      <c r="Y158" s="10" t="s">
        <v>19</v>
      </c>
      <c r="Z158" s="10" t="s">
        <v>2849</v>
      </c>
      <c r="AA158" s="10" t="s">
        <v>23</v>
      </c>
      <c r="AB158" s="10" t="s">
        <v>28</v>
      </c>
    </row>
    <row r="159" spans="1:28">
      <c r="A159" s="10" t="s">
        <v>642</v>
      </c>
      <c r="B159" s="11" t="s">
        <v>89</v>
      </c>
      <c r="C159" s="11" t="s">
        <v>437</v>
      </c>
      <c r="D159" s="12">
        <v>42</v>
      </c>
      <c r="E159" s="11" t="s">
        <v>1088</v>
      </c>
      <c r="F159" s="14" t="str">
        <f>_xlfn.XLOOKUP(E159,Profession!$B$2:$B$15,Profession!$A$2:$A$15,"Not Found")</f>
        <v>P014</v>
      </c>
      <c r="G159" s="11" t="s">
        <v>1114</v>
      </c>
      <c r="H159" s="10" t="str">
        <f>_xlfn.XLOOKUP(G159,Region!$B$2:$B$16,Region!$A$2:$A$16,"Not Found")</f>
        <v>R014</v>
      </c>
      <c r="I159" s="10" t="s">
        <v>420</v>
      </c>
      <c r="J159" s="10" t="s">
        <v>420</v>
      </c>
      <c r="K159" s="10" t="s">
        <v>435</v>
      </c>
      <c r="L159" s="10" t="s">
        <v>1058</v>
      </c>
      <c r="M159" s="16" t="s">
        <v>422</v>
      </c>
      <c r="N159" s="10" t="s">
        <v>138</v>
      </c>
      <c r="O159" s="16" t="s">
        <v>433</v>
      </c>
      <c r="P159" s="11" t="s">
        <v>422</v>
      </c>
      <c r="Q159" s="11" t="s">
        <v>1061</v>
      </c>
      <c r="R159" s="11" t="s">
        <v>1067</v>
      </c>
      <c r="S159" s="10" t="s">
        <v>62</v>
      </c>
      <c r="T159" s="81">
        <v>6</v>
      </c>
      <c r="U159" s="10" t="s">
        <v>420</v>
      </c>
      <c r="V159" s="10" t="s">
        <v>450</v>
      </c>
      <c r="X159" s="15">
        <v>6</v>
      </c>
      <c r="Y159" s="10" t="s">
        <v>77</v>
      </c>
      <c r="Z159" s="10" t="s">
        <v>2282</v>
      </c>
      <c r="AA159" s="10" t="s">
        <v>23</v>
      </c>
      <c r="AB159" s="10" t="s">
        <v>46</v>
      </c>
    </row>
    <row r="160" spans="1:28">
      <c r="A160" s="10" t="s">
        <v>643</v>
      </c>
      <c r="B160" s="11" t="s">
        <v>172</v>
      </c>
      <c r="C160" s="11" t="s">
        <v>437</v>
      </c>
      <c r="D160" s="12">
        <v>43</v>
      </c>
      <c r="E160" s="11" t="s">
        <v>1088</v>
      </c>
      <c r="F160" s="14" t="str">
        <f>_xlfn.XLOOKUP(E160,Profession!$B$2:$B$15,Profession!$A$2:$A$15,"Not Found")</f>
        <v>P014</v>
      </c>
      <c r="G160" s="11" t="s">
        <v>477</v>
      </c>
      <c r="H160" s="10" t="str">
        <f>_xlfn.XLOOKUP(G160,Region!$B$2:$B$16,Region!$A$2:$A$16,"Not Found")</f>
        <v>R015</v>
      </c>
      <c r="I160" s="10" t="s">
        <v>420</v>
      </c>
      <c r="J160" s="10" t="s">
        <v>420</v>
      </c>
      <c r="K160" s="10" t="s">
        <v>435</v>
      </c>
      <c r="L160" s="10" t="s">
        <v>1058</v>
      </c>
      <c r="M160" s="16" t="s">
        <v>422</v>
      </c>
      <c r="N160" s="10" t="s">
        <v>138</v>
      </c>
      <c r="O160" s="16" t="s">
        <v>433</v>
      </c>
      <c r="P160" s="11" t="s">
        <v>435</v>
      </c>
      <c r="Q160" s="11" t="s">
        <v>1061</v>
      </c>
      <c r="R160" s="11" t="s">
        <v>1068</v>
      </c>
      <c r="S160" s="10" t="s">
        <v>62</v>
      </c>
      <c r="T160" s="81">
        <v>8</v>
      </c>
      <c r="U160" s="10" t="s">
        <v>420</v>
      </c>
      <c r="V160" s="10" t="s">
        <v>450</v>
      </c>
      <c r="X160" s="15">
        <v>6</v>
      </c>
      <c r="Y160" s="10" t="s">
        <v>36</v>
      </c>
      <c r="Z160" s="10" t="s">
        <v>2849</v>
      </c>
      <c r="AA160" s="10" t="s">
        <v>23</v>
      </c>
      <c r="AB160" s="10" t="s">
        <v>2841</v>
      </c>
    </row>
    <row r="161" spans="1:28">
      <c r="A161" s="10" t="s">
        <v>644</v>
      </c>
      <c r="B161" s="11" t="s">
        <v>173</v>
      </c>
      <c r="C161" s="11" t="s">
        <v>437</v>
      </c>
      <c r="D161" s="12">
        <v>20</v>
      </c>
      <c r="E161" s="11" t="s">
        <v>418</v>
      </c>
      <c r="F161" s="14" t="str">
        <f>_xlfn.XLOOKUP(E161,Profession!$B$2:$B$15,Profession!$A$2:$A$15,"Not Found")</f>
        <v>P001</v>
      </c>
      <c r="G161" s="11" t="s">
        <v>419</v>
      </c>
      <c r="H161" s="10" t="str">
        <f>_xlfn.XLOOKUP(G161,Region!$B$2:$B$16,Region!$A$2:$A$16,"Not Found")</f>
        <v>R001</v>
      </c>
      <c r="I161" s="10" t="s">
        <v>420</v>
      </c>
      <c r="J161" s="10" t="s">
        <v>420</v>
      </c>
      <c r="K161" s="10" t="s">
        <v>435</v>
      </c>
      <c r="L161" s="10" t="s">
        <v>1057</v>
      </c>
      <c r="M161" s="16" t="s">
        <v>422</v>
      </c>
      <c r="N161" s="10" t="s">
        <v>26</v>
      </c>
      <c r="O161" s="16" t="s">
        <v>423</v>
      </c>
      <c r="P161" s="11" t="s">
        <v>1059</v>
      </c>
      <c r="Q161" s="11" t="s">
        <v>422</v>
      </c>
      <c r="R161" s="11" t="s">
        <v>1062</v>
      </c>
      <c r="S161" s="10" t="s">
        <v>2884</v>
      </c>
      <c r="T161" s="81">
        <v>7</v>
      </c>
      <c r="U161" s="10" t="s">
        <v>420</v>
      </c>
      <c r="V161" s="10" t="s">
        <v>2278</v>
      </c>
      <c r="X161" s="15">
        <v>3</v>
      </c>
      <c r="Y161" s="10" t="s">
        <v>27</v>
      </c>
      <c r="Z161" s="10" t="s">
        <v>2849</v>
      </c>
      <c r="AA161" s="10" t="s">
        <v>23</v>
      </c>
      <c r="AB161" s="10" t="s">
        <v>24</v>
      </c>
    </row>
    <row r="162" spans="1:28">
      <c r="A162" s="10" t="s">
        <v>645</v>
      </c>
      <c r="B162" s="11" t="s">
        <v>174</v>
      </c>
      <c r="C162" s="11" t="s">
        <v>437</v>
      </c>
      <c r="D162" s="12">
        <v>21</v>
      </c>
      <c r="E162" s="11" t="s">
        <v>465</v>
      </c>
      <c r="F162" s="14" t="str">
        <f>_xlfn.XLOOKUP(E162,Profession!$B$2:$B$15,Profession!$A$2:$A$15,"Not Found")</f>
        <v>P010</v>
      </c>
      <c r="G162" s="11" t="s">
        <v>1115</v>
      </c>
      <c r="H162" s="10" t="str">
        <f>_xlfn.XLOOKUP(G162,Region!$B$2:$B$16,Region!$A$2:$A$16,"Not Found")</f>
        <v>R002</v>
      </c>
      <c r="I162" s="10" t="s">
        <v>420</v>
      </c>
      <c r="J162" s="10" t="s">
        <v>420</v>
      </c>
      <c r="K162" s="10" t="s">
        <v>421</v>
      </c>
      <c r="L162" s="10" t="s">
        <v>1058</v>
      </c>
      <c r="M162" s="16" t="s">
        <v>422</v>
      </c>
      <c r="N162" s="10" t="s">
        <v>138</v>
      </c>
      <c r="O162" s="16" t="s">
        <v>450</v>
      </c>
      <c r="P162" s="11" t="s">
        <v>422</v>
      </c>
      <c r="Q162" s="11" t="s">
        <v>420</v>
      </c>
      <c r="R162" s="11" t="s">
        <v>1065</v>
      </c>
      <c r="S162" s="10" t="s">
        <v>62</v>
      </c>
      <c r="T162" s="81">
        <v>8</v>
      </c>
      <c r="U162" s="10" t="s">
        <v>420</v>
      </c>
      <c r="V162" s="10" t="s">
        <v>450</v>
      </c>
      <c r="X162" s="15">
        <v>4</v>
      </c>
      <c r="Y162" s="10" t="s">
        <v>56</v>
      </c>
      <c r="Z162" s="10" t="s">
        <v>2849</v>
      </c>
      <c r="AA162" s="10" t="s">
        <v>23</v>
      </c>
      <c r="AB162" s="10" t="s">
        <v>2843</v>
      </c>
    </row>
    <row r="163" spans="1:28">
      <c r="A163" s="10" t="s">
        <v>646</v>
      </c>
      <c r="B163" s="11" t="s">
        <v>175</v>
      </c>
      <c r="C163" s="11" t="s">
        <v>437</v>
      </c>
      <c r="D163" s="12">
        <v>22</v>
      </c>
      <c r="E163" s="11" t="s">
        <v>442</v>
      </c>
      <c r="F163" s="14" t="str">
        <f>_xlfn.XLOOKUP(E163,Profession!$B$2:$B$15,Profession!$A$2:$A$15,"Not Found")</f>
        <v>P002</v>
      </c>
      <c r="G163" s="11" t="s">
        <v>419</v>
      </c>
      <c r="H163" s="10" t="str">
        <f>_xlfn.XLOOKUP(G163,Region!$B$2:$B$16,Region!$A$2:$A$16,"Not Found")</f>
        <v>R001</v>
      </c>
      <c r="I163" s="10" t="s">
        <v>420</v>
      </c>
      <c r="J163" s="10" t="s">
        <v>420</v>
      </c>
      <c r="K163" s="10" t="s">
        <v>435</v>
      </c>
      <c r="L163" s="10" t="s">
        <v>1058</v>
      </c>
      <c r="M163" s="16" t="s">
        <v>436</v>
      </c>
      <c r="N163" s="10" t="s">
        <v>138</v>
      </c>
      <c r="O163" s="16" t="s">
        <v>444</v>
      </c>
      <c r="P163" s="11" t="s">
        <v>422</v>
      </c>
      <c r="Q163" s="11" t="s">
        <v>1061</v>
      </c>
      <c r="R163" s="11" t="s">
        <v>1068</v>
      </c>
      <c r="S163" s="10" t="s">
        <v>62</v>
      </c>
      <c r="T163" s="81">
        <v>6</v>
      </c>
      <c r="U163" s="10" t="s">
        <v>420</v>
      </c>
      <c r="V163" s="10" t="s">
        <v>2277</v>
      </c>
      <c r="X163" s="15">
        <v>6</v>
      </c>
      <c r="Y163" s="10" t="s">
        <v>100</v>
      </c>
      <c r="Z163" s="10" t="s">
        <v>2849</v>
      </c>
      <c r="AA163" s="10" t="s">
        <v>37</v>
      </c>
      <c r="AB163" s="10" t="s">
        <v>2844</v>
      </c>
    </row>
    <row r="164" spans="1:28">
      <c r="A164" s="10" t="s">
        <v>647</v>
      </c>
      <c r="B164" s="11" t="s">
        <v>110</v>
      </c>
      <c r="C164" s="11" t="s">
        <v>437</v>
      </c>
      <c r="D164" s="12">
        <v>23</v>
      </c>
      <c r="E164" s="11" t="s">
        <v>462</v>
      </c>
      <c r="F164" s="14" t="str">
        <f>_xlfn.XLOOKUP(E164,Profession!$B$2:$B$15,Profession!$A$2:$A$15,"Not Found")</f>
        <v>P008</v>
      </c>
      <c r="G164" s="11" t="s">
        <v>1112</v>
      </c>
      <c r="H164" s="10" t="str">
        <f>_xlfn.XLOOKUP(G164,Region!$B$2:$B$16,Region!$A$2:$A$16,"Not Found")</f>
        <v>R008</v>
      </c>
      <c r="I164" s="10" t="s">
        <v>420</v>
      </c>
      <c r="J164" s="10" t="s">
        <v>420</v>
      </c>
      <c r="K164" s="10" t="s">
        <v>431</v>
      </c>
      <c r="L164" s="10" t="s">
        <v>1058</v>
      </c>
      <c r="M164" s="16" t="s">
        <v>422</v>
      </c>
      <c r="N164" s="10" t="s">
        <v>138</v>
      </c>
      <c r="O164" s="16" t="s">
        <v>450</v>
      </c>
      <c r="P164" s="11" t="s">
        <v>422</v>
      </c>
      <c r="Q164" s="11" t="s">
        <v>420</v>
      </c>
      <c r="R164" s="11" t="s">
        <v>107</v>
      </c>
      <c r="S164" s="10" t="s">
        <v>62</v>
      </c>
      <c r="T164" s="81">
        <v>7</v>
      </c>
      <c r="U164" s="10" t="s">
        <v>420</v>
      </c>
      <c r="V164" s="10" t="s">
        <v>450</v>
      </c>
      <c r="X164" s="15">
        <v>5</v>
      </c>
      <c r="Y164" s="10" t="s">
        <v>56</v>
      </c>
      <c r="Z164" s="10" t="s">
        <v>2849</v>
      </c>
      <c r="AA164" s="10" t="s">
        <v>23</v>
      </c>
      <c r="AB164" s="10" t="s">
        <v>2843</v>
      </c>
    </row>
    <row r="165" spans="1:28">
      <c r="A165" s="10" t="s">
        <v>648</v>
      </c>
      <c r="B165" s="11" t="s">
        <v>176</v>
      </c>
      <c r="C165" s="11" t="s">
        <v>437</v>
      </c>
      <c r="D165" s="12">
        <v>24</v>
      </c>
      <c r="E165" s="11" t="s">
        <v>473</v>
      </c>
      <c r="F165" s="14" t="str">
        <f>_xlfn.XLOOKUP(E165,Profession!$B$2:$B$15,Profession!$A$2:$A$15,"Not Found")</f>
        <v>P012</v>
      </c>
      <c r="G165" s="11" t="s">
        <v>1113</v>
      </c>
      <c r="H165" s="10" t="str">
        <f>_xlfn.XLOOKUP(G165,Region!$B$2:$B$16,Region!$A$2:$A$16,"Not Found")</f>
        <v>R012</v>
      </c>
      <c r="I165" s="10" t="s">
        <v>423</v>
      </c>
      <c r="J165" s="10" t="s">
        <v>423</v>
      </c>
      <c r="K165" s="10" t="s">
        <v>435</v>
      </c>
      <c r="L165" s="10" t="s">
        <v>1058</v>
      </c>
      <c r="M165" s="16" t="s">
        <v>422</v>
      </c>
      <c r="N165" s="10" t="s">
        <v>138</v>
      </c>
      <c r="O165" s="16" t="s">
        <v>444</v>
      </c>
      <c r="P165" s="11" t="s">
        <v>422</v>
      </c>
      <c r="Q165" s="11" t="s">
        <v>1061</v>
      </c>
      <c r="R165" s="11" t="s">
        <v>107</v>
      </c>
      <c r="S165" s="10" t="s">
        <v>62</v>
      </c>
      <c r="T165" s="81">
        <v>6</v>
      </c>
      <c r="U165" s="10" t="s">
        <v>420</v>
      </c>
      <c r="V165" s="10" t="s">
        <v>2277</v>
      </c>
      <c r="X165" s="15">
        <v>6</v>
      </c>
      <c r="Y165" s="10" t="s">
        <v>22</v>
      </c>
      <c r="Z165" s="10" t="s">
        <v>2846</v>
      </c>
      <c r="AA165" s="10" t="s">
        <v>23</v>
      </c>
      <c r="AB165" s="10" t="s">
        <v>2842</v>
      </c>
    </row>
    <row r="166" spans="1:28">
      <c r="A166" s="10" t="s">
        <v>649</v>
      </c>
      <c r="B166" s="11" t="s">
        <v>85</v>
      </c>
      <c r="C166" s="11" t="s">
        <v>437</v>
      </c>
      <c r="D166" s="12">
        <v>25</v>
      </c>
      <c r="E166" s="11" t="s">
        <v>1108</v>
      </c>
      <c r="F166" s="14" t="str">
        <f>_xlfn.XLOOKUP(E166,Profession!$B$2:$B$15,Profession!$A$2:$A$15,"Not Found")</f>
        <v>P011</v>
      </c>
      <c r="G166" s="11" t="s">
        <v>419</v>
      </c>
      <c r="H166" s="10" t="str">
        <f>_xlfn.XLOOKUP(G166,Region!$B$2:$B$16,Region!$A$2:$A$16,"Not Found")</f>
        <v>R001</v>
      </c>
      <c r="I166" s="10" t="s">
        <v>420</v>
      </c>
      <c r="J166" s="10" t="s">
        <v>420</v>
      </c>
      <c r="K166" s="10" t="s">
        <v>431</v>
      </c>
      <c r="L166" s="10" t="s">
        <v>1058</v>
      </c>
      <c r="M166" s="16" t="s">
        <v>422</v>
      </c>
      <c r="N166" s="10" t="s">
        <v>138</v>
      </c>
      <c r="O166" s="16" t="s">
        <v>444</v>
      </c>
      <c r="P166" s="11" t="s">
        <v>422</v>
      </c>
      <c r="Q166" s="11" t="s">
        <v>420</v>
      </c>
      <c r="R166" s="11" t="s">
        <v>1070</v>
      </c>
      <c r="S166" s="10" t="s">
        <v>62</v>
      </c>
      <c r="T166" s="81">
        <v>6</v>
      </c>
      <c r="U166" s="10" t="s">
        <v>420</v>
      </c>
      <c r="V166" s="10" t="s">
        <v>2277</v>
      </c>
      <c r="X166" s="15">
        <v>5</v>
      </c>
      <c r="Y166" s="10" t="s">
        <v>58</v>
      </c>
      <c r="Z166" s="10" t="s">
        <v>2849</v>
      </c>
      <c r="AA166" s="10" t="s">
        <v>23</v>
      </c>
      <c r="AB166" s="10" t="s">
        <v>2843</v>
      </c>
    </row>
    <row r="167" spans="1:28">
      <c r="A167" s="10" t="s">
        <v>650</v>
      </c>
      <c r="B167" s="11" t="s">
        <v>177</v>
      </c>
      <c r="C167" s="11" t="s">
        <v>437</v>
      </c>
      <c r="D167" s="12">
        <v>26</v>
      </c>
      <c r="E167" s="11" t="s">
        <v>459</v>
      </c>
      <c r="F167" s="14" t="str">
        <f>_xlfn.XLOOKUP(E167,Profession!$B$2:$B$15,Profession!$A$2:$A$15,"Not Found")</f>
        <v>P007</v>
      </c>
      <c r="G167" s="11" t="s">
        <v>419</v>
      </c>
      <c r="H167" s="10" t="str">
        <f>_xlfn.XLOOKUP(G167,Region!$B$2:$B$16,Region!$A$2:$A$16,"Not Found")</f>
        <v>R001</v>
      </c>
      <c r="I167" s="10" t="s">
        <v>420</v>
      </c>
      <c r="J167" s="10" t="s">
        <v>420</v>
      </c>
      <c r="K167" s="10" t="s">
        <v>421</v>
      </c>
      <c r="L167" s="10" t="s">
        <v>1058</v>
      </c>
      <c r="M167" s="16" t="s">
        <v>422</v>
      </c>
      <c r="N167" s="10" t="s">
        <v>19</v>
      </c>
      <c r="O167" s="16" t="s">
        <v>444</v>
      </c>
      <c r="P167" s="11" t="s">
        <v>422</v>
      </c>
      <c r="Q167" s="11" t="s">
        <v>420</v>
      </c>
      <c r="R167" s="11" t="s">
        <v>1070</v>
      </c>
      <c r="S167" s="10" t="s">
        <v>62</v>
      </c>
      <c r="T167" s="81">
        <v>8</v>
      </c>
      <c r="U167" s="10" t="s">
        <v>420</v>
      </c>
      <c r="V167" s="10" t="s">
        <v>450</v>
      </c>
      <c r="X167" s="15">
        <v>4</v>
      </c>
      <c r="Y167" s="10" t="s">
        <v>36</v>
      </c>
      <c r="Z167" s="10" t="s">
        <v>2849</v>
      </c>
      <c r="AA167" s="10" t="s">
        <v>37</v>
      </c>
      <c r="AB167" s="10" t="s">
        <v>24</v>
      </c>
    </row>
    <row r="168" spans="1:28">
      <c r="A168" s="10" t="s">
        <v>651</v>
      </c>
      <c r="B168" s="11" t="s">
        <v>178</v>
      </c>
      <c r="C168" s="11" t="s">
        <v>437</v>
      </c>
      <c r="D168" s="12">
        <v>27</v>
      </c>
      <c r="E168" s="11" t="s">
        <v>418</v>
      </c>
      <c r="F168" s="14" t="str">
        <f>_xlfn.XLOOKUP(E168,Profession!$B$2:$B$15,Profession!$A$2:$A$15,"Not Found")</f>
        <v>P001</v>
      </c>
      <c r="G168" s="11" t="s">
        <v>1115</v>
      </c>
      <c r="H168" s="10" t="str">
        <f>_xlfn.XLOOKUP(G168,Region!$B$2:$B$16,Region!$A$2:$A$16,"Not Found")</f>
        <v>R002</v>
      </c>
      <c r="I168" s="10" t="s">
        <v>420</v>
      </c>
      <c r="J168" s="10" t="s">
        <v>420</v>
      </c>
      <c r="K168" s="10" t="s">
        <v>435</v>
      </c>
      <c r="L168" s="10" t="s">
        <v>1058</v>
      </c>
      <c r="M168" s="16" t="s">
        <v>432</v>
      </c>
      <c r="N168" s="10" t="s">
        <v>138</v>
      </c>
      <c r="O168" s="16" t="s">
        <v>433</v>
      </c>
      <c r="P168" s="11" t="s">
        <v>422</v>
      </c>
      <c r="Q168" s="11" t="s">
        <v>1061</v>
      </c>
      <c r="R168" s="11" t="s">
        <v>1065</v>
      </c>
      <c r="S168" s="10" t="s">
        <v>62</v>
      </c>
      <c r="T168" s="81">
        <v>8</v>
      </c>
      <c r="U168" s="10" t="s">
        <v>420</v>
      </c>
      <c r="V168" s="10" t="s">
        <v>2277</v>
      </c>
      <c r="X168" s="15">
        <v>5</v>
      </c>
      <c r="Y168" s="10" t="s">
        <v>27</v>
      </c>
      <c r="Z168" s="10" t="s">
        <v>2849</v>
      </c>
      <c r="AA168" s="10" t="s">
        <v>23</v>
      </c>
      <c r="AB168" s="10" t="s">
        <v>2841</v>
      </c>
    </row>
    <row r="169" spans="1:28">
      <c r="A169" s="10" t="s">
        <v>652</v>
      </c>
      <c r="B169" s="11" t="s">
        <v>91</v>
      </c>
      <c r="C169" s="11" t="s">
        <v>437</v>
      </c>
      <c r="D169" s="12">
        <v>28</v>
      </c>
      <c r="E169" s="11" t="s">
        <v>452</v>
      </c>
      <c r="F169" s="14" t="str">
        <f>_xlfn.XLOOKUP(E169,Profession!$B$2:$B$15,Profession!$A$2:$A$15,"Not Found")</f>
        <v>P005</v>
      </c>
      <c r="G169" s="11" t="s">
        <v>453</v>
      </c>
      <c r="H169" s="10" t="str">
        <f>_xlfn.XLOOKUP(G169,Region!$B$2:$B$16,Region!$A$2:$A$16,"Not Found")</f>
        <v>R005</v>
      </c>
      <c r="I169" s="10" t="s">
        <v>420</v>
      </c>
      <c r="J169" s="10" t="s">
        <v>420</v>
      </c>
      <c r="K169" s="10" t="s">
        <v>434</v>
      </c>
      <c r="L169" s="10" t="s">
        <v>1058</v>
      </c>
      <c r="M169" s="16" t="s">
        <v>422</v>
      </c>
      <c r="N169" s="10" t="s">
        <v>105</v>
      </c>
      <c r="O169" s="16" t="s">
        <v>433</v>
      </c>
      <c r="P169" s="11" t="s">
        <v>422</v>
      </c>
      <c r="Q169" s="11" t="s">
        <v>434</v>
      </c>
      <c r="R169" s="11" t="s">
        <v>1068</v>
      </c>
      <c r="S169" s="10" t="s">
        <v>62</v>
      </c>
      <c r="T169" s="81">
        <v>7</v>
      </c>
      <c r="U169" s="10" t="s">
        <v>2272</v>
      </c>
      <c r="V169" s="10" t="s">
        <v>450</v>
      </c>
      <c r="X169" s="15">
        <v>5</v>
      </c>
      <c r="Y169" s="10" t="s">
        <v>40</v>
      </c>
      <c r="Z169" s="10" t="s">
        <v>2280</v>
      </c>
      <c r="AA169" s="10" t="s">
        <v>37</v>
      </c>
      <c r="AB169" s="10" t="s">
        <v>24</v>
      </c>
    </row>
    <row r="170" spans="1:28">
      <c r="A170" s="10" t="s">
        <v>653</v>
      </c>
      <c r="B170" s="11" t="s">
        <v>179</v>
      </c>
      <c r="C170" s="11" t="s">
        <v>437</v>
      </c>
      <c r="D170" s="12">
        <v>29</v>
      </c>
      <c r="E170" s="11" t="s">
        <v>465</v>
      </c>
      <c r="F170" s="14" t="str">
        <f>_xlfn.XLOOKUP(E170,Profession!$B$2:$B$15,Profession!$A$2:$A$15,"Not Found")</f>
        <v>P010</v>
      </c>
      <c r="G170" s="11" t="s">
        <v>467</v>
      </c>
      <c r="H170" s="10" t="str">
        <f>_xlfn.XLOOKUP(G170,Region!$B$2:$B$16,Region!$A$2:$A$16,"Not Found")</f>
        <v>R009</v>
      </c>
      <c r="I170" s="10" t="s">
        <v>420</v>
      </c>
      <c r="J170" s="10" t="s">
        <v>420</v>
      </c>
      <c r="K170" s="10" t="s">
        <v>434</v>
      </c>
      <c r="L170" s="10" t="s">
        <v>1058</v>
      </c>
      <c r="M170" s="16" t="s">
        <v>422</v>
      </c>
      <c r="N170" s="10" t="s">
        <v>138</v>
      </c>
      <c r="O170" s="16" t="s">
        <v>444</v>
      </c>
      <c r="P170" s="11" t="s">
        <v>422</v>
      </c>
      <c r="Q170" s="11" t="s">
        <v>420</v>
      </c>
      <c r="R170" s="11" t="s">
        <v>1070</v>
      </c>
      <c r="S170" s="10" t="s">
        <v>62</v>
      </c>
      <c r="T170" s="81">
        <v>6</v>
      </c>
      <c r="U170" s="10" t="s">
        <v>420</v>
      </c>
      <c r="V170" s="10" t="s">
        <v>2277</v>
      </c>
      <c r="X170" s="15">
        <v>4</v>
      </c>
      <c r="Y170" s="10" t="s">
        <v>56</v>
      </c>
      <c r="Z170" s="10" t="s">
        <v>2849</v>
      </c>
      <c r="AA170" s="10" t="s">
        <v>23</v>
      </c>
      <c r="AB170" s="10" t="s">
        <v>2843</v>
      </c>
    </row>
    <row r="171" spans="1:28">
      <c r="A171" s="10" t="s">
        <v>654</v>
      </c>
      <c r="B171" s="11" t="s">
        <v>116</v>
      </c>
      <c r="C171" s="11" t="s">
        <v>437</v>
      </c>
      <c r="D171" s="12">
        <v>30</v>
      </c>
      <c r="E171" s="11" t="s">
        <v>448</v>
      </c>
      <c r="F171" s="14" t="str">
        <f>_xlfn.XLOOKUP(E171,Profession!$B$2:$B$15,Profession!$A$2:$A$15,"Not Found")</f>
        <v>P004</v>
      </c>
      <c r="G171" s="11" t="s">
        <v>1111</v>
      </c>
      <c r="H171" s="10" t="str">
        <f>_xlfn.XLOOKUP(G171,Region!$B$2:$B$16,Region!$A$2:$A$16,"Not Found")</f>
        <v>R004</v>
      </c>
      <c r="I171" s="10" t="s">
        <v>420</v>
      </c>
      <c r="J171" s="10" t="s">
        <v>420</v>
      </c>
      <c r="K171" s="10" t="s">
        <v>431</v>
      </c>
      <c r="L171" s="10" t="s">
        <v>1057</v>
      </c>
      <c r="M171" s="16" t="s">
        <v>432</v>
      </c>
      <c r="N171" s="10" t="s">
        <v>138</v>
      </c>
      <c r="O171" s="16" t="s">
        <v>444</v>
      </c>
      <c r="P171" s="11" t="s">
        <v>422</v>
      </c>
      <c r="Q171" s="11" t="s">
        <v>420</v>
      </c>
      <c r="R171" s="11" t="s">
        <v>1070</v>
      </c>
      <c r="S171" s="10" t="s">
        <v>62</v>
      </c>
      <c r="T171" s="81">
        <v>8</v>
      </c>
      <c r="U171" s="10" t="s">
        <v>420</v>
      </c>
      <c r="V171" s="10" t="s">
        <v>450</v>
      </c>
      <c r="X171" s="15">
        <v>4</v>
      </c>
      <c r="Y171" s="10" t="s">
        <v>56</v>
      </c>
      <c r="Z171" s="10" t="s">
        <v>2849</v>
      </c>
      <c r="AA171" s="10" t="s">
        <v>23</v>
      </c>
      <c r="AB171" s="10" t="s">
        <v>46</v>
      </c>
    </row>
    <row r="172" spans="1:28">
      <c r="A172" s="10" t="s">
        <v>655</v>
      </c>
      <c r="B172" s="11" t="s">
        <v>123</v>
      </c>
      <c r="C172" s="11" t="s">
        <v>437</v>
      </c>
      <c r="D172" s="12">
        <v>31</v>
      </c>
      <c r="E172" s="11" t="s">
        <v>448</v>
      </c>
      <c r="F172" s="14" t="str">
        <f>_xlfn.XLOOKUP(E172,Profession!$B$2:$B$15,Profession!$A$2:$A$15,"Not Found")</f>
        <v>P004</v>
      </c>
      <c r="G172" s="11" t="s">
        <v>1111</v>
      </c>
      <c r="H172" s="10" t="str">
        <f>_xlfn.XLOOKUP(G172,Region!$B$2:$B$16,Region!$A$2:$A$16,"Not Found")</f>
        <v>R004</v>
      </c>
      <c r="I172" s="10" t="s">
        <v>420</v>
      </c>
      <c r="J172" s="10" t="s">
        <v>420</v>
      </c>
      <c r="K172" s="10" t="s">
        <v>431</v>
      </c>
      <c r="L172" s="10" t="s">
        <v>1058</v>
      </c>
      <c r="M172" s="16" t="s">
        <v>432</v>
      </c>
      <c r="N172" s="10" t="s">
        <v>138</v>
      </c>
      <c r="O172" s="16" t="s">
        <v>450</v>
      </c>
      <c r="P172" s="11" t="s">
        <v>422</v>
      </c>
      <c r="Q172" s="11" t="s">
        <v>420</v>
      </c>
      <c r="R172" s="11" t="s">
        <v>107</v>
      </c>
      <c r="S172" s="10" t="s">
        <v>62</v>
      </c>
      <c r="T172" s="81">
        <v>7</v>
      </c>
      <c r="U172" s="10" t="s">
        <v>420</v>
      </c>
      <c r="V172" s="10" t="s">
        <v>450</v>
      </c>
      <c r="X172" s="15">
        <v>4</v>
      </c>
      <c r="Y172" s="10" t="s">
        <v>56</v>
      </c>
      <c r="Z172" s="10" t="s">
        <v>2849</v>
      </c>
      <c r="AA172" s="10" t="s">
        <v>23</v>
      </c>
      <c r="AB172" s="10" t="s">
        <v>46</v>
      </c>
    </row>
    <row r="173" spans="1:28">
      <c r="A173" s="10" t="s">
        <v>656</v>
      </c>
      <c r="B173" s="11" t="s">
        <v>180</v>
      </c>
      <c r="C173" s="11" t="s">
        <v>437</v>
      </c>
      <c r="D173" s="12">
        <v>32</v>
      </c>
      <c r="E173" s="11" t="s">
        <v>465</v>
      </c>
      <c r="F173" s="14" t="str">
        <f>_xlfn.XLOOKUP(E173,Profession!$B$2:$B$15,Profession!$A$2:$A$15,"Not Found")</f>
        <v>P010</v>
      </c>
      <c r="G173" s="11" t="s">
        <v>419</v>
      </c>
      <c r="H173" s="10" t="str">
        <f>_xlfn.XLOOKUP(G173,Region!$B$2:$B$16,Region!$A$2:$A$16,"Not Found")</f>
        <v>R001</v>
      </c>
      <c r="I173" s="10" t="s">
        <v>423</v>
      </c>
      <c r="J173" s="10" t="s">
        <v>423</v>
      </c>
      <c r="K173" s="10" t="s">
        <v>434</v>
      </c>
      <c r="L173" s="10" t="s">
        <v>1058</v>
      </c>
      <c r="M173" s="16" t="s">
        <v>422</v>
      </c>
      <c r="N173" s="10" t="s">
        <v>138</v>
      </c>
      <c r="O173" s="16" t="s">
        <v>444</v>
      </c>
      <c r="P173" s="11" t="s">
        <v>422</v>
      </c>
      <c r="Q173" s="11" t="s">
        <v>420</v>
      </c>
      <c r="R173" s="11" t="s">
        <v>1065</v>
      </c>
      <c r="S173" s="10" t="s">
        <v>62</v>
      </c>
      <c r="T173" s="81">
        <v>8</v>
      </c>
      <c r="U173" s="10" t="s">
        <v>420</v>
      </c>
      <c r="V173" s="10" t="s">
        <v>450</v>
      </c>
      <c r="X173" s="15">
        <v>7</v>
      </c>
      <c r="Y173" s="10" t="s">
        <v>100</v>
      </c>
      <c r="Z173" s="10" t="s">
        <v>2849</v>
      </c>
      <c r="AA173" s="10" t="s">
        <v>23</v>
      </c>
      <c r="AB173" s="10" t="s">
        <v>2843</v>
      </c>
    </row>
    <row r="174" spans="1:28">
      <c r="A174" s="10" t="s">
        <v>657</v>
      </c>
      <c r="B174" s="11" t="s">
        <v>181</v>
      </c>
      <c r="C174" s="11" t="s">
        <v>437</v>
      </c>
      <c r="D174" s="12">
        <v>33</v>
      </c>
      <c r="E174" s="11" t="s">
        <v>462</v>
      </c>
      <c r="F174" s="14" t="str">
        <f>_xlfn.XLOOKUP(E174,Profession!$B$2:$B$15,Profession!$A$2:$A$15,"Not Found")</f>
        <v>P008</v>
      </c>
      <c r="G174" s="11" t="s">
        <v>464</v>
      </c>
      <c r="H174" s="10" t="str">
        <f>_xlfn.XLOOKUP(G174,Region!$B$2:$B$16,Region!$A$2:$A$16,"Not Found")</f>
        <v>R007</v>
      </c>
      <c r="I174" s="10" t="s">
        <v>423</v>
      </c>
      <c r="J174" s="10" t="s">
        <v>423</v>
      </c>
      <c r="K174" s="10" t="s">
        <v>435</v>
      </c>
      <c r="L174" s="10" t="s">
        <v>1058</v>
      </c>
      <c r="M174" s="16" t="s">
        <v>436</v>
      </c>
      <c r="N174" s="10" t="s">
        <v>138</v>
      </c>
      <c r="O174" s="16" t="s">
        <v>450</v>
      </c>
      <c r="P174" s="11" t="s">
        <v>422</v>
      </c>
      <c r="Q174" s="11" t="s">
        <v>420</v>
      </c>
      <c r="R174" s="11" t="s">
        <v>107</v>
      </c>
      <c r="S174" s="10" t="s">
        <v>62</v>
      </c>
      <c r="T174" s="81">
        <v>5</v>
      </c>
      <c r="U174" s="10" t="s">
        <v>2275</v>
      </c>
      <c r="V174" s="10" t="s">
        <v>450</v>
      </c>
      <c r="X174" s="15">
        <v>5</v>
      </c>
      <c r="Y174" s="10" t="s">
        <v>54</v>
      </c>
      <c r="Z174" s="10" t="s">
        <v>2849</v>
      </c>
      <c r="AA174" s="10" t="s">
        <v>23</v>
      </c>
      <c r="AB174" s="10" t="s">
        <v>2844</v>
      </c>
    </row>
    <row r="175" spans="1:28">
      <c r="A175" s="10" t="s">
        <v>658</v>
      </c>
      <c r="B175" s="11" t="s">
        <v>182</v>
      </c>
      <c r="C175" s="11" t="s">
        <v>437</v>
      </c>
      <c r="D175" s="12">
        <v>34</v>
      </c>
      <c r="E175" s="11" t="s">
        <v>473</v>
      </c>
      <c r="F175" s="14" t="str">
        <f>_xlfn.XLOOKUP(E175,Profession!$B$2:$B$15,Profession!$A$2:$A$15,"Not Found")</f>
        <v>P012</v>
      </c>
      <c r="G175" s="11" t="s">
        <v>419</v>
      </c>
      <c r="H175" s="10" t="str">
        <f>_xlfn.XLOOKUP(G175,Region!$B$2:$B$16,Region!$A$2:$A$16,"Not Found")</f>
        <v>R001</v>
      </c>
      <c r="I175" s="10" t="s">
        <v>423</v>
      </c>
      <c r="J175" s="10" t="s">
        <v>423</v>
      </c>
      <c r="K175" s="10" t="s">
        <v>434</v>
      </c>
      <c r="L175" s="10" t="s">
        <v>1058</v>
      </c>
      <c r="M175" s="16" t="s">
        <v>432</v>
      </c>
      <c r="N175" s="10" t="s">
        <v>138</v>
      </c>
      <c r="O175" s="16" t="s">
        <v>444</v>
      </c>
      <c r="P175" s="11" t="s">
        <v>422</v>
      </c>
      <c r="Q175" s="11" t="s">
        <v>420</v>
      </c>
      <c r="R175" s="11" t="s">
        <v>107</v>
      </c>
      <c r="S175" s="10" t="s">
        <v>62</v>
      </c>
      <c r="T175" s="81">
        <v>7</v>
      </c>
      <c r="U175" s="10" t="s">
        <v>420</v>
      </c>
      <c r="V175" s="10" t="s">
        <v>450</v>
      </c>
      <c r="X175" s="15">
        <v>5</v>
      </c>
      <c r="Y175" s="10" t="s">
        <v>87</v>
      </c>
      <c r="Z175" s="10" t="s">
        <v>2848</v>
      </c>
      <c r="AA175" s="10" t="s">
        <v>23</v>
      </c>
      <c r="AB175" s="10" t="s">
        <v>149</v>
      </c>
    </row>
    <row r="176" spans="1:28">
      <c r="A176" s="10" t="s">
        <v>659</v>
      </c>
      <c r="B176" s="11" t="s">
        <v>122</v>
      </c>
      <c r="C176" s="11" t="s">
        <v>437</v>
      </c>
      <c r="D176" s="12">
        <v>35</v>
      </c>
      <c r="E176" s="11" t="s">
        <v>452</v>
      </c>
      <c r="F176" s="14" t="str">
        <f>_xlfn.XLOOKUP(E176,Profession!$B$2:$B$15,Profession!$A$2:$A$15,"Not Found")</f>
        <v>P005</v>
      </c>
      <c r="G176" s="11" t="s">
        <v>455</v>
      </c>
      <c r="H176" s="10" t="str">
        <f>_xlfn.XLOOKUP(G176,Region!$B$2:$B$16,Region!$A$2:$A$16,"Not Found")</f>
        <v>R006</v>
      </c>
      <c r="I176" s="10" t="s">
        <v>420</v>
      </c>
      <c r="J176" s="10" t="s">
        <v>420</v>
      </c>
      <c r="K176" s="10" t="s">
        <v>434</v>
      </c>
      <c r="L176" s="10" t="s">
        <v>1058</v>
      </c>
      <c r="M176" s="16" t="s">
        <v>422</v>
      </c>
      <c r="N176" s="10" t="s">
        <v>106</v>
      </c>
      <c r="O176" s="16" t="s">
        <v>436</v>
      </c>
      <c r="P176" s="11" t="s">
        <v>422</v>
      </c>
      <c r="Q176" s="11" t="s">
        <v>435</v>
      </c>
      <c r="R176" s="11" t="s">
        <v>1071</v>
      </c>
      <c r="S176" s="10" t="s">
        <v>62</v>
      </c>
      <c r="T176" s="81">
        <v>6</v>
      </c>
      <c r="U176" s="10" t="s">
        <v>420</v>
      </c>
      <c r="V176" s="10" t="s">
        <v>2277</v>
      </c>
      <c r="X176" s="15">
        <v>8</v>
      </c>
      <c r="Y176" s="10" t="s">
        <v>42</v>
      </c>
      <c r="Z176" s="10" t="s">
        <v>2849</v>
      </c>
      <c r="AA176" s="10" t="s">
        <v>43</v>
      </c>
      <c r="AB176" s="10" t="s">
        <v>46</v>
      </c>
    </row>
    <row r="177" spans="1:28">
      <c r="A177" s="10" t="s">
        <v>660</v>
      </c>
      <c r="B177" s="11" t="s">
        <v>183</v>
      </c>
      <c r="C177" s="11" t="s">
        <v>437</v>
      </c>
      <c r="D177" s="12">
        <v>36</v>
      </c>
      <c r="E177" s="11" t="s">
        <v>452</v>
      </c>
      <c r="F177" s="14" t="str">
        <f>_xlfn.XLOOKUP(E177,Profession!$B$2:$B$15,Profession!$A$2:$A$15,"Not Found")</f>
        <v>P005</v>
      </c>
      <c r="G177" s="11" t="s">
        <v>1115</v>
      </c>
      <c r="H177" s="10" t="str">
        <f>_xlfn.XLOOKUP(G177,Region!$B$2:$B$16,Region!$A$2:$A$16,"Not Found")</f>
        <v>R002</v>
      </c>
      <c r="I177" s="10" t="s">
        <v>420</v>
      </c>
      <c r="J177" s="10" t="s">
        <v>420</v>
      </c>
      <c r="K177" s="10" t="s">
        <v>435</v>
      </c>
      <c r="L177" s="10" t="s">
        <v>1058</v>
      </c>
      <c r="M177" s="16" t="s">
        <v>429</v>
      </c>
      <c r="N177" s="10" t="s">
        <v>64</v>
      </c>
      <c r="O177" s="16" t="s">
        <v>433</v>
      </c>
      <c r="P177" s="11" t="s">
        <v>422</v>
      </c>
      <c r="Q177" s="11" t="s">
        <v>420</v>
      </c>
      <c r="R177" s="11" t="s">
        <v>1072</v>
      </c>
      <c r="S177" s="10" t="s">
        <v>2885</v>
      </c>
      <c r="T177" s="81">
        <v>6</v>
      </c>
      <c r="U177" s="10" t="s">
        <v>2273</v>
      </c>
      <c r="V177" s="10" t="s">
        <v>2277</v>
      </c>
      <c r="X177" s="15">
        <v>3</v>
      </c>
      <c r="Y177" s="10" t="s">
        <v>45</v>
      </c>
      <c r="Z177" s="10" t="s">
        <v>2849</v>
      </c>
      <c r="AA177" s="10" t="s">
        <v>37</v>
      </c>
      <c r="AB177" s="10" t="s">
        <v>149</v>
      </c>
    </row>
    <row r="178" spans="1:28">
      <c r="A178" s="10" t="s">
        <v>661</v>
      </c>
      <c r="B178" s="11" t="s">
        <v>184</v>
      </c>
      <c r="C178" s="11" t="s">
        <v>437</v>
      </c>
      <c r="D178" s="12">
        <v>37</v>
      </c>
      <c r="E178" s="11" t="s">
        <v>442</v>
      </c>
      <c r="F178" s="14" t="str">
        <f>_xlfn.XLOOKUP(E178,Profession!$B$2:$B$15,Profession!$A$2:$A$15,"Not Found")</f>
        <v>P002</v>
      </c>
      <c r="G178" s="11" t="s">
        <v>419</v>
      </c>
      <c r="H178" s="10" t="str">
        <f>_xlfn.XLOOKUP(G178,Region!$B$2:$B$16,Region!$A$2:$A$16,"Not Found")</f>
        <v>R001</v>
      </c>
      <c r="I178" s="10" t="s">
        <v>420</v>
      </c>
      <c r="J178" s="10" t="s">
        <v>420</v>
      </c>
      <c r="K178" s="10" t="s">
        <v>426</v>
      </c>
      <c r="L178" s="10" t="s">
        <v>1058</v>
      </c>
      <c r="M178" s="16" t="s">
        <v>422</v>
      </c>
      <c r="N178" s="10" t="s">
        <v>102</v>
      </c>
      <c r="O178" s="16" t="s">
        <v>426</v>
      </c>
      <c r="P178" s="11" t="s">
        <v>1059</v>
      </c>
      <c r="Q178" s="11" t="s">
        <v>422</v>
      </c>
      <c r="R178" s="11" t="s">
        <v>1062</v>
      </c>
      <c r="S178" s="10" t="s">
        <v>2884</v>
      </c>
      <c r="T178" s="81">
        <v>6.3008333333333297</v>
      </c>
      <c r="U178" s="10" t="s">
        <v>420</v>
      </c>
      <c r="V178" s="10" t="s">
        <v>2277</v>
      </c>
      <c r="X178" s="15">
        <v>4</v>
      </c>
      <c r="Y178" s="10" t="s">
        <v>36</v>
      </c>
      <c r="Z178" s="10" t="s">
        <v>2849</v>
      </c>
      <c r="AA178" s="10" t="s">
        <v>23</v>
      </c>
      <c r="AB178" s="10" t="s">
        <v>2843</v>
      </c>
    </row>
    <row r="179" spans="1:28">
      <c r="A179" s="10" t="s">
        <v>662</v>
      </c>
      <c r="B179" s="11" t="s">
        <v>185</v>
      </c>
      <c r="C179" s="11" t="s">
        <v>437</v>
      </c>
      <c r="D179" s="12">
        <v>38</v>
      </c>
      <c r="E179" s="11" t="s">
        <v>465</v>
      </c>
      <c r="F179" s="14" t="str">
        <f>_xlfn.XLOOKUP(E179,Profession!$B$2:$B$15,Profession!$A$2:$A$15,"Not Found")</f>
        <v>P010</v>
      </c>
      <c r="G179" s="11" t="s">
        <v>108</v>
      </c>
      <c r="H179" s="10" t="str">
        <f>_xlfn.XLOOKUP(G179,Region!$B$2:$B$16,Region!$A$2:$A$16,"Not Found")</f>
        <v>R010</v>
      </c>
      <c r="I179" s="10" t="s">
        <v>420</v>
      </c>
      <c r="J179" s="10" t="s">
        <v>420</v>
      </c>
      <c r="K179" s="10" t="s">
        <v>435</v>
      </c>
      <c r="L179" s="10" t="s">
        <v>1058</v>
      </c>
      <c r="M179" s="16" t="s">
        <v>422</v>
      </c>
      <c r="N179" s="10" t="s">
        <v>138</v>
      </c>
      <c r="O179" s="16" t="s">
        <v>450</v>
      </c>
      <c r="P179" s="11" t="s">
        <v>422</v>
      </c>
      <c r="Q179" s="11" t="s">
        <v>420</v>
      </c>
      <c r="R179" s="11" t="s">
        <v>107</v>
      </c>
      <c r="S179" s="10" t="s">
        <v>62</v>
      </c>
      <c r="T179" s="81">
        <v>7</v>
      </c>
      <c r="U179" s="10" t="s">
        <v>420</v>
      </c>
      <c r="V179" s="10" t="s">
        <v>450</v>
      </c>
      <c r="X179" s="15">
        <v>7</v>
      </c>
      <c r="Y179" s="10" t="s">
        <v>19</v>
      </c>
      <c r="Z179" s="10" t="s">
        <v>2849</v>
      </c>
      <c r="AA179" s="10" t="s">
        <v>23</v>
      </c>
      <c r="AB179" s="10" t="s">
        <v>2841</v>
      </c>
    </row>
    <row r="180" spans="1:28">
      <c r="A180" s="10" t="s">
        <v>663</v>
      </c>
      <c r="B180" s="11" t="s">
        <v>186</v>
      </c>
      <c r="C180" s="11" t="s">
        <v>437</v>
      </c>
      <c r="D180" s="12">
        <v>39</v>
      </c>
      <c r="E180" s="11" t="s">
        <v>458</v>
      </c>
      <c r="F180" s="14" t="str">
        <f>_xlfn.XLOOKUP(E180,Profession!$B$2:$B$15,Profession!$A$2:$A$15,"Not Found")</f>
        <v>P006</v>
      </c>
      <c r="G180" s="11" t="s">
        <v>1115</v>
      </c>
      <c r="H180" s="10" t="str">
        <f>_xlfn.XLOOKUP(G180,Region!$B$2:$B$16,Region!$A$2:$A$16,"Not Found")</f>
        <v>R002</v>
      </c>
      <c r="I180" s="10" t="s">
        <v>420</v>
      </c>
      <c r="J180" s="10" t="s">
        <v>420</v>
      </c>
      <c r="K180" s="10" t="s">
        <v>434</v>
      </c>
      <c r="L180" s="10" t="s">
        <v>1058</v>
      </c>
      <c r="M180" s="16" t="s">
        <v>432</v>
      </c>
      <c r="N180" s="10" t="s">
        <v>64</v>
      </c>
      <c r="O180" s="16" t="s">
        <v>433</v>
      </c>
      <c r="P180" s="11" t="s">
        <v>422</v>
      </c>
      <c r="Q180" s="11" t="s">
        <v>1061</v>
      </c>
      <c r="R180" s="11" t="s">
        <v>1065</v>
      </c>
      <c r="S180" s="10" t="s">
        <v>62</v>
      </c>
      <c r="T180" s="81">
        <v>6</v>
      </c>
      <c r="U180" s="10" t="s">
        <v>2274</v>
      </c>
      <c r="V180" s="10" t="s">
        <v>450</v>
      </c>
      <c r="X180" s="15">
        <v>3</v>
      </c>
      <c r="Y180" s="10" t="s">
        <v>49</v>
      </c>
      <c r="Z180" s="10" t="s">
        <v>2849</v>
      </c>
      <c r="AA180" s="10" t="s">
        <v>37</v>
      </c>
      <c r="AB180" s="10" t="s">
        <v>46</v>
      </c>
    </row>
    <row r="181" spans="1:28">
      <c r="A181" s="10" t="s">
        <v>664</v>
      </c>
      <c r="B181" s="11" t="s">
        <v>94</v>
      </c>
      <c r="C181" s="11" t="s">
        <v>437</v>
      </c>
      <c r="D181" s="12">
        <v>40</v>
      </c>
      <c r="E181" s="11" t="s">
        <v>1054</v>
      </c>
      <c r="F181" s="14" t="str">
        <f>_xlfn.XLOOKUP(E181,Profession!$B$2:$B$15,Profession!$A$2:$A$15,"Not Found")</f>
        <v>P013</v>
      </c>
      <c r="G181" s="11" t="s">
        <v>1110</v>
      </c>
      <c r="H181" s="10" t="str">
        <f>_xlfn.XLOOKUP(G181,Region!$B$2:$B$16,Region!$A$2:$A$16,"Not Found")</f>
        <v>R013</v>
      </c>
      <c r="I181" s="10" t="s">
        <v>420</v>
      </c>
      <c r="J181" s="10" t="s">
        <v>420</v>
      </c>
      <c r="K181" s="10" t="s">
        <v>435</v>
      </c>
      <c r="L181" s="10" t="s">
        <v>1058</v>
      </c>
      <c r="M181" s="16" t="s">
        <v>422</v>
      </c>
      <c r="N181" s="10" t="s">
        <v>138</v>
      </c>
      <c r="O181" s="16" t="s">
        <v>433</v>
      </c>
      <c r="P181" s="11" t="s">
        <v>435</v>
      </c>
      <c r="Q181" s="11" t="s">
        <v>420</v>
      </c>
      <c r="R181" s="11" t="s">
        <v>1067</v>
      </c>
      <c r="S181" s="10" t="s">
        <v>62</v>
      </c>
      <c r="T181" s="81">
        <v>6</v>
      </c>
      <c r="U181" s="10" t="s">
        <v>420</v>
      </c>
      <c r="V181" s="10" t="s">
        <v>450</v>
      </c>
      <c r="X181" s="15">
        <v>6</v>
      </c>
      <c r="Y181" s="10" t="s">
        <v>75</v>
      </c>
      <c r="Z181" s="10" t="s">
        <v>2847</v>
      </c>
      <c r="AA181" s="10" t="s">
        <v>70</v>
      </c>
      <c r="AB181" s="10" t="s">
        <v>149</v>
      </c>
    </row>
    <row r="182" spans="1:28">
      <c r="A182" s="10" t="s">
        <v>665</v>
      </c>
      <c r="B182" s="11" t="s">
        <v>187</v>
      </c>
      <c r="C182" s="11" t="s">
        <v>437</v>
      </c>
      <c r="D182" s="12">
        <v>41</v>
      </c>
      <c r="E182" s="11" t="s">
        <v>446</v>
      </c>
      <c r="F182" s="14" t="str">
        <f>_xlfn.XLOOKUP(E182,Profession!$B$2:$B$15,Profession!$A$2:$A$15,"Not Found")</f>
        <v>P003</v>
      </c>
      <c r="G182" s="11" t="s">
        <v>104</v>
      </c>
      <c r="H182" s="10" t="str">
        <f>_xlfn.XLOOKUP(G182,Region!$B$2:$B$16,Region!$A$2:$A$16,"Not Found")</f>
        <v>R003</v>
      </c>
      <c r="I182" s="10" t="s">
        <v>420</v>
      </c>
      <c r="J182" s="10" t="s">
        <v>420</v>
      </c>
      <c r="K182" s="10" t="s">
        <v>435</v>
      </c>
      <c r="L182" s="10" t="s">
        <v>1058</v>
      </c>
      <c r="M182" s="16" t="s">
        <v>422</v>
      </c>
      <c r="N182" s="10" t="s">
        <v>138</v>
      </c>
      <c r="O182" s="16" t="s">
        <v>433</v>
      </c>
      <c r="P182" s="11" t="s">
        <v>422</v>
      </c>
      <c r="Q182" s="11" t="s">
        <v>420</v>
      </c>
      <c r="R182" s="11" t="s">
        <v>1070</v>
      </c>
      <c r="S182" s="10" t="s">
        <v>62</v>
      </c>
      <c r="T182" s="81">
        <v>8</v>
      </c>
      <c r="U182" s="10" t="s">
        <v>420</v>
      </c>
      <c r="V182" s="10" t="s">
        <v>2277</v>
      </c>
      <c r="X182" s="15">
        <v>5</v>
      </c>
      <c r="Y182" s="10" t="s">
        <v>19</v>
      </c>
      <c r="Z182" s="10" t="s">
        <v>2849</v>
      </c>
      <c r="AA182" s="10" t="s">
        <v>23</v>
      </c>
      <c r="AB182" s="10" t="s">
        <v>28</v>
      </c>
    </row>
    <row r="183" spans="1:28">
      <c r="A183" s="10" t="s">
        <v>666</v>
      </c>
      <c r="B183" s="11" t="s">
        <v>112</v>
      </c>
      <c r="C183" s="11" t="s">
        <v>437</v>
      </c>
      <c r="D183" s="12">
        <v>42</v>
      </c>
      <c r="E183" s="11" t="s">
        <v>1088</v>
      </c>
      <c r="F183" s="14" t="str">
        <f>_xlfn.XLOOKUP(E183,Profession!$B$2:$B$15,Profession!$A$2:$A$15,"Not Found")</f>
        <v>P014</v>
      </c>
      <c r="G183" s="11" t="s">
        <v>1114</v>
      </c>
      <c r="H183" s="10" t="str">
        <f>_xlfn.XLOOKUP(G183,Region!$B$2:$B$16,Region!$A$2:$A$16,"Not Found")</f>
        <v>R014</v>
      </c>
      <c r="I183" s="10" t="s">
        <v>420</v>
      </c>
      <c r="J183" s="10" t="s">
        <v>420</v>
      </c>
      <c r="K183" s="10" t="s">
        <v>435</v>
      </c>
      <c r="L183" s="10" t="s">
        <v>1058</v>
      </c>
      <c r="M183" s="16" t="s">
        <v>422</v>
      </c>
      <c r="N183" s="10" t="s">
        <v>138</v>
      </c>
      <c r="O183" s="16" t="s">
        <v>433</v>
      </c>
      <c r="P183" s="11" t="s">
        <v>422</v>
      </c>
      <c r="Q183" s="11" t="s">
        <v>1061</v>
      </c>
      <c r="R183" s="11" t="s">
        <v>1067</v>
      </c>
      <c r="S183" s="10" t="s">
        <v>62</v>
      </c>
      <c r="T183" s="81">
        <v>6</v>
      </c>
      <c r="U183" s="10" t="s">
        <v>420</v>
      </c>
      <c r="V183" s="10" t="s">
        <v>450</v>
      </c>
      <c r="X183" s="15">
        <v>6</v>
      </c>
      <c r="Y183" s="10" t="s">
        <v>77</v>
      </c>
      <c r="Z183" s="10" t="s">
        <v>2282</v>
      </c>
      <c r="AA183" s="10" t="s">
        <v>23</v>
      </c>
      <c r="AB183" s="10" t="s">
        <v>46</v>
      </c>
    </row>
    <row r="184" spans="1:28">
      <c r="A184" s="10" t="s">
        <v>667</v>
      </c>
      <c r="B184" s="11" t="s">
        <v>188</v>
      </c>
      <c r="C184" s="11" t="s">
        <v>437</v>
      </c>
      <c r="D184" s="12">
        <v>43</v>
      </c>
      <c r="E184" s="11" t="s">
        <v>1088</v>
      </c>
      <c r="F184" s="14" t="str">
        <f>_xlfn.XLOOKUP(E184,Profession!$B$2:$B$15,Profession!$A$2:$A$15,"Not Found")</f>
        <v>P014</v>
      </c>
      <c r="G184" s="11" t="s">
        <v>477</v>
      </c>
      <c r="H184" s="10" t="str">
        <f>_xlfn.XLOOKUP(G184,Region!$B$2:$B$16,Region!$A$2:$A$16,"Not Found")</f>
        <v>R015</v>
      </c>
      <c r="I184" s="10" t="s">
        <v>420</v>
      </c>
      <c r="J184" s="10" t="s">
        <v>420</v>
      </c>
      <c r="K184" s="10" t="s">
        <v>435</v>
      </c>
      <c r="L184" s="10" t="s">
        <v>1058</v>
      </c>
      <c r="M184" s="16" t="s">
        <v>422</v>
      </c>
      <c r="N184" s="10" t="s">
        <v>138</v>
      </c>
      <c r="O184" s="16" t="s">
        <v>433</v>
      </c>
      <c r="P184" s="11" t="s">
        <v>435</v>
      </c>
      <c r="Q184" s="11" t="s">
        <v>1061</v>
      </c>
      <c r="R184" s="11" t="s">
        <v>1068</v>
      </c>
      <c r="S184" s="10" t="s">
        <v>62</v>
      </c>
      <c r="T184" s="81">
        <v>8</v>
      </c>
      <c r="U184" s="10" t="s">
        <v>420</v>
      </c>
      <c r="V184" s="10" t="s">
        <v>450</v>
      </c>
      <c r="X184" s="15">
        <v>6</v>
      </c>
      <c r="Y184" s="10" t="s">
        <v>36</v>
      </c>
      <c r="Z184" s="10" t="s">
        <v>2849</v>
      </c>
      <c r="AA184" s="10" t="s">
        <v>23</v>
      </c>
      <c r="AB184" s="10" t="s">
        <v>2841</v>
      </c>
    </row>
    <row r="185" spans="1:28">
      <c r="A185" s="10" t="s">
        <v>668</v>
      </c>
      <c r="B185" s="11" t="s">
        <v>189</v>
      </c>
      <c r="C185" s="11" t="s">
        <v>437</v>
      </c>
      <c r="D185" s="12">
        <v>20</v>
      </c>
      <c r="E185" s="11" t="s">
        <v>418</v>
      </c>
      <c r="F185" s="14" t="str">
        <f>_xlfn.XLOOKUP(E185,Profession!$B$2:$B$15,Profession!$A$2:$A$15,"Not Found")</f>
        <v>P001</v>
      </c>
      <c r="G185" s="11" t="s">
        <v>419</v>
      </c>
      <c r="H185" s="10" t="str">
        <f>_xlfn.XLOOKUP(G185,Region!$B$2:$B$16,Region!$A$2:$A$16,"Not Found")</f>
        <v>R001</v>
      </c>
      <c r="I185" s="10" t="s">
        <v>420</v>
      </c>
      <c r="J185" s="10" t="s">
        <v>420</v>
      </c>
      <c r="K185" s="10" t="s">
        <v>435</v>
      </c>
      <c r="L185" s="10" t="s">
        <v>1057</v>
      </c>
      <c r="M185" s="16" t="s">
        <v>422</v>
      </c>
      <c r="N185" s="10" t="s">
        <v>26</v>
      </c>
      <c r="O185" s="16" t="s">
        <v>423</v>
      </c>
      <c r="P185" s="11" t="s">
        <v>1059</v>
      </c>
      <c r="Q185" s="11" t="s">
        <v>422</v>
      </c>
      <c r="R185" s="11" t="s">
        <v>1062</v>
      </c>
      <c r="S185" s="10" t="s">
        <v>2884</v>
      </c>
      <c r="T185" s="81">
        <v>7</v>
      </c>
      <c r="U185" s="10" t="s">
        <v>420</v>
      </c>
      <c r="V185" s="10" t="s">
        <v>2278</v>
      </c>
      <c r="X185" s="15">
        <v>3</v>
      </c>
      <c r="Y185" s="10" t="s">
        <v>27</v>
      </c>
      <c r="Z185" s="10" t="s">
        <v>2849</v>
      </c>
      <c r="AA185" s="10" t="s">
        <v>23</v>
      </c>
      <c r="AB185" s="10" t="s">
        <v>24</v>
      </c>
    </row>
    <row r="186" spans="1:28">
      <c r="A186" s="10" t="s">
        <v>669</v>
      </c>
      <c r="B186" s="11" t="s">
        <v>127</v>
      </c>
      <c r="C186" s="11" t="s">
        <v>437</v>
      </c>
      <c r="D186" s="12">
        <v>21</v>
      </c>
      <c r="E186" s="11" t="s">
        <v>465</v>
      </c>
      <c r="F186" s="14" t="str">
        <f>_xlfn.XLOOKUP(E186,Profession!$B$2:$B$15,Profession!$A$2:$A$15,"Not Found")</f>
        <v>P010</v>
      </c>
      <c r="G186" s="11" t="s">
        <v>1115</v>
      </c>
      <c r="H186" s="10" t="str">
        <f>_xlfn.XLOOKUP(G186,Region!$B$2:$B$16,Region!$A$2:$A$16,"Not Found")</f>
        <v>R002</v>
      </c>
      <c r="I186" s="10" t="s">
        <v>420</v>
      </c>
      <c r="J186" s="10" t="s">
        <v>420</v>
      </c>
      <c r="K186" s="10" t="s">
        <v>421</v>
      </c>
      <c r="L186" s="10" t="s">
        <v>1058</v>
      </c>
      <c r="M186" s="16" t="s">
        <v>422</v>
      </c>
      <c r="N186" s="10" t="s">
        <v>138</v>
      </c>
      <c r="O186" s="16" t="s">
        <v>450</v>
      </c>
      <c r="P186" s="11" t="s">
        <v>422</v>
      </c>
      <c r="Q186" s="11" t="s">
        <v>420</v>
      </c>
      <c r="R186" s="11" t="s">
        <v>1065</v>
      </c>
      <c r="S186" s="10" t="s">
        <v>62</v>
      </c>
      <c r="T186" s="81">
        <v>8</v>
      </c>
      <c r="U186" s="10" t="s">
        <v>420</v>
      </c>
      <c r="V186" s="10" t="s">
        <v>450</v>
      </c>
      <c r="X186" s="15">
        <v>4</v>
      </c>
      <c r="Y186" s="10" t="s">
        <v>56</v>
      </c>
      <c r="Z186" s="10" t="s">
        <v>2849</v>
      </c>
      <c r="AA186" s="10" t="s">
        <v>23</v>
      </c>
      <c r="AB186" s="10" t="s">
        <v>2843</v>
      </c>
    </row>
    <row r="187" spans="1:28">
      <c r="A187" s="10" t="s">
        <v>670</v>
      </c>
      <c r="B187" s="11" t="s">
        <v>133</v>
      </c>
      <c r="C187" s="11" t="s">
        <v>437</v>
      </c>
      <c r="D187" s="12">
        <v>22</v>
      </c>
      <c r="E187" s="11" t="s">
        <v>442</v>
      </c>
      <c r="F187" s="14" t="str">
        <f>_xlfn.XLOOKUP(E187,Profession!$B$2:$B$15,Profession!$A$2:$A$15,"Not Found")</f>
        <v>P002</v>
      </c>
      <c r="G187" s="11" t="s">
        <v>419</v>
      </c>
      <c r="H187" s="10" t="str">
        <f>_xlfn.XLOOKUP(G187,Region!$B$2:$B$16,Region!$A$2:$A$16,"Not Found")</f>
        <v>R001</v>
      </c>
      <c r="I187" s="10" t="s">
        <v>420</v>
      </c>
      <c r="J187" s="10" t="s">
        <v>420</v>
      </c>
      <c r="K187" s="10" t="s">
        <v>435</v>
      </c>
      <c r="L187" s="10" t="s">
        <v>1058</v>
      </c>
      <c r="M187" s="16" t="s">
        <v>436</v>
      </c>
      <c r="N187" s="10" t="s">
        <v>138</v>
      </c>
      <c r="O187" s="16" t="s">
        <v>444</v>
      </c>
      <c r="P187" s="11" t="s">
        <v>422</v>
      </c>
      <c r="Q187" s="11" t="s">
        <v>1061</v>
      </c>
      <c r="R187" s="11" t="s">
        <v>1068</v>
      </c>
      <c r="S187" s="10" t="s">
        <v>62</v>
      </c>
      <c r="T187" s="81">
        <v>6</v>
      </c>
      <c r="U187" s="10" t="s">
        <v>420</v>
      </c>
      <c r="V187" s="10" t="s">
        <v>2277</v>
      </c>
      <c r="X187" s="15">
        <v>6</v>
      </c>
      <c r="Y187" s="10" t="s">
        <v>100</v>
      </c>
      <c r="Z187" s="10" t="s">
        <v>2849</v>
      </c>
      <c r="AA187" s="10" t="s">
        <v>37</v>
      </c>
      <c r="AB187" s="10" t="s">
        <v>2844</v>
      </c>
    </row>
    <row r="188" spans="1:28">
      <c r="A188" s="10" t="s">
        <v>671</v>
      </c>
      <c r="B188" s="11" t="s">
        <v>96</v>
      </c>
      <c r="C188" s="11" t="s">
        <v>437</v>
      </c>
      <c r="D188" s="12">
        <v>23</v>
      </c>
      <c r="E188" s="11" t="s">
        <v>462</v>
      </c>
      <c r="F188" s="14" t="str">
        <f>_xlfn.XLOOKUP(E188,Profession!$B$2:$B$15,Profession!$A$2:$A$15,"Not Found")</f>
        <v>P008</v>
      </c>
      <c r="G188" s="11" t="s">
        <v>1112</v>
      </c>
      <c r="H188" s="10" t="str">
        <f>_xlfn.XLOOKUP(G188,Region!$B$2:$B$16,Region!$A$2:$A$16,"Not Found")</f>
        <v>R008</v>
      </c>
      <c r="I188" s="10" t="s">
        <v>420</v>
      </c>
      <c r="J188" s="10" t="s">
        <v>420</v>
      </c>
      <c r="K188" s="10" t="s">
        <v>431</v>
      </c>
      <c r="L188" s="10" t="s">
        <v>1058</v>
      </c>
      <c r="M188" s="16" t="s">
        <v>422</v>
      </c>
      <c r="N188" s="10" t="s">
        <v>138</v>
      </c>
      <c r="O188" s="16" t="s">
        <v>450</v>
      </c>
      <c r="P188" s="11" t="s">
        <v>422</v>
      </c>
      <c r="Q188" s="11" t="s">
        <v>420</v>
      </c>
      <c r="R188" s="11" t="s">
        <v>107</v>
      </c>
      <c r="S188" s="10" t="s">
        <v>62</v>
      </c>
      <c r="T188" s="81">
        <v>7</v>
      </c>
      <c r="U188" s="10" t="s">
        <v>420</v>
      </c>
      <c r="V188" s="10" t="s">
        <v>450</v>
      </c>
      <c r="X188" s="15">
        <v>5</v>
      </c>
      <c r="Y188" s="10" t="s">
        <v>56</v>
      </c>
      <c r="Z188" s="10" t="s">
        <v>2849</v>
      </c>
      <c r="AA188" s="10" t="s">
        <v>23</v>
      </c>
      <c r="AB188" s="10" t="s">
        <v>2843</v>
      </c>
    </row>
    <row r="189" spans="1:28">
      <c r="A189" s="10" t="s">
        <v>672</v>
      </c>
      <c r="B189" s="11" t="s">
        <v>190</v>
      </c>
      <c r="C189" s="11" t="s">
        <v>437</v>
      </c>
      <c r="D189" s="12">
        <v>24</v>
      </c>
      <c r="E189" s="11" t="s">
        <v>473</v>
      </c>
      <c r="F189" s="14" t="str">
        <f>_xlfn.XLOOKUP(E189,Profession!$B$2:$B$15,Profession!$A$2:$A$15,"Not Found")</f>
        <v>P012</v>
      </c>
      <c r="G189" s="11" t="s">
        <v>1113</v>
      </c>
      <c r="H189" s="10" t="str">
        <f>_xlfn.XLOOKUP(G189,Region!$B$2:$B$16,Region!$A$2:$A$16,"Not Found")</f>
        <v>R012</v>
      </c>
      <c r="I189" s="10" t="s">
        <v>423</v>
      </c>
      <c r="J189" s="10" t="s">
        <v>423</v>
      </c>
      <c r="K189" s="10" t="s">
        <v>435</v>
      </c>
      <c r="L189" s="10" t="s">
        <v>1058</v>
      </c>
      <c r="M189" s="16" t="s">
        <v>422</v>
      </c>
      <c r="N189" s="10" t="s">
        <v>138</v>
      </c>
      <c r="O189" s="16" t="s">
        <v>444</v>
      </c>
      <c r="P189" s="11" t="s">
        <v>422</v>
      </c>
      <c r="Q189" s="11" t="s">
        <v>1061</v>
      </c>
      <c r="R189" s="11" t="s">
        <v>107</v>
      </c>
      <c r="S189" s="10" t="s">
        <v>62</v>
      </c>
      <c r="T189" s="81">
        <v>6</v>
      </c>
      <c r="U189" s="10" t="s">
        <v>420</v>
      </c>
      <c r="V189" s="10" t="s">
        <v>2277</v>
      </c>
      <c r="X189" s="15">
        <v>6</v>
      </c>
      <c r="Y189" s="10" t="s">
        <v>22</v>
      </c>
      <c r="Z189" s="10" t="s">
        <v>2846</v>
      </c>
      <c r="AA189" s="10" t="s">
        <v>23</v>
      </c>
      <c r="AB189" s="10" t="s">
        <v>2842</v>
      </c>
    </row>
    <row r="190" spans="1:28">
      <c r="A190" s="10" t="s">
        <v>673</v>
      </c>
      <c r="B190" s="11" t="s">
        <v>191</v>
      </c>
      <c r="C190" s="11" t="s">
        <v>437</v>
      </c>
      <c r="D190" s="12">
        <v>25</v>
      </c>
      <c r="E190" s="11" t="s">
        <v>1108</v>
      </c>
      <c r="F190" s="14" t="str">
        <f>_xlfn.XLOOKUP(E190,Profession!$B$2:$B$15,Profession!$A$2:$A$15,"Not Found")</f>
        <v>P011</v>
      </c>
      <c r="G190" s="11" t="s">
        <v>419</v>
      </c>
      <c r="H190" s="10" t="str">
        <f>_xlfn.XLOOKUP(G190,Region!$B$2:$B$16,Region!$A$2:$A$16,"Not Found")</f>
        <v>R001</v>
      </c>
      <c r="I190" s="10" t="s">
        <v>420</v>
      </c>
      <c r="J190" s="10" t="s">
        <v>420</v>
      </c>
      <c r="K190" s="10" t="s">
        <v>431</v>
      </c>
      <c r="L190" s="10" t="s">
        <v>1058</v>
      </c>
      <c r="M190" s="16" t="s">
        <v>422</v>
      </c>
      <c r="N190" s="10" t="s">
        <v>138</v>
      </c>
      <c r="O190" s="16" t="s">
        <v>444</v>
      </c>
      <c r="P190" s="11" t="s">
        <v>422</v>
      </c>
      <c r="Q190" s="11" t="s">
        <v>420</v>
      </c>
      <c r="R190" s="11" t="s">
        <v>1070</v>
      </c>
      <c r="S190" s="10" t="s">
        <v>62</v>
      </c>
      <c r="T190" s="81">
        <v>6</v>
      </c>
      <c r="U190" s="10" t="s">
        <v>420</v>
      </c>
      <c r="V190" s="10" t="s">
        <v>2277</v>
      </c>
      <c r="X190" s="15">
        <v>5</v>
      </c>
      <c r="Y190" s="10" t="s">
        <v>58</v>
      </c>
      <c r="Z190" s="10" t="s">
        <v>2849</v>
      </c>
      <c r="AA190" s="10" t="s">
        <v>23</v>
      </c>
      <c r="AB190" s="10" t="s">
        <v>2843</v>
      </c>
    </row>
    <row r="191" spans="1:28">
      <c r="A191" s="10" t="s">
        <v>674</v>
      </c>
      <c r="B191" s="11" t="s">
        <v>192</v>
      </c>
      <c r="C191" s="11" t="s">
        <v>437</v>
      </c>
      <c r="D191" s="12">
        <v>26</v>
      </c>
      <c r="E191" s="11" t="s">
        <v>459</v>
      </c>
      <c r="F191" s="14" t="str">
        <f>_xlfn.XLOOKUP(E191,Profession!$B$2:$B$15,Profession!$A$2:$A$15,"Not Found")</f>
        <v>P007</v>
      </c>
      <c r="G191" s="11" t="s">
        <v>419</v>
      </c>
      <c r="H191" s="10" t="str">
        <f>_xlfn.XLOOKUP(G191,Region!$B$2:$B$16,Region!$A$2:$A$16,"Not Found")</f>
        <v>R001</v>
      </c>
      <c r="I191" s="10" t="s">
        <v>420</v>
      </c>
      <c r="J191" s="10" t="s">
        <v>420</v>
      </c>
      <c r="K191" s="10" t="s">
        <v>421</v>
      </c>
      <c r="L191" s="10" t="s">
        <v>1058</v>
      </c>
      <c r="M191" s="16" t="s">
        <v>422</v>
      </c>
      <c r="N191" s="10" t="s">
        <v>19</v>
      </c>
      <c r="O191" s="16" t="s">
        <v>444</v>
      </c>
      <c r="P191" s="11" t="s">
        <v>422</v>
      </c>
      <c r="Q191" s="11" t="s">
        <v>420</v>
      </c>
      <c r="R191" s="11" t="s">
        <v>1070</v>
      </c>
      <c r="S191" s="10" t="s">
        <v>62</v>
      </c>
      <c r="T191" s="81">
        <v>8</v>
      </c>
      <c r="U191" s="10" t="s">
        <v>420</v>
      </c>
      <c r="V191" s="10" t="s">
        <v>450</v>
      </c>
      <c r="X191" s="15">
        <v>4</v>
      </c>
      <c r="Y191" s="10" t="s">
        <v>36</v>
      </c>
      <c r="Z191" s="10" t="s">
        <v>2849</v>
      </c>
      <c r="AA191" s="10" t="s">
        <v>37</v>
      </c>
      <c r="AB191" s="10" t="s">
        <v>24</v>
      </c>
    </row>
    <row r="192" spans="1:28">
      <c r="A192" s="10" t="s">
        <v>675</v>
      </c>
      <c r="B192" s="11" t="s">
        <v>135</v>
      </c>
      <c r="C192" s="11" t="s">
        <v>437</v>
      </c>
      <c r="D192" s="12">
        <v>27</v>
      </c>
      <c r="E192" s="11" t="s">
        <v>418</v>
      </c>
      <c r="F192" s="14" t="str">
        <f>_xlfn.XLOOKUP(E192,Profession!$B$2:$B$15,Profession!$A$2:$A$15,"Not Found")</f>
        <v>P001</v>
      </c>
      <c r="G192" s="11" t="s">
        <v>1115</v>
      </c>
      <c r="H192" s="10" t="str">
        <f>_xlfn.XLOOKUP(G192,Region!$B$2:$B$16,Region!$A$2:$A$16,"Not Found")</f>
        <v>R002</v>
      </c>
      <c r="I192" s="10" t="s">
        <v>420</v>
      </c>
      <c r="J192" s="10" t="s">
        <v>420</v>
      </c>
      <c r="K192" s="10" t="s">
        <v>435</v>
      </c>
      <c r="L192" s="10" t="s">
        <v>1058</v>
      </c>
      <c r="M192" s="16" t="s">
        <v>432</v>
      </c>
      <c r="N192" s="10" t="s">
        <v>138</v>
      </c>
      <c r="O192" s="16" t="s">
        <v>433</v>
      </c>
      <c r="P192" s="11" t="s">
        <v>422</v>
      </c>
      <c r="Q192" s="11" t="s">
        <v>1061</v>
      </c>
      <c r="R192" s="11" t="s">
        <v>1065</v>
      </c>
      <c r="S192" s="10" t="s">
        <v>62</v>
      </c>
      <c r="T192" s="81">
        <v>8</v>
      </c>
      <c r="U192" s="10" t="s">
        <v>420</v>
      </c>
      <c r="V192" s="10" t="s">
        <v>2277</v>
      </c>
      <c r="X192" s="15">
        <v>5</v>
      </c>
      <c r="Y192" s="10" t="s">
        <v>27</v>
      </c>
      <c r="Z192" s="10" t="s">
        <v>2849</v>
      </c>
      <c r="AA192" s="10" t="s">
        <v>23</v>
      </c>
      <c r="AB192" s="10" t="s">
        <v>2841</v>
      </c>
    </row>
    <row r="193" spans="1:28">
      <c r="A193" s="10" t="s">
        <v>676</v>
      </c>
      <c r="B193" s="11" t="s">
        <v>193</v>
      </c>
      <c r="C193" s="11" t="s">
        <v>437</v>
      </c>
      <c r="D193" s="12">
        <v>28</v>
      </c>
      <c r="E193" s="11" t="s">
        <v>452</v>
      </c>
      <c r="F193" s="14" t="str">
        <f>_xlfn.XLOOKUP(E193,Profession!$B$2:$B$15,Profession!$A$2:$A$15,"Not Found")</f>
        <v>P005</v>
      </c>
      <c r="G193" s="11" t="s">
        <v>453</v>
      </c>
      <c r="H193" s="10" t="str">
        <f>_xlfn.XLOOKUP(G193,Region!$B$2:$B$16,Region!$A$2:$A$16,"Not Found")</f>
        <v>R005</v>
      </c>
      <c r="I193" s="10" t="s">
        <v>420</v>
      </c>
      <c r="J193" s="10" t="s">
        <v>420</v>
      </c>
      <c r="K193" s="10" t="s">
        <v>434</v>
      </c>
      <c r="L193" s="10" t="s">
        <v>1058</v>
      </c>
      <c r="M193" s="16" t="s">
        <v>422</v>
      </c>
      <c r="N193" s="10" t="s">
        <v>105</v>
      </c>
      <c r="O193" s="16" t="s">
        <v>433</v>
      </c>
      <c r="P193" s="11" t="s">
        <v>422</v>
      </c>
      <c r="Q193" s="11" t="s">
        <v>434</v>
      </c>
      <c r="R193" s="11" t="s">
        <v>1068</v>
      </c>
      <c r="S193" s="10" t="s">
        <v>62</v>
      </c>
      <c r="T193" s="81">
        <v>7</v>
      </c>
      <c r="U193" s="10" t="s">
        <v>2272</v>
      </c>
      <c r="V193" s="10" t="s">
        <v>450</v>
      </c>
      <c r="X193" s="15">
        <v>5</v>
      </c>
      <c r="Y193" s="10" t="s">
        <v>40</v>
      </c>
      <c r="Z193" s="10" t="s">
        <v>2280</v>
      </c>
      <c r="AA193" s="10" t="s">
        <v>37</v>
      </c>
      <c r="AB193" s="10" t="s">
        <v>24</v>
      </c>
    </row>
    <row r="194" spans="1:28">
      <c r="A194" s="10" t="s">
        <v>677</v>
      </c>
      <c r="B194" s="11" t="s">
        <v>194</v>
      </c>
      <c r="C194" s="11" t="s">
        <v>437</v>
      </c>
      <c r="D194" s="12">
        <v>29</v>
      </c>
      <c r="E194" s="11" t="s">
        <v>465</v>
      </c>
      <c r="F194" s="14" t="str">
        <f>_xlfn.XLOOKUP(E194,Profession!$B$2:$B$15,Profession!$A$2:$A$15,"Not Found")</f>
        <v>P010</v>
      </c>
      <c r="G194" s="11" t="s">
        <v>467</v>
      </c>
      <c r="H194" s="10" t="str">
        <f>_xlfn.XLOOKUP(G194,Region!$B$2:$B$16,Region!$A$2:$A$16,"Not Found")</f>
        <v>R009</v>
      </c>
      <c r="I194" s="10" t="s">
        <v>420</v>
      </c>
      <c r="J194" s="10" t="s">
        <v>420</v>
      </c>
      <c r="K194" s="10" t="s">
        <v>434</v>
      </c>
      <c r="L194" s="10" t="s">
        <v>1058</v>
      </c>
      <c r="M194" s="16" t="s">
        <v>422</v>
      </c>
      <c r="N194" s="10" t="s">
        <v>138</v>
      </c>
      <c r="O194" s="16" t="s">
        <v>444</v>
      </c>
      <c r="P194" s="11" t="s">
        <v>422</v>
      </c>
      <c r="Q194" s="11" t="s">
        <v>420</v>
      </c>
      <c r="R194" s="11" t="s">
        <v>1070</v>
      </c>
      <c r="S194" s="10" t="s">
        <v>62</v>
      </c>
      <c r="T194" s="81">
        <v>6</v>
      </c>
      <c r="U194" s="10" t="s">
        <v>420</v>
      </c>
      <c r="V194" s="10" t="s">
        <v>2277</v>
      </c>
      <c r="X194" s="15">
        <v>4</v>
      </c>
      <c r="Y194" s="10" t="s">
        <v>56</v>
      </c>
      <c r="Z194" s="10" t="s">
        <v>2849</v>
      </c>
      <c r="AA194" s="10" t="s">
        <v>23</v>
      </c>
      <c r="AB194" s="10" t="s">
        <v>2843</v>
      </c>
    </row>
    <row r="195" spans="1:28">
      <c r="A195" s="10" t="s">
        <v>678</v>
      </c>
      <c r="B195" s="11" t="s">
        <v>195</v>
      </c>
      <c r="C195" s="11" t="s">
        <v>437</v>
      </c>
      <c r="D195" s="12">
        <v>30</v>
      </c>
      <c r="E195" s="11" t="s">
        <v>448</v>
      </c>
      <c r="F195" s="14" t="str">
        <f>_xlfn.XLOOKUP(E195,Profession!$B$2:$B$15,Profession!$A$2:$A$15,"Not Found")</f>
        <v>P004</v>
      </c>
      <c r="G195" s="11" t="s">
        <v>1111</v>
      </c>
      <c r="H195" s="10" t="str">
        <f>_xlfn.XLOOKUP(G195,Region!$B$2:$B$16,Region!$A$2:$A$16,"Not Found")</f>
        <v>R004</v>
      </c>
      <c r="I195" s="10" t="s">
        <v>420</v>
      </c>
      <c r="J195" s="10" t="s">
        <v>420</v>
      </c>
      <c r="K195" s="10" t="s">
        <v>431</v>
      </c>
      <c r="L195" s="10" t="s">
        <v>1057</v>
      </c>
      <c r="M195" s="16" t="s">
        <v>432</v>
      </c>
      <c r="N195" s="10" t="s">
        <v>138</v>
      </c>
      <c r="O195" s="16" t="s">
        <v>444</v>
      </c>
      <c r="P195" s="11" t="s">
        <v>422</v>
      </c>
      <c r="Q195" s="11" t="s">
        <v>420</v>
      </c>
      <c r="R195" s="11" t="s">
        <v>1070</v>
      </c>
      <c r="S195" s="10" t="s">
        <v>62</v>
      </c>
      <c r="T195" s="81">
        <v>8</v>
      </c>
      <c r="U195" s="10" t="s">
        <v>420</v>
      </c>
      <c r="V195" s="10" t="s">
        <v>450</v>
      </c>
      <c r="X195" s="15">
        <v>4</v>
      </c>
      <c r="Y195" s="10" t="s">
        <v>56</v>
      </c>
      <c r="Z195" s="10" t="s">
        <v>2849</v>
      </c>
      <c r="AA195" s="10" t="s">
        <v>23</v>
      </c>
      <c r="AB195" s="10" t="s">
        <v>46</v>
      </c>
    </row>
    <row r="196" spans="1:28">
      <c r="A196" s="10" t="s">
        <v>679</v>
      </c>
      <c r="B196" s="11" t="s">
        <v>196</v>
      </c>
      <c r="C196" s="11" t="s">
        <v>437</v>
      </c>
      <c r="D196" s="12">
        <v>31</v>
      </c>
      <c r="E196" s="11" t="s">
        <v>448</v>
      </c>
      <c r="F196" s="14" t="str">
        <f>_xlfn.XLOOKUP(E196,Profession!$B$2:$B$15,Profession!$A$2:$A$15,"Not Found")</f>
        <v>P004</v>
      </c>
      <c r="G196" s="11" t="s">
        <v>1111</v>
      </c>
      <c r="H196" s="10" t="str">
        <f>_xlfn.XLOOKUP(G196,Region!$B$2:$B$16,Region!$A$2:$A$16,"Not Found")</f>
        <v>R004</v>
      </c>
      <c r="I196" s="10" t="s">
        <v>420</v>
      </c>
      <c r="J196" s="10" t="s">
        <v>420</v>
      </c>
      <c r="K196" s="10" t="s">
        <v>431</v>
      </c>
      <c r="L196" s="10" t="s">
        <v>1058</v>
      </c>
      <c r="M196" s="16" t="s">
        <v>432</v>
      </c>
      <c r="N196" s="10" t="s">
        <v>138</v>
      </c>
      <c r="O196" s="16" t="s">
        <v>450</v>
      </c>
      <c r="P196" s="11" t="s">
        <v>422</v>
      </c>
      <c r="Q196" s="11" t="s">
        <v>420</v>
      </c>
      <c r="R196" s="11" t="s">
        <v>107</v>
      </c>
      <c r="S196" s="10" t="s">
        <v>62</v>
      </c>
      <c r="T196" s="81">
        <v>7</v>
      </c>
      <c r="U196" s="10" t="s">
        <v>420</v>
      </c>
      <c r="V196" s="10" t="s">
        <v>450</v>
      </c>
      <c r="X196" s="15">
        <v>4</v>
      </c>
      <c r="Y196" s="10" t="s">
        <v>56</v>
      </c>
      <c r="Z196" s="10" t="s">
        <v>2849</v>
      </c>
      <c r="AA196" s="10" t="s">
        <v>23</v>
      </c>
      <c r="AB196" s="10" t="s">
        <v>46</v>
      </c>
    </row>
    <row r="197" spans="1:28">
      <c r="A197" s="10" t="s">
        <v>680</v>
      </c>
      <c r="B197" s="11" t="s">
        <v>197</v>
      </c>
      <c r="C197" s="11" t="s">
        <v>437</v>
      </c>
      <c r="D197" s="12">
        <v>32</v>
      </c>
      <c r="E197" s="11" t="s">
        <v>465</v>
      </c>
      <c r="F197" s="14" t="str">
        <f>_xlfn.XLOOKUP(E197,Profession!$B$2:$B$15,Profession!$A$2:$A$15,"Not Found")</f>
        <v>P010</v>
      </c>
      <c r="G197" s="11" t="s">
        <v>419</v>
      </c>
      <c r="H197" s="10" t="str">
        <f>_xlfn.XLOOKUP(G197,Region!$B$2:$B$16,Region!$A$2:$A$16,"Not Found")</f>
        <v>R001</v>
      </c>
      <c r="I197" s="10" t="s">
        <v>423</v>
      </c>
      <c r="J197" s="10" t="s">
        <v>423</v>
      </c>
      <c r="K197" s="10" t="s">
        <v>434</v>
      </c>
      <c r="L197" s="10" t="s">
        <v>1058</v>
      </c>
      <c r="M197" s="16" t="s">
        <v>422</v>
      </c>
      <c r="N197" s="10" t="s">
        <v>138</v>
      </c>
      <c r="O197" s="16" t="s">
        <v>444</v>
      </c>
      <c r="P197" s="11" t="s">
        <v>422</v>
      </c>
      <c r="Q197" s="11" t="s">
        <v>420</v>
      </c>
      <c r="R197" s="11" t="s">
        <v>1065</v>
      </c>
      <c r="S197" s="10" t="s">
        <v>62</v>
      </c>
      <c r="T197" s="81">
        <v>8</v>
      </c>
      <c r="U197" s="10" t="s">
        <v>420</v>
      </c>
      <c r="V197" s="10" t="s">
        <v>450</v>
      </c>
      <c r="X197" s="15">
        <v>7</v>
      </c>
      <c r="Y197" s="10" t="s">
        <v>100</v>
      </c>
      <c r="Z197" s="10" t="s">
        <v>2849</v>
      </c>
      <c r="AA197" s="10" t="s">
        <v>23</v>
      </c>
      <c r="AB197" s="10" t="s">
        <v>2843</v>
      </c>
    </row>
    <row r="198" spans="1:28">
      <c r="A198" s="10" t="s">
        <v>681</v>
      </c>
      <c r="B198" s="11" t="s">
        <v>137</v>
      </c>
      <c r="C198" s="11" t="s">
        <v>417</v>
      </c>
      <c r="D198" s="12">
        <v>33</v>
      </c>
      <c r="E198" s="11" t="s">
        <v>462</v>
      </c>
      <c r="F198" s="14" t="str">
        <f>_xlfn.XLOOKUP(E198,Profession!$B$2:$B$15,Profession!$A$2:$A$15,"Not Found")</f>
        <v>P008</v>
      </c>
      <c r="G198" s="11" t="s">
        <v>464</v>
      </c>
      <c r="H198" s="10" t="str">
        <f>_xlfn.XLOOKUP(G198,Region!$B$2:$B$16,Region!$A$2:$A$16,"Not Found")</f>
        <v>R007</v>
      </c>
      <c r="I198" s="10" t="s">
        <v>423</v>
      </c>
      <c r="J198" s="10" t="s">
        <v>423</v>
      </c>
      <c r="K198" s="10" t="s">
        <v>435</v>
      </c>
      <c r="L198" s="10" t="s">
        <v>1058</v>
      </c>
      <c r="M198" s="16" t="s">
        <v>436</v>
      </c>
      <c r="N198" s="10" t="s">
        <v>138</v>
      </c>
      <c r="O198" s="16" t="s">
        <v>450</v>
      </c>
      <c r="P198" s="11" t="s">
        <v>422</v>
      </c>
      <c r="Q198" s="11" t="s">
        <v>420</v>
      </c>
      <c r="R198" s="11" t="s">
        <v>107</v>
      </c>
      <c r="S198" s="10" t="s">
        <v>62</v>
      </c>
      <c r="T198" s="81">
        <v>5</v>
      </c>
      <c r="U198" s="10" t="s">
        <v>2275</v>
      </c>
      <c r="V198" s="10" t="s">
        <v>450</v>
      </c>
      <c r="X198" s="15">
        <v>5</v>
      </c>
      <c r="Y198" s="10" t="s">
        <v>54</v>
      </c>
      <c r="Z198" s="10" t="s">
        <v>2849</v>
      </c>
      <c r="AA198" s="10" t="s">
        <v>23</v>
      </c>
      <c r="AB198" s="10" t="s">
        <v>2844</v>
      </c>
    </row>
    <row r="199" spans="1:28">
      <c r="A199" s="10" t="s">
        <v>682</v>
      </c>
      <c r="B199" s="11" t="s">
        <v>198</v>
      </c>
      <c r="C199" s="11" t="s">
        <v>417</v>
      </c>
      <c r="D199" s="12">
        <v>34</v>
      </c>
      <c r="E199" s="11" t="s">
        <v>473</v>
      </c>
      <c r="F199" s="14" t="str">
        <f>_xlfn.XLOOKUP(E199,Profession!$B$2:$B$15,Profession!$A$2:$A$15,"Not Found")</f>
        <v>P012</v>
      </c>
      <c r="G199" s="11" t="s">
        <v>419</v>
      </c>
      <c r="H199" s="10" t="str">
        <f>_xlfn.XLOOKUP(G199,Region!$B$2:$B$16,Region!$A$2:$A$16,"Not Found")</f>
        <v>R001</v>
      </c>
      <c r="I199" s="10" t="s">
        <v>423</v>
      </c>
      <c r="J199" s="10" t="s">
        <v>423</v>
      </c>
      <c r="K199" s="10" t="s">
        <v>434</v>
      </c>
      <c r="L199" s="10" t="s">
        <v>1058</v>
      </c>
      <c r="M199" s="16" t="s">
        <v>432</v>
      </c>
      <c r="N199" s="10" t="s">
        <v>138</v>
      </c>
      <c r="O199" s="16" t="s">
        <v>444</v>
      </c>
      <c r="P199" s="11" t="s">
        <v>422</v>
      </c>
      <c r="Q199" s="11" t="s">
        <v>420</v>
      </c>
      <c r="R199" s="11" t="s">
        <v>107</v>
      </c>
      <c r="S199" s="10" t="s">
        <v>62</v>
      </c>
      <c r="T199" s="81">
        <v>7</v>
      </c>
      <c r="U199" s="10" t="s">
        <v>420</v>
      </c>
      <c r="V199" s="10" t="s">
        <v>450</v>
      </c>
      <c r="X199" s="15">
        <v>5</v>
      </c>
      <c r="Y199" s="10" t="s">
        <v>87</v>
      </c>
      <c r="Z199" s="10" t="s">
        <v>2848</v>
      </c>
      <c r="AA199" s="10" t="s">
        <v>23</v>
      </c>
      <c r="AB199" s="10" t="s">
        <v>149</v>
      </c>
    </row>
    <row r="200" spans="1:28">
      <c r="A200" s="10" t="s">
        <v>683</v>
      </c>
      <c r="B200" s="11" t="s">
        <v>18</v>
      </c>
      <c r="C200" s="11" t="s">
        <v>417</v>
      </c>
      <c r="D200" s="12">
        <v>35</v>
      </c>
      <c r="E200" s="11" t="s">
        <v>452</v>
      </c>
      <c r="F200" s="14" t="str">
        <f>_xlfn.XLOOKUP(E200,Profession!$B$2:$B$15,Profession!$A$2:$A$15,"Not Found")</f>
        <v>P005</v>
      </c>
      <c r="G200" s="11" t="s">
        <v>455</v>
      </c>
      <c r="H200" s="10" t="str">
        <f>_xlfn.XLOOKUP(G200,Region!$B$2:$B$16,Region!$A$2:$A$16,"Not Found")</f>
        <v>R006</v>
      </c>
      <c r="I200" s="10" t="s">
        <v>420</v>
      </c>
      <c r="J200" s="10" t="s">
        <v>420</v>
      </c>
      <c r="K200" s="10" t="s">
        <v>434</v>
      </c>
      <c r="L200" s="10" t="s">
        <v>1058</v>
      </c>
      <c r="M200" s="16" t="s">
        <v>422</v>
      </c>
      <c r="N200" s="10" t="s">
        <v>106</v>
      </c>
      <c r="O200" s="16" t="s">
        <v>436</v>
      </c>
      <c r="P200" s="11" t="s">
        <v>422</v>
      </c>
      <c r="Q200" s="11" t="s">
        <v>435</v>
      </c>
      <c r="R200" s="11" t="s">
        <v>1071</v>
      </c>
      <c r="S200" s="10" t="s">
        <v>62</v>
      </c>
      <c r="T200" s="81">
        <v>6</v>
      </c>
      <c r="U200" s="10" t="s">
        <v>420</v>
      </c>
      <c r="V200" s="10" t="s">
        <v>2277</v>
      </c>
      <c r="X200" s="15">
        <v>8</v>
      </c>
      <c r="Y200" s="10" t="s">
        <v>42</v>
      </c>
      <c r="Z200" s="10" t="s">
        <v>2849</v>
      </c>
      <c r="AA200" s="10" t="s">
        <v>43</v>
      </c>
      <c r="AB200" s="10" t="s">
        <v>46</v>
      </c>
    </row>
    <row r="201" spans="1:28">
      <c r="A201" s="10" t="s">
        <v>684</v>
      </c>
      <c r="B201" s="11" t="s">
        <v>199</v>
      </c>
      <c r="C201" s="11" t="s">
        <v>417</v>
      </c>
      <c r="D201" s="12">
        <v>36</v>
      </c>
      <c r="E201" s="11" t="s">
        <v>452</v>
      </c>
      <c r="F201" s="14" t="str">
        <f>_xlfn.XLOOKUP(E201,Profession!$B$2:$B$15,Profession!$A$2:$A$15,"Not Found")</f>
        <v>P005</v>
      </c>
      <c r="G201" s="11" t="s">
        <v>1115</v>
      </c>
      <c r="H201" s="10" t="str">
        <f>_xlfn.XLOOKUP(G201,Region!$B$2:$B$16,Region!$A$2:$A$16,"Not Found")</f>
        <v>R002</v>
      </c>
      <c r="I201" s="10" t="s">
        <v>420</v>
      </c>
      <c r="J201" s="10" t="s">
        <v>420</v>
      </c>
      <c r="K201" s="10" t="s">
        <v>435</v>
      </c>
      <c r="L201" s="10" t="s">
        <v>1058</v>
      </c>
      <c r="M201" s="16" t="s">
        <v>429</v>
      </c>
      <c r="N201" s="10" t="s">
        <v>64</v>
      </c>
      <c r="O201" s="16" t="s">
        <v>433</v>
      </c>
      <c r="P201" s="11" t="s">
        <v>422</v>
      </c>
      <c r="Q201" s="11" t="s">
        <v>420</v>
      </c>
      <c r="R201" s="11" t="s">
        <v>1072</v>
      </c>
      <c r="S201" s="10" t="s">
        <v>2885</v>
      </c>
      <c r="T201" s="81">
        <v>6</v>
      </c>
      <c r="U201" s="10" t="s">
        <v>2273</v>
      </c>
      <c r="V201" s="10" t="s">
        <v>2277</v>
      </c>
      <c r="X201" s="15">
        <v>3</v>
      </c>
      <c r="Y201" s="10" t="s">
        <v>45</v>
      </c>
      <c r="Z201" s="10" t="s">
        <v>2849</v>
      </c>
      <c r="AA201" s="10" t="s">
        <v>37</v>
      </c>
      <c r="AB201" s="10" t="s">
        <v>149</v>
      </c>
    </row>
    <row r="202" spans="1:28">
      <c r="A202" s="10" t="s">
        <v>685</v>
      </c>
      <c r="B202" s="11" t="s">
        <v>200</v>
      </c>
      <c r="C202" s="11" t="s">
        <v>417</v>
      </c>
      <c r="D202" s="12">
        <v>37</v>
      </c>
      <c r="E202" s="11" t="s">
        <v>442</v>
      </c>
      <c r="F202" s="14" t="str">
        <f>_xlfn.XLOOKUP(E202,Profession!$B$2:$B$15,Profession!$A$2:$A$15,"Not Found")</f>
        <v>P002</v>
      </c>
      <c r="G202" s="11" t="s">
        <v>419</v>
      </c>
      <c r="H202" s="10" t="str">
        <f>_xlfn.XLOOKUP(G202,Region!$B$2:$B$16,Region!$A$2:$A$16,"Not Found")</f>
        <v>R001</v>
      </c>
      <c r="I202" s="10" t="s">
        <v>420</v>
      </c>
      <c r="J202" s="10" t="s">
        <v>420</v>
      </c>
      <c r="K202" s="10" t="s">
        <v>426</v>
      </c>
      <c r="L202" s="10" t="s">
        <v>1058</v>
      </c>
      <c r="M202" s="16" t="s">
        <v>422</v>
      </c>
      <c r="N202" s="10" t="s">
        <v>102</v>
      </c>
      <c r="O202" s="16" t="s">
        <v>426</v>
      </c>
      <c r="P202" s="11" t="s">
        <v>1059</v>
      </c>
      <c r="Q202" s="11" t="s">
        <v>422</v>
      </c>
      <c r="R202" s="11" t="s">
        <v>1062</v>
      </c>
      <c r="S202" s="10" t="s">
        <v>2884</v>
      </c>
      <c r="T202" s="81">
        <v>6.3008333333333297</v>
      </c>
      <c r="U202" s="10" t="s">
        <v>420</v>
      </c>
      <c r="V202" s="10" t="s">
        <v>2277</v>
      </c>
      <c r="X202" s="15">
        <v>4</v>
      </c>
      <c r="Y202" s="10" t="s">
        <v>36</v>
      </c>
      <c r="Z202" s="10" t="s">
        <v>2849</v>
      </c>
      <c r="AA202" s="10" t="s">
        <v>23</v>
      </c>
      <c r="AB202" s="10" t="s">
        <v>2843</v>
      </c>
    </row>
    <row r="203" spans="1:28">
      <c r="A203" s="10" t="s">
        <v>686</v>
      </c>
      <c r="B203" s="11" t="s">
        <v>201</v>
      </c>
      <c r="C203" s="11" t="s">
        <v>417</v>
      </c>
      <c r="D203" s="12">
        <v>38</v>
      </c>
      <c r="E203" s="11" t="s">
        <v>465</v>
      </c>
      <c r="F203" s="14" t="str">
        <f>_xlfn.XLOOKUP(E203,Profession!$B$2:$B$15,Profession!$A$2:$A$15,"Not Found")</f>
        <v>P010</v>
      </c>
      <c r="G203" s="11" t="s">
        <v>108</v>
      </c>
      <c r="H203" s="10" t="str">
        <f>_xlfn.XLOOKUP(G203,Region!$B$2:$B$16,Region!$A$2:$A$16,"Not Found")</f>
        <v>R010</v>
      </c>
      <c r="I203" s="10" t="s">
        <v>420</v>
      </c>
      <c r="J203" s="10" t="s">
        <v>420</v>
      </c>
      <c r="K203" s="10" t="s">
        <v>435</v>
      </c>
      <c r="L203" s="10" t="s">
        <v>1058</v>
      </c>
      <c r="M203" s="16" t="s">
        <v>422</v>
      </c>
      <c r="N203" s="10" t="s">
        <v>138</v>
      </c>
      <c r="O203" s="16" t="s">
        <v>450</v>
      </c>
      <c r="P203" s="11" t="s">
        <v>422</v>
      </c>
      <c r="Q203" s="11" t="s">
        <v>420</v>
      </c>
      <c r="R203" s="11" t="s">
        <v>107</v>
      </c>
      <c r="S203" s="10" t="s">
        <v>62</v>
      </c>
      <c r="T203" s="81">
        <v>7</v>
      </c>
      <c r="U203" s="10" t="s">
        <v>420</v>
      </c>
      <c r="V203" s="10" t="s">
        <v>450</v>
      </c>
      <c r="X203" s="15">
        <v>7</v>
      </c>
      <c r="Y203" s="10" t="s">
        <v>19</v>
      </c>
      <c r="Z203" s="10" t="s">
        <v>2849</v>
      </c>
      <c r="AA203" s="10" t="s">
        <v>23</v>
      </c>
      <c r="AB203" s="10" t="s">
        <v>2841</v>
      </c>
    </row>
    <row r="204" spans="1:28">
      <c r="A204" s="10" t="s">
        <v>687</v>
      </c>
      <c r="B204" s="11" t="s">
        <v>202</v>
      </c>
      <c r="C204" s="11" t="s">
        <v>417</v>
      </c>
      <c r="D204" s="12">
        <v>39</v>
      </c>
      <c r="E204" s="11" t="s">
        <v>458</v>
      </c>
      <c r="F204" s="14" t="str">
        <f>_xlfn.XLOOKUP(E204,Profession!$B$2:$B$15,Profession!$A$2:$A$15,"Not Found")</f>
        <v>P006</v>
      </c>
      <c r="G204" s="11" t="s">
        <v>1115</v>
      </c>
      <c r="H204" s="10" t="str">
        <f>_xlfn.XLOOKUP(G204,Region!$B$2:$B$16,Region!$A$2:$A$16,"Not Found")</f>
        <v>R002</v>
      </c>
      <c r="I204" s="10" t="s">
        <v>420</v>
      </c>
      <c r="J204" s="10" t="s">
        <v>420</v>
      </c>
      <c r="K204" s="10" t="s">
        <v>434</v>
      </c>
      <c r="L204" s="10" t="s">
        <v>1058</v>
      </c>
      <c r="M204" s="16" t="s">
        <v>432</v>
      </c>
      <c r="N204" s="10" t="s">
        <v>64</v>
      </c>
      <c r="O204" s="16" t="s">
        <v>433</v>
      </c>
      <c r="P204" s="11" t="s">
        <v>422</v>
      </c>
      <c r="Q204" s="11" t="s">
        <v>1061</v>
      </c>
      <c r="R204" s="11" t="s">
        <v>1065</v>
      </c>
      <c r="S204" s="10" t="s">
        <v>62</v>
      </c>
      <c r="T204" s="81">
        <v>6</v>
      </c>
      <c r="U204" s="10" t="s">
        <v>2274</v>
      </c>
      <c r="V204" s="10" t="s">
        <v>450</v>
      </c>
      <c r="X204" s="15">
        <v>3</v>
      </c>
      <c r="Y204" s="10" t="s">
        <v>49</v>
      </c>
      <c r="Z204" s="10" t="s">
        <v>2849</v>
      </c>
      <c r="AA204" s="10" t="s">
        <v>37</v>
      </c>
      <c r="AB204" s="10" t="s">
        <v>46</v>
      </c>
    </row>
    <row r="205" spans="1:28">
      <c r="A205" s="10" t="s">
        <v>688</v>
      </c>
      <c r="B205" s="11" t="s">
        <v>203</v>
      </c>
      <c r="C205" s="11" t="s">
        <v>417</v>
      </c>
      <c r="D205" s="12">
        <v>40</v>
      </c>
      <c r="E205" s="11" t="s">
        <v>1054</v>
      </c>
      <c r="F205" s="14" t="str">
        <f>_xlfn.XLOOKUP(E205,Profession!$B$2:$B$15,Profession!$A$2:$A$15,"Not Found")</f>
        <v>P013</v>
      </c>
      <c r="G205" s="11" t="s">
        <v>1110</v>
      </c>
      <c r="H205" s="10" t="str">
        <f>_xlfn.XLOOKUP(G205,Region!$B$2:$B$16,Region!$A$2:$A$16,"Not Found")</f>
        <v>R013</v>
      </c>
      <c r="I205" s="10" t="s">
        <v>420</v>
      </c>
      <c r="J205" s="10" t="s">
        <v>420</v>
      </c>
      <c r="K205" s="10" t="s">
        <v>435</v>
      </c>
      <c r="L205" s="10" t="s">
        <v>1058</v>
      </c>
      <c r="M205" s="16" t="s">
        <v>422</v>
      </c>
      <c r="N205" s="10" t="s">
        <v>138</v>
      </c>
      <c r="O205" s="16" t="s">
        <v>433</v>
      </c>
      <c r="P205" s="11" t="s">
        <v>435</v>
      </c>
      <c r="Q205" s="11" t="s">
        <v>420</v>
      </c>
      <c r="R205" s="11" t="s">
        <v>1067</v>
      </c>
      <c r="S205" s="10" t="s">
        <v>62</v>
      </c>
      <c r="T205" s="81">
        <v>6</v>
      </c>
      <c r="U205" s="10" t="s">
        <v>420</v>
      </c>
      <c r="V205" s="10" t="s">
        <v>450</v>
      </c>
      <c r="X205" s="15">
        <v>6</v>
      </c>
      <c r="Y205" s="10" t="s">
        <v>75</v>
      </c>
      <c r="Z205" s="10" t="s">
        <v>2847</v>
      </c>
      <c r="AA205" s="10" t="s">
        <v>70</v>
      </c>
      <c r="AB205" s="10" t="s">
        <v>149</v>
      </c>
    </row>
    <row r="206" spans="1:28">
      <c r="A206" s="10" t="s">
        <v>689</v>
      </c>
      <c r="B206" s="11" t="s">
        <v>204</v>
      </c>
      <c r="C206" s="11" t="s">
        <v>417</v>
      </c>
      <c r="D206" s="12">
        <v>41</v>
      </c>
      <c r="E206" s="11" t="s">
        <v>446</v>
      </c>
      <c r="F206" s="14" t="str">
        <f>_xlfn.XLOOKUP(E206,Profession!$B$2:$B$15,Profession!$A$2:$A$15,"Not Found")</f>
        <v>P003</v>
      </c>
      <c r="G206" s="11" t="s">
        <v>104</v>
      </c>
      <c r="H206" s="10" t="str">
        <f>_xlfn.XLOOKUP(G206,Region!$B$2:$B$16,Region!$A$2:$A$16,"Not Found")</f>
        <v>R003</v>
      </c>
      <c r="I206" s="10" t="s">
        <v>420</v>
      </c>
      <c r="J206" s="10" t="s">
        <v>420</v>
      </c>
      <c r="K206" s="10" t="s">
        <v>435</v>
      </c>
      <c r="L206" s="10" t="s">
        <v>1058</v>
      </c>
      <c r="M206" s="16" t="s">
        <v>422</v>
      </c>
      <c r="N206" s="10" t="s">
        <v>138</v>
      </c>
      <c r="O206" s="16" t="s">
        <v>433</v>
      </c>
      <c r="P206" s="11" t="s">
        <v>422</v>
      </c>
      <c r="Q206" s="11" t="s">
        <v>420</v>
      </c>
      <c r="R206" s="11" t="s">
        <v>1070</v>
      </c>
      <c r="S206" s="10" t="s">
        <v>62</v>
      </c>
      <c r="T206" s="81">
        <v>8</v>
      </c>
      <c r="U206" s="10" t="s">
        <v>420</v>
      </c>
      <c r="V206" s="10" t="s">
        <v>2277</v>
      </c>
      <c r="X206" s="15">
        <v>5</v>
      </c>
      <c r="Y206" s="10" t="s">
        <v>19</v>
      </c>
      <c r="Z206" s="10" t="s">
        <v>2849</v>
      </c>
      <c r="AA206" s="10" t="s">
        <v>23</v>
      </c>
      <c r="AB206" s="10" t="s">
        <v>28</v>
      </c>
    </row>
    <row r="207" spans="1:28">
      <c r="A207" s="10" t="s">
        <v>690</v>
      </c>
      <c r="B207" s="11" t="s">
        <v>25</v>
      </c>
      <c r="C207" s="11" t="s">
        <v>417</v>
      </c>
      <c r="D207" s="12">
        <v>42</v>
      </c>
      <c r="E207" s="11" t="s">
        <v>1088</v>
      </c>
      <c r="F207" s="14" t="str">
        <f>_xlfn.XLOOKUP(E207,Profession!$B$2:$B$15,Profession!$A$2:$A$15,"Not Found")</f>
        <v>P014</v>
      </c>
      <c r="G207" s="11" t="s">
        <v>1114</v>
      </c>
      <c r="H207" s="10" t="str">
        <f>_xlfn.XLOOKUP(G207,Region!$B$2:$B$16,Region!$A$2:$A$16,"Not Found")</f>
        <v>R014</v>
      </c>
      <c r="I207" s="10" t="s">
        <v>420</v>
      </c>
      <c r="J207" s="10" t="s">
        <v>420</v>
      </c>
      <c r="K207" s="10" t="s">
        <v>435</v>
      </c>
      <c r="L207" s="10" t="s">
        <v>1058</v>
      </c>
      <c r="M207" s="16" t="s">
        <v>422</v>
      </c>
      <c r="N207" s="10" t="s">
        <v>138</v>
      </c>
      <c r="O207" s="16" t="s">
        <v>433</v>
      </c>
      <c r="P207" s="11" t="s">
        <v>422</v>
      </c>
      <c r="Q207" s="11" t="s">
        <v>1061</v>
      </c>
      <c r="R207" s="11" t="s">
        <v>1067</v>
      </c>
      <c r="S207" s="10" t="s">
        <v>62</v>
      </c>
      <c r="T207" s="81">
        <v>6</v>
      </c>
      <c r="U207" s="10" t="s">
        <v>420</v>
      </c>
      <c r="V207" s="10" t="s">
        <v>450</v>
      </c>
      <c r="X207" s="15">
        <v>6</v>
      </c>
      <c r="Y207" s="10" t="s">
        <v>77</v>
      </c>
      <c r="Z207" s="10" t="s">
        <v>2282</v>
      </c>
      <c r="AA207" s="10" t="s">
        <v>23</v>
      </c>
      <c r="AB207" s="10" t="s">
        <v>46</v>
      </c>
    </row>
    <row r="208" spans="1:28">
      <c r="A208" s="10" t="s">
        <v>691</v>
      </c>
      <c r="B208" s="11" t="s">
        <v>205</v>
      </c>
      <c r="C208" s="11" t="s">
        <v>417</v>
      </c>
      <c r="D208" s="12">
        <v>43</v>
      </c>
      <c r="E208" s="11" t="s">
        <v>1088</v>
      </c>
      <c r="F208" s="14" t="str">
        <f>_xlfn.XLOOKUP(E208,Profession!$B$2:$B$15,Profession!$A$2:$A$15,"Not Found")</f>
        <v>P014</v>
      </c>
      <c r="G208" s="11" t="s">
        <v>477</v>
      </c>
      <c r="H208" s="10" t="str">
        <f>_xlfn.XLOOKUP(G208,Region!$B$2:$B$16,Region!$A$2:$A$16,"Not Found")</f>
        <v>R015</v>
      </c>
      <c r="I208" s="10" t="s">
        <v>420</v>
      </c>
      <c r="J208" s="10" t="s">
        <v>420</v>
      </c>
      <c r="K208" s="10" t="s">
        <v>435</v>
      </c>
      <c r="L208" s="10" t="s">
        <v>1058</v>
      </c>
      <c r="M208" s="16" t="s">
        <v>422</v>
      </c>
      <c r="N208" s="10" t="s">
        <v>138</v>
      </c>
      <c r="O208" s="16" t="s">
        <v>433</v>
      </c>
      <c r="P208" s="11" t="s">
        <v>435</v>
      </c>
      <c r="Q208" s="11" t="s">
        <v>1061</v>
      </c>
      <c r="R208" s="11" t="s">
        <v>1068</v>
      </c>
      <c r="S208" s="10" t="s">
        <v>62</v>
      </c>
      <c r="T208" s="81">
        <v>8</v>
      </c>
      <c r="U208" s="10" t="s">
        <v>420</v>
      </c>
      <c r="V208" s="10" t="s">
        <v>450</v>
      </c>
      <c r="X208" s="15">
        <v>6</v>
      </c>
      <c r="Y208" s="10" t="s">
        <v>36</v>
      </c>
      <c r="Z208" s="10" t="s">
        <v>2849</v>
      </c>
      <c r="AA208" s="10" t="s">
        <v>23</v>
      </c>
      <c r="AB208" s="10" t="s">
        <v>2841</v>
      </c>
    </row>
    <row r="209" spans="1:28">
      <c r="A209" s="10" t="s">
        <v>692</v>
      </c>
      <c r="B209" s="11" t="s">
        <v>206</v>
      </c>
      <c r="C209" s="11" t="s">
        <v>417</v>
      </c>
      <c r="D209" s="12">
        <v>20</v>
      </c>
      <c r="E209" s="11" t="s">
        <v>418</v>
      </c>
      <c r="F209" s="14" t="str">
        <f>_xlfn.XLOOKUP(E209,Profession!$B$2:$B$15,Profession!$A$2:$A$15,"Not Found")</f>
        <v>P001</v>
      </c>
      <c r="G209" s="11" t="s">
        <v>419</v>
      </c>
      <c r="H209" s="10" t="str">
        <f>_xlfn.XLOOKUP(G209,Region!$B$2:$B$16,Region!$A$2:$A$16,"Not Found")</f>
        <v>R001</v>
      </c>
      <c r="I209" s="10" t="s">
        <v>420</v>
      </c>
      <c r="J209" s="10" t="s">
        <v>420</v>
      </c>
      <c r="K209" s="10" t="s">
        <v>435</v>
      </c>
      <c r="L209" s="10" t="s">
        <v>1057</v>
      </c>
      <c r="M209" s="16" t="s">
        <v>422</v>
      </c>
      <c r="N209" s="10" t="s">
        <v>26</v>
      </c>
      <c r="O209" s="16" t="s">
        <v>423</v>
      </c>
      <c r="P209" s="11" t="s">
        <v>1059</v>
      </c>
      <c r="Q209" s="11" t="s">
        <v>422</v>
      </c>
      <c r="R209" s="11" t="s">
        <v>1062</v>
      </c>
      <c r="S209" s="10" t="s">
        <v>2884</v>
      </c>
      <c r="T209" s="81">
        <v>7</v>
      </c>
      <c r="U209" s="10" t="s">
        <v>420</v>
      </c>
      <c r="V209" s="10" t="s">
        <v>2278</v>
      </c>
      <c r="X209" s="15">
        <v>3</v>
      </c>
      <c r="Y209" s="10" t="s">
        <v>27</v>
      </c>
      <c r="Z209" s="10" t="s">
        <v>2849</v>
      </c>
      <c r="AA209" s="10" t="s">
        <v>23</v>
      </c>
      <c r="AB209" s="10" t="s">
        <v>24</v>
      </c>
    </row>
    <row r="210" spans="1:28">
      <c r="A210" s="10" t="s">
        <v>693</v>
      </c>
      <c r="B210" s="11" t="s">
        <v>207</v>
      </c>
      <c r="C210" s="11" t="s">
        <v>417</v>
      </c>
      <c r="D210" s="12">
        <v>21</v>
      </c>
      <c r="E210" s="11" t="s">
        <v>465</v>
      </c>
      <c r="F210" s="14" t="str">
        <f>_xlfn.XLOOKUP(E210,Profession!$B$2:$B$15,Profession!$A$2:$A$15,"Not Found")</f>
        <v>P010</v>
      </c>
      <c r="G210" s="11" t="s">
        <v>1115</v>
      </c>
      <c r="H210" s="10" t="str">
        <f>_xlfn.XLOOKUP(G210,Region!$B$2:$B$16,Region!$A$2:$A$16,"Not Found")</f>
        <v>R002</v>
      </c>
      <c r="I210" s="10" t="s">
        <v>420</v>
      </c>
      <c r="J210" s="10" t="s">
        <v>420</v>
      </c>
      <c r="K210" s="10" t="s">
        <v>421</v>
      </c>
      <c r="L210" s="10" t="s">
        <v>1058</v>
      </c>
      <c r="M210" s="16" t="s">
        <v>422</v>
      </c>
      <c r="N210" s="10" t="s">
        <v>138</v>
      </c>
      <c r="O210" s="16" t="s">
        <v>450</v>
      </c>
      <c r="P210" s="11" t="s">
        <v>422</v>
      </c>
      <c r="Q210" s="11" t="s">
        <v>420</v>
      </c>
      <c r="R210" s="11" t="s">
        <v>1065</v>
      </c>
      <c r="S210" s="10" t="s">
        <v>62</v>
      </c>
      <c r="T210" s="81">
        <v>8</v>
      </c>
      <c r="U210" s="10" t="s">
        <v>420</v>
      </c>
      <c r="V210" s="10" t="s">
        <v>450</v>
      </c>
      <c r="X210" s="15">
        <v>4</v>
      </c>
      <c r="Y210" s="10" t="s">
        <v>56</v>
      </c>
      <c r="Z210" s="10" t="s">
        <v>2849</v>
      </c>
      <c r="AA210" s="10" t="s">
        <v>23</v>
      </c>
      <c r="AB210" s="10" t="s">
        <v>2843</v>
      </c>
    </row>
    <row r="211" spans="1:28">
      <c r="A211" s="10" t="s">
        <v>694</v>
      </c>
      <c r="B211" s="11" t="s">
        <v>208</v>
      </c>
      <c r="C211" s="11" t="s">
        <v>417</v>
      </c>
      <c r="D211" s="12">
        <v>22</v>
      </c>
      <c r="E211" s="11" t="s">
        <v>442</v>
      </c>
      <c r="F211" s="14" t="str">
        <f>_xlfn.XLOOKUP(E211,Profession!$B$2:$B$15,Profession!$A$2:$A$15,"Not Found")</f>
        <v>P002</v>
      </c>
      <c r="G211" s="11" t="s">
        <v>419</v>
      </c>
      <c r="H211" s="10" t="str">
        <f>_xlfn.XLOOKUP(G211,Region!$B$2:$B$16,Region!$A$2:$A$16,"Not Found")</f>
        <v>R001</v>
      </c>
      <c r="I211" s="10" t="s">
        <v>420</v>
      </c>
      <c r="J211" s="10" t="s">
        <v>420</v>
      </c>
      <c r="K211" s="10" t="s">
        <v>435</v>
      </c>
      <c r="L211" s="10" t="s">
        <v>1058</v>
      </c>
      <c r="M211" s="16" t="s">
        <v>436</v>
      </c>
      <c r="N211" s="10" t="s">
        <v>138</v>
      </c>
      <c r="O211" s="16" t="s">
        <v>444</v>
      </c>
      <c r="P211" s="11" t="s">
        <v>422</v>
      </c>
      <c r="Q211" s="11" t="s">
        <v>1061</v>
      </c>
      <c r="R211" s="11" t="s">
        <v>1068</v>
      </c>
      <c r="S211" s="10" t="s">
        <v>62</v>
      </c>
      <c r="T211" s="81">
        <v>6</v>
      </c>
      <c r="U211" s="10" t="s">
        <v>420</v>
      </c>
      <c r="V211" s="10" t="s">
        <v>2277</v>
      </c>
      <c r="X211" s="15">
        <v>6</v>
      </c>
      <c r="Y211" s="10" t="s">
        <v>100</v>
      </c>
      <c r="Z211" s="10" t="s">
        <v>2849</v>
      </c>
      <c r="AA211" s="10" t="s">
        <v>37</v>
      </c>
      <c r="AB211" s="10" t="s">
        <v>2844</v>
      </c>
    </row>
    <row r="212" spans="1:28">
      <c r="A212" s="10" t="s">
        <v>695</v>
      </c>
      <c r="B212" s="11" t="s">
        <v>209</v>
      </c>
      <c r="C212" s="11" t="s">
        <v>417</v>
      </c>
      <c r="D212" s="12">
        <v>23</v>
      </c>
      <c r="E212" s="11" t="s">
        <v>462</v>
      </c>
      <c r="F212" s="14" t="str">
        <f>_xlfn.XLOOKUP(E212,Profession!$B$2:$B$15,Profession!$A$2:$A$15,"Not Found")</f>
        <v>P008</v>
      </c>
      <c r="G212" s="11" t="s">
        <v>1112</v>
      </c>
      <c r="H212" s="10" t="str">
        <f>_xlfn.XLOOKUP(G212,Region!$B$2:$B$16,Region!$A$2:$A$16,"Not Found")</f>
        <v>R008</v>
      </c>
      <c r="I212" s="10" t="s">
        <v>420</v>
      </c>
      <c r="J212" s="10" t="s">
        <v>420</v>
      </c>
      <c r="K212" s="10" t="s">
        <v>431</v>
      </c>
      <c r="L212" s="10" t="s">
        <v>1058</v>
      </c>
      <c r="M212" s="16" t="s">
        <v>422</v>
      </c>
      <c r="N212" s="10" t="s">
        <v>138</v>
      </c>
      <c r="O212" s="16" t="s">
        <v>450</v>
      </c>
      <c r="P212" s="11" t="s">
        <v>422</v>
      </c>
      <c r="Q212" s="11" t="s">
        <v>420</v>
      </c>
      <c r="R212" s="11" t="s">
        <v>107</v>
      </c>
      <c r="S212" s="10" t="s">
        <v>62</v>
      </c>
      <c r="T212" s="81">
        <v>7</v>
      </c>
      <c r="U212" s="10" t="s">
        <v>420</v>
      </c>
      <c r="V212" s="10" t="s">
        <v>450</v>
      </c>
      <c r="X212" s="15">
        <v>5</v>
      </c>
      <c r="Y212" s="10" t="s">
        <v>56</v>
      </c>
      <c r="Z212" s="10" t="s">
        <v>2849</v>
      </c>
      <c r="AA212" s="10" t="s">
        <v>23</v>
      </c>
      <c r="AB212" s="10" t="s">
        <v>2843</v>
      </c>
    </row>
    <row r="213" spans="1:28">
      <c r="A213" s="10" t="s">
        <v>696</v>
      </c>
      <c r="B213" s="11" t="s">
        <v>210</v>
      </c>
      <c r="C213" s="11" t="s">
        <v>417</v>
      </c>
      <c r="D213" s="12">
        <v>24</v>
      </c>
      <c r="E213" s="11" t="s">
        <v>473</v>
      </c>
      <c r="F213" s="14" t="str">
        <f>_xlfn.XLOOKUP(E213,Profession!$B$2:$B$15,Profession!$A$2:$A$15,"Not Found")</f>
        <v>P012</v>
      </c>
      <c r="G213" s="11" t="s">
        <v>1113</v>
      </c>
      <c r="H213" s="10" t="str">
        <f>_xlfn.XLOOKUP(G213,Region!$B$2:$B$16,Region!$A$2:$A$16,"Not Found")</f>
        <v>R012</v>
      </c>
      <c r="I213" s="10" t="s">
        <v>423</v>
      </c>
      <c r="J213" s="10" t="s">
        <v>423</v>
      </c>
      <c r="K213" s="10" t="s">
        <v>435</v>
      </c>
      <c r="L213" s="10" t="s">
        <v>1058</v>
      </c>
      <c r="M213" s="16" t="s">
        <v>422</v>
      </c>
      <c r="N213" s="10" t="s">
        <v>138</v>
      </c>
      <c r="O213" s="16" t="s">
        <v>444</v>
      </c>
      <c r="P213" s="11" t="s">
        <v>422</v>
      </c>
      <c r="Q213" s="11" t="s">
        <v>1061</v>
      </c>
      <c r="R213" s="11" t="s">
        <v>107</v>
      </c>
      <c r="S213" s="10" t="s">
        <v>62</v>
      </c>
      <c r="T213" s="81">
        <v>6</v>
      </c>
      <c r="U213" s="10" t="s">
        <v>420</v>
      </c>
      <c r="V213" s="10" t="s">
        <v>2277</v>
      </c>
      <c r="X213" s="15">
        <v>6</v>
      </c>
      <c r="Y213" s="10" t="s">
        <v>22</v>
      </c>
      <c r="Z213" s="10" t="s">
        <v>2846</v>
      </c>
      <c r="AA213" s="10" t="s">
        <v>23</v>
      </c>
      <c r="AB213" s="10" t="s">
        <v>2842</v>
      </c>
    </row>
    <row r="214" spans="1:28">
      <c r="A214" s="10" t="s">
        <v>697</v>
      </c>
      <c r="B214" s="11" t="s">
        <v>211</v>
      </c>
      <c r="C214" s="11" t="s">
        <v>417</v>
      </c>
      <c r="D214" s="12">
        <v>25</v>
      </c>
      <c r="E214" s="11" t="s">
        <v>1108</v>
      </c>
      <c r="F214" s="14" t="str">
        <f>_xlfn.XLOOKUP(E214,Profession!$B$2:$B$15,Profession!$A$2:$A$15,"Not Found")</f>
        <v>P011</v>
      </c>
      <c r="G214" s="11" t="s">
        <v>419</v>
      </c>
      <c r="H214" s="10" t="str">
        <f>_xlfn.XLOOKUP(G214,Region!$B$2:$B$16,Region!$A$2:$A$16,"Not Found")</f>
        <v>R001</v>
      </c>
      <c r="I214" s="10" t="s">
        <v>420</v>
      </c>
      <c r="J214" s="10" t="s">
        <v>420</v>
      </c>
      <c r="K214" s="10" t="s">
        <v>431</v>
      </c>
      <c r="L214" s="10" t="s">
        <v>1058</v>
      </c>
      <c r="M214" s="16" t="s">
        <v>422</v>
      </c>
      <c r="N214" s="10" t="s">
        <v>138</v>
      </c>
      <c r="O214" s="16" t="s">
        <v>444</v>
      </c>
      <c r="P214" s="11" t="s">
        <v>422</v>
      </c>
      <c r="Q214" s="11" t="s">
        <v>420</v>
      </c>
      <c r="R214" s="11" t="s">
        <v>1070</v>
      </c>
      <c r="S214" s="10" t="s">
        <v>62</v>
      </c>
      <c r="T214" s="81">
        <v>6</v>
      </c>
      <c r="U214" s="10" t="s">
        <v>420</v>
      </c>
      <c r="V214" s="10" t="s">
        <v>2277</v>
      </c>
      <c r="X214" s="15">
        <v>5</v>
      </c>
      <c r="Y214" s="10" t="s">
        <v>58</v>
      </c>
      <c r="Z214" s="10" t="s">
        <v>2849</v>
      </c>
      <c r="AA214" s="10" t="s">
        <v>23</v>
      </c>
      <c r="AB214" s="10" t="s">
        <v>2843</v>
      </c>
    </row>
    <row r="215" spans="1:28">
      <c r="A215" s="10" t="s">
        <v>698</v>
      </c>
      <c r="B215" s="11" t="s">
        <v>212</v>
      </c>
      <c r="C215" s="11" t="s">
        <v>417</v>
      </c>
      <c r="D215" s="12">
        <v>26</v>
      </c>
      <c r="E215" s="11" t="s">
        <v>459</v>
      </c>
      <c r="F215" s="14" t="str">
        <f>_xlfn.XLOOKUP(E215,Profession!$B$2:$B$15,Profession!$A$2:$A$15,"Not Found")</f>
        <v>P007</v>
      </c>
      <c r="G215" s="11" t="s">
        <v>419</v>
      </c>
      <c r="H215" s="10" t="str">
        <f>_xlfn.XLOOKUP(G215,Region!$B$2:$B$16,Region!$A$2:$A$16,"Not Found")</f>
        <v>R001</v>
      </c>
      <c r="I215" s="10" t="s">
        <v>420</v>
      </c>
      <c r="J215" s="10" t="s">
        <v>420</v>
      </c>
      <c r="K215" s="10" t="s">
        <v>421</v>
      </c>
      <c r="L215" s="10" t="s">
        <v>1058</v>
      </c>
      <c r="M215" s="16" t="s">
        <v>422</v>
      </c>
      <c r="N215" s="10" t="s">
        <v>19</v>
      </c>
      <c r="O215" s="16" t="s">
        <v>444</v>
      </c>
      <c r="P215" s="11" t="s">
        <v>422</v>
      </c>
      <c r="Q215" s="11" t="s">
        <v>420</v>
      </c>
      <c r="R215" s="11" t="s">
        <v>1070</v>
      </c>
      <c r="S215" s="10" t="s">
        <v>62</v>
      </c>
      <c r="T215" s="81">
        <v>8</v>
      </c>
      <c r="U215" s="10" t="s">
        <v>420</v>
      </c>
      <c r="V215" s="10" t="s">
        <v>450</v>
      </c>
      <c r="X215" s="15">
        <v>4</v>
      </c>
      <c r="Y215" s="10" t="s">
        <v>36</v>
      </c>
      <c r="Z215" s="10" t="s">
        <v>2849</v>
      </c>
      <c r="AA215" s="10" t="s">
        <v>37</v>
      </c>
      <c r="AB215" s="10" t="s">
        <v>24</v>
      </c>
    </row>
    <row r="216" spans="1:28">
      <c r="A216" s="10" t="s">
        <v>699</v>
      </c>
      <c r="B216" s="11" t="s">
        <v>213</v>
      </c>
      <c r="C216" s="11" t="s">
        <v>417</v>
      </c>
      <c r="D216" s="12">
        <v>27</v>
      </c>
      <c r="E216" s="11" t="s">
        <v>418</v>
      </c>
      <c r="F216" s="14" t="str">
        <f>_xlfn.XLOOKUP(E216,Profession!$B$2:$B$15,Profession!$A$2:$A$15,"Not Found")</f>
        <v>P001</v>
      </c>
      <c r="G216" s="11" t="s">
        <v>1115</v>
      </c>
      <c r="H216" s="10" t="str">
        <f>_xlfn.XLOOKUP(G216,Region!$B$2:$B$16,Region!$A$2:$A$16,"Not Found")</f>
        <v>R002</v>
      </c>
      <c r="I216" s="10" t="s">
        <v>420</v>
      </c>
      <c r="J216" s="10" t="s">
        <v>420</v>
      </c>
      <c r="K216" s="10" t="s">
        <v>435</v>
      </c>
      <c r="L216" s="10" t="s">
        <v>1058</v>
      </c>
      <c r="M216" s="16" t="s">
        <v>432</v>
      </c>
      <c r="N216" s="10" t="s">
        <v>138</v>
      </c>
      <c r="O216" s="16" t="s">
        <v>433</v>
      </c>
      <c r="P216" s="11" t="s">
        <v>422</v>
      </c>
      <c r="Q216" s="11" t="s">
        <v>1061</v>
      </c>
      <c r="R216" s="11" t="s">
        <v>1065</v>
      </c>
      <c r="S216" s="10" t="s">
        <v>62</v>
      </c>
      <c r="T216" s="81">
        <v>8</v>
      </c>
      <c r="U216" s="10" t="s">
        <v>420</v>
      </c>
      <c r="V216" s="10" t="s">
        <v>2277</v>
      </c>
      <c r="X216" s="15">
        <v>5</v>
      </c>
      <c r="Y216" s="10" t="s">
        <v>27</v>
      </c>
      <c r="Z216" s="10" t="s">
        <v>2849</v>
      </c>
      <c r="AA216" s="10" t="s">
        <v>23</v>
      </c>
      <c r="AB216" s="10" t="s">
        <v>2841</v>
      </c>
    </row>
    <row r="217" spans="1:28">
      <c r="A217" s="10" t="s">
        <v>700</v>
      </c>
      <c r="B217" s="11" t="s">
        <v>81</v>
      </c>
      <c r="C217" s="11" t="s">
        <v>417</v>
      </c>
      <c r="D217" s="12">
        <v>28</v>
      </c>
      <c r="E217" s="11" t="s">
        <v>452</v>
      </c>
      <c r="F217" s="14" t="str">
        <f>_xlfn.XLOOKUP(E217,Profession!$B$2:$B$15,Profession!$A$2:$A$15,"Not Found")</f>
        <v>P005</v>
      </c>
      <c r="G217" s="11" t="s">
        <v>453</v>
      </c>
      <c r="H217" s="10" t="str">
        <f>_xlfn.XLOOKUP(G217,Region!$B$2:$B$16,Region!$A$2:$A$16,"Not Found")</f>
        <v>R005</v>
      </c>
      <c r="I217" s="10" t="s">
        <v>420</v>
      </c>
      <c r="J217" s="10" t="s">
        <v>420</v>
      </c>
      <c r="K217" s="10" t="s">
        <v>434</v>
      </c>
      <c r="L217" s="10" t="s">
        <v>1058</v>
      </c>
      <c r="M217" s="16" t="s">
        <v>422</v>
      </c>
      <c r="N217" s="10" t="s">
        <v>105</v>
      </c>
      <c r="O217" s="16" t="s">
        <v>433</v>
      </c>
      <c r="P217" s="11" t="s">
        <v>422</v>
      </c>
      <c r="Q217" s="11" t="s">
        <v>434</v>
      </c>
      <c r="R217" s="11" t="s">
        <v>1068</v>
      </c>
      <c r="S217" s="10" t="s">
        <v>62</v>
      </c>
      <c r="T217" s="81">
        <v>7</v>
      </c>
      <c r="U217" s="10" t="s">
        <v>2272</v>
      </c>
      <c r="V217" s="10" t="s">
        <v>450</v>
      </c>
      <c r="X217" s="15">
        <v>5</v>
      </c>
      <c r="Y217" s="10" t="s">
        <v>40</v>
      </c>
      <c r="Z217" s="10" t="s">
        <v>2280</v>
      </c>
      <c r="AA217" s="10" t="s">
        <v>37</v>
      </c>
      <c r="AB217" s="10" t="s">
        <v>24</v>
      </c>
    </row>
    <row r="218" spans="1:28">
      <c r="A218" s="10" t="s">
        <v>701</v>
      </c>
      <c r="B218" s="11" t="s">
        <v>214</v>
      </c>
      <c r="C218" s="11" t="s">
        <v>417</v>
      </c>
      <c r="D218" s="12">
        <v>29</v>
      </c>
      <c r="E218" s="11" t="s">
        <v>465</v>
      </c>
      <c r="F218" s="14" t="str">
        <f>_xlfn.XLOOKUP(E218,Profession!$B$2:$B$15,Profession!$A$2:$A$15,"Not Found")</f>
        <v>P010</v>
      </c>
      <c r="G218" s="11" t="s">
        <v>467</v>
      </c>
      <c r="H218" s="10" t="str">
        <f>_xlfn.XLOOKUP(G218,Region!$B$2:$B$16,Region!$A$2:$A$16,"Not Found")</f>
        <v>R009</v>
      </c>
      <c r="I218" s="10" t="s">
        <v>420</v>
      </c>
      <c r="J218" s="10" t="s">
        <v>420</v>
      </c>
      <c r="K218" s="10" t="s">
        <v>434</v>
      </c>
      <c r="L218" s="10" t="s">
        <v>1058</v>
      </c>
      <c r="M218" s="16" t="s">
        <v>422</v>
      </c>
      <c r="N218" s="10" t="s">
        <v>138</v>
      </c>
      <c r="O218" s="16" t="s">
        <v>444</v>
      </c>
      <c r="P218" s="11" t="s">
        <v>422</v>
      </c>
      <c r="Q218" s="11" t="s">
        <v>420</v>
      </c>
      <c r="R218" s="11" t="s">
        <v>1070</v>
      </c>
      <c r="S218" s="10" t="s">
        <v>62</v>
      </c>
      <c r="T218" s="81">
        <v>6</v>
      </c>
      <c r="U218" s="10" t="s">
        <v>420</v>
      </c>
      <c r="V218" s="10" t="s">
        <v>2277</v>
      </c>
      <c r="X218" s="15">
        <v>4</v>
      </c>
      <c r="Y218" s="10" t="s">
        <v>56</v>
      </c>
      <c r="Z218" s="10" t="s">
        <v>2849</v>
      </c>
      <c r="AA218" s="10" t="s">
        <v>23</v>
      </c>
      <c r="AB218" s="10" t="s">
        <v>2843</v>
      </c>
    </row>
    <row r="219" spans="1:28">
      <c r="A219" s="10" t="s">
        <v>702</v>
      </c>
      <c r="B219" s="11" t="s">
        <v>215</v>
      </c>
      <c r="C219" s="11" t="s">
        <v>417</v>
      </c>
      <c r="D219" s="12">
        <v>30</v>
      </c>
      <c r="E219" s="11" t="s">
        <v>448</v>
      </c>
      <c r="F219" s="14" t="str">
        <f>_xlfn.XLOOKUP(E219,Profession!$B$2:$B$15,Profession!$A$2:$A$15,"Not Found")</f>
        <v>P004</v>
      </c>
      <c r="G219" s="11" t="s">
        <v>1111</v>
      </c>
      <c r="H219" s="10" t="str">
        <f>_xlfn.XLOOKUP(G219,Region!$B$2:$B$16,Region!$A$2:$A$16,"Not Found")</f>
        <v>R004</v>
      </c>
      <c r="I219" s="10" t="s">
        <v>420</v>
      </c>
      <c r="J219" s="10" t="s">
        <v>420</v>
      </c>
      <c r="K219" s="10" t="s">
        <v>431</v>
      </c>
      <c r="L219" s="10" t="s">
        <v>1057</v>
      </c>
      <c r="M219" s="16" t="s">
        <v>432</v>
      </c>
      <c r="N219" s="10" t="s">
        <v>138</v>
      </c>
      <c r="O219" s="16" t="s">
        <v>444</v>
      </c>
      <c r="P219" s="11" t="s">
        <v>422</v>
      </c>
      <c r="Q219" s="11" t="s">
        <v>420</v>
      </c>
      <c r="R219" s="11" t="s">
        <v>1070</v>
      </c>
      <c r="S219" s="10" t="s">
        <v>62</v>
      </c>
      <c r="T219" s="81">
        <v>8</v>
      </c>
      <c r="U219" s="10" t="s">
        <v>420</v>
      </c>
      <c r="V219" s="10" t="s">
        <v>450</v>
      </c>
      <c r="X219" s="15">
        <v>4</v>
      </c>
      <c r="Y219" s="10" t="s">
        <v>56</v>
      </c>
      <c r="Z219" s="10" t="s">
        <v>2849</v>
      </c>
      <c r="AA219" s="10" t="s">
        <v>23</v>
      </c>
      <c r="AB219" s="10" t="s">
        <v>46</v>
      </c>
    </row>
    <row r="220" spans="1:28">
      <c r="A220" s="10" t="s">
        <v>703</v>
      </c>
      <c r="B220" s="11" t="s">
        <v>216</v>
      </c>
      <c r="C220" s="11" t="s">
        <v>417</v>
      </c>
      <c r="D220" s="12">
        <v>31</v>
      </c>
      <c r="E220" s="11" t="s">
        <v>448</v>
      </c>
      <c r="F220" s="14" t="str">
        <f>_xlfn.XLOOKUP(E220,Profession!$B$2:$B$15,Profession!$A$2:$A$15,"Not Found")</f>
        <v>P004</v>
      </c>
      <c r="G220" s="11" t="s">
        <v>1111</v>
      </c>
      <c r="H220" s="10" t="str">
        <f>_xlfn.XLOOKUP(G220,Region!$B$2:$B$16,Region!$A$2:$A$16,"Not Found")</f>
        <v>R004</v>
      </c>
      <c r="I220" s="10" t="s">
        <v>420</v>
      </c>
      <c r="J220" s="10" t="s">
        <v>420</v>
      </c>
      <c r="K220" s="10" t="s">
        <v>431</v>
      </c>
      <c r="L220" s="10" t="s">
        <v>1058</v>
      </c>
      <c r="M220" s="16" t="s">
        <v>432</v>
      </c>
      <c r="N220" s="10" t="s">
        <v>138</v>
      </c>
      <c r="O220" s="16" t="s">
        <v>450</v>
      </c>
      <c r="P220" s="11" t="s">
        <v>422</v>
      </c>
      <c r="Q220" s="11" t="s">
        <v>420</v>
      </c>
      <c r="R220" s="11" t="s">
        <v>107</v>
      </c>
      <c r="S220" s="10" t="s">
        <v>62</v>
      </c>
      <c r="T220" s="81">
        <v>7</v>
      </c>
      <c r="U220" s="10" t="s">
        <v>420</v>
      </c>
      <c r="V220" s="10" t="s">
        <v>450</v>
      </c>
      <c r="X220" s="15">
        <v>4</v>
      </c>
      <c r="Y220" s="10" t="s">
        <v>56</v>
      </c>
      <c r="Z220" s="10" t="s">
        <v>2849</v>
      </c>
      <c r="AA220" s="10" t="s">
        <v>23</v>
      </c>
      <c r="AB220" s="10" t="s">
        <v>46</v>
      </c>
    </row>
    <row r="221" spans="1:28">
      <c r="A221" s="10" t="s">
        <v>704</v>
      </c>
      <c r="B221" s="11" t="s">
        <v>217</v>
      </c>
      <c r="C221" s="11" t="s">
        <v>417</v>
      </c>
      <c r="D221" s="12">
        <v>32</v>
      </c>
      <c r="E221" s="11" t="s">
        <v>465</v>
      </c>
      <c r="F221" s="14" t="str">
        <f>_xlfn.XLOOKUP(E221,Profession!$B$2:$B$15,Profession!$A$2:$A$15,"Not Found")</f>
        <v>P010</v>
      </c>
      <c r="G221" s="11" t="s">
        <v>419</v>
      </c>
      <c r="H221" s="10" t="str">
        <f>_xlfn.XLOOKUP(G221,Region!$B$2:$B$16,Region!$A$2:$A$16,"Not Found")</f>
        <v>R001</v>
      </c>
      <c r="I221" s="10" t="s">
        <v>423</v>
      </c>
      <c r="J221" s="10" t="s">
        <v>423</v>
      </c>
      <c r="K221" s="10" t="s">
        <v>434</v>
      </c>
      <c r="L221" s="10" t="s">
        <v>1058</v>
      </c>
      <c r="M221" s="16" t="s">
        <v>422</v>
      </c>
      <c r="N221" s="10" t="s">
        <v>138</v>
      </c>
      <c r="O221" s="16" t="s">
        <v>444</v>
      </c>
      <c r="P221" s="11" t="s">
        <v>422</v>
      </c>
      <c r="Q221" s="11" t="s">
        <v>420</v>
      </c>
      <c r="R221" s="11" t="s">
        <v>1065</v>
      </c>
      <c r="S221" s="10" t="s">
        <v>62</v>
      </c>
      <c r="T221" s="81">
        <v>8</v>
      </c>
      <c r="U221" s="10" t="s">
        <v>420</v>
      </c>
      <c r="V221" s="10" t="s">
        <v>450</v>
      </c>
      <c r="X221" s="15">
        <v>7</v>
      </c>
      <c r="Y221" s="10" t="s">
        <v>100</v>
      </c>
      <c r="Z221" s="10" t="s">
        <v>2849</v>
      </c>
      <c r="AA221" s="10" t="s">
        <v>23</v>
      </c>
      <c r="AB221" s="10" t="s">
        <v>2843</v>
      </c>
    </row>
    <row r="222" spans="1:28">
      <c r="A222" s="10" t="s">
        <v>705</v>
      </c>
      <c r="B222" s="11" t="s">
        <v>218</v>
      </c>
      <c r="C222" s="11" t="s">
        <v>417</v>
      </c>
      <c r="D222" s="12">
        <v>33</v>
      </c>
      <c r="E222" s="11" t="s">
        <v>462</v>
      </c>
      <c r="F222" s="14" t="str">
        <f>_xlfn.XLOOKUP(E222,Profession!$B$2:$B$15,Profession!$A$2:$A$15,"Not Found")</f>
        <v>P008</v>
      </c>
      <c r="G222" s="11" t="s">
        <v>464</v>
      </c>
      <c r="H222" s="10" t="str">
        <f>_xlfn.XLOOKUP(G222,Region!$B$2:$B$16,Region!$A$2:$A$16,"Not Found")</f>
        <v>R007</v>
      </c>
      <c r="I222" s="10" t="s">
        <v>423</v>
      </c>
      <c r="J222" s="10" t="s">
        <v>423</v>
      </c>
      <c r="K222" s="10" t="s">
        <v>435</v>
      </c>
      <c r="L222" s="10" t="s">
        <v>1058</v>
      </c>
      <c r="M222" s="16" t="s">
        <v>436</v>
      </c>
      <c r="N222" s="10" t="s">
        <v>138</v>
      </c>
      <c r="O222" s="16" t="s">
        <v>450</v>
      </c>
      <c r="P222" s="11" t="s">
        <v>422</v>
      </c>
      <c r="Q222" s="11" t="s">
        <v>420</v>
      </c>
      <c r="R222" s="11" t="s">
        <v>107</v>
      </c>
      <c r="S222" s="10" t="s">
        <v>62</v>
      </c>
      <c r="T222" s="81">
        <v>5</v>
      </c>
      <c r="U222" s="10" t="s">
        <v>2275</v>
      </c>
      <c r="V222" s="10" t="s">
        <v>450</v>
      </c>
      <c r="X222" s="15">
        <v>5</v>
      </c>
      <c r="Y222" s="10" t="s">
        <v>54</v>
      </c>
      <c r="Z222" s="10" t="s">
        <v>2849</v>
      </c>
      <c r="AA222" s="10" t="s">
        <v>23</v>
      </c>
      <c r="AB222" s="10" t="s">
        <v>2844</v>
      </c>
    </row>
    <row r="223" spans="1:28">
      <c r="A223" s="10" t="s">
        <v>706</v>
      </c>
      <c r="B223" s="11" t="s">
        <v>219</v>
      </c>
      <c r="C223" s="11" t="s">
        <v>417</v>
      </c>
      <c r="D223" s="12">
        <v>34</v>
      </c>
      <c r="E223" s="11" t="s">
        <v>473</v>
      </c>
      <c r="F223" s="14" t="str">
        <f>_xlfn.XLOOKUP(E223,Profession!$B$2:$B$15,Profession!$A$2:$A$15,"Not Found")</f>
        <v>P012</v>
      </c>
      <c r="G223" s="11" t="s">
        <v>419</v>
      </c>
      <c r="H223" s="10" t="str">
        <f>_xlfn.XLOOKUP(G223,Region!$B$2:$B$16,Region!$A$2:$A$16,"Not Found")</f>
        <v>R001</v>
      </c>
      <c r="I223" s="10" t="s">
        <v>423</v>
      </c>
      <c r="J223" s="10" t="s">
        <v>423</v>
      </c>
      <c r="K223" s="10" t="s">
        <v>434</v>
      </c>
      <c r="L223" s="10" t="s">
        <v>1058</v>
      </c>
      <c r="M223" s="16" t="s">
        <v>432</v>
      </c>
      <c r="N223" s="10" t="s">
        <v>138</v>
      </c>
      <c r="O223" s="16" t="s">
        <v>444</v>
      </c>
      <c r="P223" s="11" t="s">
        <v>422</v>
      </c>
      <c r="Q223" s="11" t="s">
        <v>420</v>
      </c>
      <c r="R223" s="11" t="s">
        <v>107</v>
      </c>
      <c r="S223" s="10" t="s">
        <v>62</v>
      </c>
      <c r="T223" s="81">
        <v>7</v>
      </c>
      <c r="U223" s="10" t="s">
        <v>420</v>
      </c>
      <c r="V223" s="10" t="s">
        <v>450</v>
      </c>
      <c r="X223" s="15">
        <v>5</v>
      </c>
      <c r="Y223" s="10" t="s">
        <v>87</v>
      </c>
      <c r="Z223" s="10" t="s">
        <v>2848</v>
      </c>
      <c r="AA223" s="10" t="s">
        <v>23</v>
      </c>
      <c r="AB223" s="10" t="s">
        <v>149</v>
      </c>
    </row>
    <row r="224" spans="1:28">
      <c r="A224" s="10" t="s">
        <v>707</v>
      </c>
      <c r="B224" s="11" t="s">
        <v>55</v>
      </c>
      <c r="C224" s="11" t="s">
        <v>417</v>
      </c>
      <c r="D224" s="12">
        <v>35</v>
      </c>
      <c r="E224" s="11" t="s">
        <v>452</v>
      </c>
      <c r="F224" s="14" t="str">
        <f>_xlfn.XLOOKUP(E224,Profession!$B$2:$B$15,Profession!$A$2:$A$15,"Not Found")</f>
        <v>P005</v>
      </c>
      <c r="G224" s="11" t="s">
        <v>455</v>
      </c>
      <c r="H224" s="10" t="str">
        <f>_xlfn.XLOOKUP(G224,Region!$B$2:$B$16,Region!$A$2:$A$16,"Not Found")</f>
        <v>R006</v>
      </c>
      <c r="I224" s="10" t="s">
        <v>420</v>
      </c>
      <c r="J224" s="10" t="s">
        <v>420</v>
      </c>
      <c r="K224" s="10" t="s">
        <v>434</v>
      </c>
      <c r="L224" s="10" t="s">
        <v>1058</v>
      </c>
      <c r="M224" s="16" t="s">
        <v>422</v>
      </c>
      <c r="N224" s="10" t="s">
        <v>106</v>
      </c>
      <c r="O224" s="16" t="s">
        <v>436</v>
      </c>
      <c r="P224" s="11" t="s">
        <v>422</v>
      </c>
      <c r="Q224" s="11" t="s">
        <v>435</v>
      </c>
      <c r="R224" s="11" t="s">
        <v>1071</v>
      </c>
      <c r="S224" s="10" t="s">
        <v>62</v>
      </c>
      <c r="T224" s="81">
        <v>6</v>
      </c>
      <c r="U224" s="10" t="s">
        <v>420</v>
      </c>
      <c r="V224" s="10" t="s">
        <v>2277</v>
      </c>
      <c r="X224" s="15">
        <v>8</v>
      </c>
      <c r="Y224" s="10" t="s">
        <v>42</v>
      </c>
      <c r="Z224" s="10" t="s">
        <v>2849</v>
      </c>
      <c r="AA224" s="10" t="s">
        <v>43</v>
      </c>
      <c r="AB224" s="10" t="s">
        <v>46</v>
      </c>
    </row>
    <row r="225" spans="1:28">
      <c r="A225" s="10" t="s">
        <v>708</v>
      </c>
      <c r="B225" s="11" t="s">
        <v>220</v>
      </c>
      <c r="C225" s="11" t="s">
        <v>417</v>
      </c>
      <c r="D225" s="12">
        <v>36</v>
      </c>
      <c r="E225" s="11" t="s">
        <v>452</v>
      </c>
      <c r="F225" s="14" t="str">
        <f>_xlfn.XLOOKUP(E225,Profession!$B$2:$B$15,Profession!$A$2:$A$15,"Not Found")</f>
        <v>P005</v>
      </c>
      <c r="G225" s="11" t="s">
        <v>1115</v>
      </c>
      <c r="H225" s="10" t="str">
        <f>_xlfn.XLOOKUP(G225,Region!$B$2:$B$16,Region!$A$2:$A$16,"Not Found")</f>
        <v>R002</v>
      </c>
      <c r="I225" s="10" t="s">
        <v>420</v>
      </c>
      <c r="J225" s="10" t="s">
        <v>420</v>
      </c>
      <c r="K225" s="10" t="s">
        <v>435</v>
      </c>
      <c r="L225" s="10" t="s">
        <v>1058</v>
      </c>
      <c r="M225" s="16" t="s">
        <v>429</v>
      </c>
      <c r="N225" s="10" t="s">
        <v>64</v>
      </c>
      <c r="O225" s="16" t="s">
        <v>433</v>
      </c>
      <c r="P225" s="11" t="s">
        <v>422</v>
      </c>
      <c r="Q225" s="11" t="s">
        <v>420</v>
      </c>
      <c r="R225" s="11" t="s">
        <v>1072</v>
      </c>
      <c r="S225" s="10" t="s">
        <v>2885</v>
      </c>
      <c r="T225" s="81">
        <v>6</v>
      </c>
      <c r="U225" s="10" t="s">
        <v>2273</v>
      </c>
      <c r="V225" s="10" t="s">
        <v>2277</v>
      </c>
      <c r="X225" s="15">
        <v>3</v>
      </c>
      <c r="Y225" s="10" t="s">
        <v>45</v>
      </c>
      <c r="Z225" s="10" t="s">
        <v>2849</v>
      </c>
      <c r="AA225" s="10" t="s">
        <v>37</v>
      </c>
      <c r="AB225" s="10" t="s">
        <v>149</v>
      </c>
    </row>
    <row r="226" spans="1:28">
      <c r="A226" s="10" t="s">
        <v>709</v>
      </c>
      <c r="B226" s="11" t="s">
        <v>221</v>
      </c>
      <c r="C226" s="11" t="s">
        <v>417</v>
      </c>
      <c r="D226" s="12">
        <v>37</v>
      </c>
      <c r="E226" s="11" t="s">
        <v>442</v>
      </c>
      <c r="F226" s="14" t="str">
        <f>_xlfn.XLOOKUP(E226,Profession!$B$2:$B$15,Profession!$A$2:$A$15,"Not Found")</f>
        <v>P002</v>
      </c>
      <c r="G226" s="11" t="s">
        <v>419</v>
      </c>
      <c r="H226" s="10" t="str">
        <f>_xlfn.XLOOKUP(G226,Region!$B$2:$B$16,Region!$A$2:$A$16,"Not Found")</f>
        <v>R001</v>
      </c>
      <c r="I226" s="10" t="s">
        <v>420</v>
      </c>
      <c r="J226" s="10" t="s">
        <v>420</v>
      </c>
      <c r="K226" s="10" t="s">
        <v>426</v>
      </c>
      <c r="L226" s="10" t="s">
        <v>1058</v>
      </c>
      <c r="M226" s="16" t="s">
        <v>422</v>
      </c>
      <c r="N226" s="10" t="s">
        <v>102</v>
      </c>
      <c r="O226" s="16" t="s">
        <v>426</v>
      </c>
      <c r="P226" s="11" t="s">
        <v>1059</v>
      </c>
      <c r="Q226" s="11" t="s">
        <v>422</v>
      </c>
      <c r="R226" s="11" t="s">
        <v>1062</v>
      </c>
      <c r="S226" s="10" t="s">
        <v>2884</v>
      </c>
      <c r="T226" s="81">
        <v>6.3008333333333297</v>
      </c>
      <c r="U226" s="10" t="s">
        <v>420</v>
      </c>
      <c r="V226" s="10" t="s">
        <v>2277</v>
      </c>
      <c r="X226" s="15">
        <v>4</v>
      </c>
      <c r="Y226" s="10" t="s">
        <v>36</v>
      </c>
      <c r="Z226" s="10" t="s">
        <v>2849</v>
      </c>
      <c r="AA226" s="10" t="s">
        <v>23</v>
      </c>
      <c r="AB226" s="10" t="s">
        <v>2843</v>
      </c>
    </row>
    <row r="227" spans="1:28">
      <c r="A227" s="10" t="s">
        <v>710</v>
      </c>
      <c r="B227" s="11" t="s">
        <v>222</v>
      </c>
      <c r="C227" s="11" t="s">
        <v>417</v>
      </c>
      <c r="D227" s="12">
        <v>38</v>
      </c>
      <c r="E227" s="11" t="s">
        <v>465</v>
      </c>
      <c r="F227" s="14" t="str">
        <f>_xlfn.XLOOKUP(E227,Profession!$B$2:$B$15,Profession!$A$2:$A$15,"Not Found")</f>
        <v>P010</v>
      </c>
      <c r="G227" s="11" t="s">
        <v>108</v>
      </c>
      <c r="H227" s="10" t="str">
        <f>_xlfn.XLOOKUP(G227,Region!$B$2:$B$16,Region!$A$2:$A$16,"Not Found")</f>
        <v>R010</v>
      </c>
      <c r="I227" s="10" t="s">
        <v>420</v>
      </c>
      <c r="J227" s="10" t="s">
        <v>420</v>
      </c>
      <c r="K227" s="10" t="s">
        <v>435</v>
      </c>
      <c r="L227" s="10" t="s">
        <v>1058</v>
      </c>
      <c r="M227" s="16" t="s">
        <v>422</v>
      </c>
      <c r="N227" s="10" t="s">
        <v>138</v>
      </c>
      <c r="O227" s="16" t="s">
        <v>450</v>
      </c>
      <c r="P227" s="11" t="s">
        <v>422</v>
      </c>
      <c r="Q227" s="11" t="s">
        <v>420</v>
      </c>
      <c r="R227" s="11" t="s">
        <v>107</v>
      </c>
      <c r="S227" s="10" t="s">
        <v>62</v>
      </c>
      <c r="T227" s="81">
        <v>7</v>
      </c>
      <c r="U227" s="10" t="s">
        <v>420</v>
      </c>
      <c r="V227" s="10" t="s">
        <v>450</v>
      </c>
      <c r="X227" s="15">
        <v>7</v>
      </c>
      <c r="Y227" s="10" t="s">
        <v>19</v>
      </c>
      <c r="Z227" s="10" t="s">
        <v>2849</v>
      </c>
      <c r="AA227" s="10" t="s">
        <v>23</v>
      </c>
      <c r="AB227" s="10" t="s">
        <v>2841</v>
      </c>
    </row>
    <row r="228" spans="1:28">
      <c r="A228" s="10" t="s">
        <v>711</v>
      </c>
      <c r="B228" s="11" t="s">
        <v>223</v>
      </c>
      <c r="C228" s="11" t="s">
        <v>417</v>
      </c>
      <c r="D228" s="12">
        <v>39</v>
      </c>
      <c r="E228" s="11" t="s">
        <v>458</v>
      </c>
      <c r="F228" s="14" t="str">
        <f>_xlfn.XLOOKUP(E228,Profession!$B$2:$B$15,Profession!$A$2:$A$15,"Not Found")</f>
        <v>P006</v>
      </c>
      <c r="G228" s="11" t="s">
        <v>1115</v>
      </c>
      <c r="H228" s="10" t="str">
        <f>_xlfn.XLOOKUP(G228,Region!$B$2:$B$16,Region!$A$2:$A$16,"Not Found")</f>
        <v>R002</v>
      </c>
      <c r="I228" s="10" t="s">
        <v>420</v>
      </c>
      <c r="J228" s="10" t="s">
        <v>420</v>
      </c>
      <c r="K228" s="10" t="s">
        <v>434</v>
      </c>
      <c r="L228" s="10" t="s">
        <v>1058</v>
      </c>
      <c r="M228" s="16" t="s">
        <v>432</v>
      </c>
      <c r="N228" s="10" t="s">
        <v>64</v>
      </c>
      <c r="O228" s="16" t="s">
        <v>433</v>
      </c>
      <c r="P228" s="11" t="s">
        <v>422</v>
      </c>
      <c r="Q228" s="11" t="s">
        <v>1061</v>
      </c>
      <c r="R228" s="11" t="s">
        <v>1065</v>
      </c>
      <c r="S228" s="10" t="s">
        <v>62</v>
      </c>
      <c r="T228" s="81">
        <v>6</v>
      </c>
      <c r="U228" s="10" t="s">
        <v>2274</v>
      </c>
      <c r="V228" s="10" t="s">
        <v>450</v>
      </c>
      <c r="X228" s="15">
        <v>3</v>
      </c>
      <c r="Y228" s="10" t="s">
        <v>49</v>
      </c>
      <c r="Z228" s="10" t="s">
        <v>2849</v>
      </c>
      <c r="AA228" s="10" t="s">
        <v>37</v>
      </c>
      <c r="AB228" s="10" t="s">
        <v>46</v>
      </c>
    </row>
    <row r="229" spans="1:28">
      <c r="A229" s="10" t="s">
        <v>712</v>
      </c>
      <c r="B229" s="11" t="s">
        <v>224</v>
      </c>
      <c r="C229" s="11" t="s">
        <v>417</v>
      </c>
      <c r="D229" s="12">
        <v>40</v>
      </c>
      <c r="E229" s="11" t="s">
        <v>1054</v>
      </c>
      <c r="F229" s="14" t="str">
        <f>_xlfn.XLOOKUP(E229,Profession!$B$2:$B$15,Profession!$A$2:$A$15,"Not Found")</f>
        <v>P013</v>
      </c>
      <c r="G229" s="11" t="s">
        <v>1110</v>
      </c>
      <c r="H229" s="10" t="str">
        <f>_xlfn.XLOOKUP(G229,Region!$B$2:$B$16,Region!$A$2:$A$16,"Not Found")</f>
        <v>R013</v>
      </c>
      <c r="I229" s="10" t="s">
        <v>420</v>
      </c>
      <c r="J229" s="10" t="s">
        <v>420</v>
      </c>
      <c r="K229" s="10" t="s">
        <v>435</v>
      </c>
      <c r="L229" s="10" t="s">
        <v>1058</v>
      </c>
      <c r="M229" s="16" t="s">
        <v>422</v>
      </c>
      <c r="N229" s="10" t="s">
        <v>138</v>
      </c>
      <c r="O229" s="16" t="s">
        <v>433</v>
      </c>
      <c r="P229" s="11" t="s">
        <v>435</v>
      </c>
      <c r="Q229" s="11" t="s">
        <v>420</v>
      </c>
      <c r="R229" s="11" t="s">
        <v>1067</v>
      </c>
      <c r="S229" s="10" t="s">
        <v>62</v>
      </c>
      <c r="T229" s="81">
        <v>6</v>
      </c>
      <c r="U229" s="10" t="s">
        <v>420</v>
      </c>
      <c r="V229" s="10" t="s">
        <v>450</v>
      </c>
      <c r="X229" s="15">
        <v>6</v>
      </c>
      <c r="Y229" s="10" t="s">
        <v>75</v>
      </c>
      <c r="Z229" s="10" t="s">
        <v>2847</v>
      </c>
      <c r="AA229" s="10" t="s">
        <v>70</v>
      </c>
      <c r="AB229" s="10" t="s">
        <v>149</v>
      </c>
    </row>
    <row r="230" spans="1:28">
      <c r="A230" s="10" t="s">
        <v>713</v>
      </c>
      <c r="B230" s="11" t="s">
        <v>225</v>
      </c>
      <c r="C230" s="11" t="s">
        <v>417</v>
      </c>
      <c r="D230" s="12">
        <v>41</v>
      </c>
      <c r="E230" s="11" t="s">
        <v>446</v>
      </c>
      <c r="F230" s="14" t="str">
        <f>_xlfn.XLOOKUP(E230,Profession!$B$2:$B$15,Profession!$A$2:$A$15,"Not Found")</f>
        <v>P003</v>
      </c>
      <c r="G230" s="11" t="s">
        <v>104</v>
      </c>
      <c r="H230" s="10" t="str">
        <f>_xlfn.XLOOKUP(G230,Region!$B$2:$B$16,Region!$A$2:$A$16,"Not Found")</f>
        <v>R003</v>
      </c>
      <c r="I230" s="10" t="s">
        <v>420</v>
      </c>
      <c r="J230" s="10" t="s">
        <v>420</v>
      </c>
      <c r="K230" s="10" t="s">
        <v>435</v>
      </c>
      <c r="L230" s="10" t="s">
        <v>1058</v>
      </c>
      <c r="M230" s="16" t="s">
        <v>422</v>
      </c>
      <c r="N230" s="10" t="s">
        <v>138</v>
      </c>
      <c r="O230" s="16" t="s">
        <v>433</v>
      </c>
      <c r="P230" s="11" t="s">
        <v>422</v>
      </c>
      <c r="Q230" s="11" t="s">
        <v>420</v>
      </c>
      <c r="R230" s="11" t="s">
        <v>1070</v>
      </c>
      <c r="S230" s="10" t="s">
        <v>62</v>
      </c>
      <c r="T230" s="81">
        <v>8</v>
      </c>
      <c r="U230" s="10" t="s">
        <v>420</v>
      </c>
      <c r="V230" s="10" t="s">
        <v>2277</v>
      </c>
      <c r="X230" s="15">
        <v>5</v>
      </c>
      <c r="Y230" s="10" t="s">
        <v>19</v>
      </c>
      <c r="Z230" s="10" t="s">
        <v>2849</v>
      </c>
      <c r="AA230" s="10" t="s">
        <v>23</v>
      </c>
      <c r="AB230" s="10" t="s">
        <v>28</v>
      </c>
    </row>
    <row r="231" spans="1:28">
      <c r="A231" s="10" t="s">
        <v>714</v>
      </c>
      <c r="B231" s="11" t="s">
        <v>68</v>
      </c>
      <c r="C231" s="11" t="s">
        <v>417</v>
      </c>
      <c r="D231" s="12">
        <v>42</v>
      </c>
      <c r="E231" s="11" t="s">
        <v>1088</v>
      </c>
      <c r="F231" s="14" t="str">
        <f>_xlfn.XLOOKUP(E231,Profession!$B$2:$B$15,Profession!$A$2:$A$15,"Not Found")</f>
        <v>P014</v>
      </c>
      <c r="G231" s="11" t="s">
        <v>1114</v>
      </c>
      <c r="H231" s="10" t="str">
        <f>_xlfn.XLOOKUP(G231,Region!$B$2:$B$16,Region!$A$2:$A$16,"Not Found")</f>
        <v>R014</v>
      </c>
      <c r="I231" s="10" t="s">
        <v>420</v>
      </c>
      <c r="J231" s="10" t="s">
        <v>420</v>
      </c>
      <c r="K231" s="10" t="s">
        <v>435</v>
      </c>
      <c r="L231" s="10" t="s">
        <v>1058</v>
      </c>
      <c r="M231" s="16" t="s">
        <v>422</v>
      </c>
      <c r="N231" s="10" t="s">
        <v>138</v>
      </c>
      <c r="O231" s="16" t="s">
        <v>433</v>
      </c>
      <c r="P231" s="11" t="s">
        <v>422</v>
      </c>
      <c r="Q231" s="11" t="s">
        <v>1061</v>
      </c>
      <c r="R231" s="11" t="s">
        <v>1067</v>
      </c>
      <c r="S231" s="10" t="s">
        <v>62</v>
      </c>
      <c r="T231" s="81">
        <v>6</v>
      </c>
      <c r="U231" s="10" t="s">
        <v>420</v>
      </c>
      <c r="V231" s="10" t="s">
        <v>450</v>
      </c>
      <c r="X231" s="15">
        <v>6</v>
      </c>
      <c r="Y231" s="10" t="s">
        <v>77</v>
      </c>
      <c r="Z231" s="10" t="s">
        <v>2282</v>
      </c>
      <c r="AA231" s="10" t="s">
        <v>23</v>
      </c>
      <c r="AB231" s="10" t="s">
        <v>46</v>
      </c>
    </row>
    <row r="232" spans="1:28">
      <c r="A232" s="10" t="s">
        <v>715</v>
      </c>
      <c r="B232" s="11" t="s">
        <v>226</v>
      </c>
      <c r="C232" s="11" t="s">
        <v>417</v>
      </c>
      <c r="D232" s="12">
        <v>43</v>
      </c>
      <c r="E232" s="11" t="s">
        <v>1088</v>
      </c>
      <c r="F232" s="14" t="str">
        <f>_xlfn.XLOOKUP(E232,Profession!$B$2:$B$15,Profession!$A$2:$A$15,"Not Found")</f>
        <v>P014</v>
      </c>
      <c r="G232" s="11" t="s">
        <v>477</v>
      </c>
      <c r="H232" s="10" t="str">
        <f>_xlfn.XLOOKUP(G232,Region!$B$2:$B$16,Region!$A$2:$A$16,"Not Found")</f>
        <v>R015</v>
      </c>
      <c r="I232" s="10" t="s">
        <v>420</v>
      </c>
      <c r="J232" s="10" t="s">
        <v>420</v>
      </c>
      <c r="K232" s="10" t="s">
        <v>435</v>
      </c>
      <c r="L232" s="10" t="s">
        <v>1058</v>
      </c>
      <c r="M232" s="16" t="s">
        <v>422</v>
      </c>
      <c r="N232" s="10" t="s">
        <v>138</v>
      </c>
      <c r="O232" s="16" t="s">
        <v>433</v>
      </c>
      <c r="P232" s="11" t="s">
        <v>435</v>
      </c>
      <c r="Q232" s="11" t="s">
        <v>1061</v>
      </c>
      <c r="R232" s="11" t="s">
        <v>1068</v>
      </c>
      <c r="S232" s="10" t="s">
        <v>62</v>
      </c>
      <c r="T232" s="81">
        <v>8</v>
      </c>
      <c r="U232" s="10" t="s">
        <v>420</v>
      </c>
      <c r="V232" s="10" t="s">
        <v>450</v>
      </c>
      <c r="X232" s="15">
        <v>6</v>
      </c>
      <c r="Y232" s="10" t="s">
        <v>36</v>
      </c>
      <c r="Z232" s="10" t="s">
        <v>2849</v>
      </c>
      <c r="AA232" s="10" t="s">
        <v>23</v>
      </c>
      <c r="AB232" s="10" t="s">
        <v>2841</v>
      </c>
    </row>
    <row r="233" spans="1:28">
      <c r="A233" s="10" t="s">
        <v>716</v>
      </c>
      <c r="B233" s="11" t="s">
        <v>72</v>
      </c>
      <c r="C233" s="11" t="s">
        <v>417</v>
      </c>
      <c r="D233" s="12">
        <v>20</v>
      </c>
      <c r="E233" s="11" t="s">
        <v>418</v>
      </c>
      <c r="F233" s="14" t="str">
        <f>_xlfn.XLOOKUP(E233,Profession!$B$2:$B$15,Profession!$A$2:$A$15,"Not Found")</f>
        <v>P001</v>
      </c>
      <c r="G233" s="11" t="s">
        <v>419</v>
      </c>
      <c r="H233" s="10" t="str">
        <f>_xlfn.XLOOKUP(G233,Region!$B$2:$B$16,Region!$A$2:$A$16,"Not Found")</f>
        <v>R001</v>
      </c>
      <c r="I233" s="10" t="s">
        <v>420</v>
      </c>
      <c r="J233" s="10" t="s">
        <v>420</v>
      </c>
      <c r="K233" s="10" t="s">
        <v>435</v>
      </c>
      <c r="L233" s="10" t="s">
        <v>1057</v>
      </c>
      <c r="M233" s="16" t="s">
        <v>422</v>
      </c>
      <c r="N233" s="10" t="s">
        <v>26</v>
      </c>
      <c r="O233" s="16" t="s">
        <v>423</v>
      </c>
      <c r="P233" s="11" t="s">
        <v>1059</v>
      </c>
      <c r="Q233" s="11" t="s">
        <v>422</v>
      </c>
      <c r="R233" s="11" t="s">
        <v>1062</v>
      </c>
      <c r="S233" s="10" t="s">
        <v>2884</v>
      </c>
      <c r="T233" s="81">
        <v>7</v>
      </c>
      <c r="U233" s="10" t="s">
        <v>420</v>
      </c>
      <c r="V233" s="10" t="s">
        <v>2278</v>
      </c>
      <c r="X233" s="15">
        <v>3</v>
      </c>
      <c r="Y233" s="10" t="s">
        <v>27</v>
      </c>
      <c r="Z233" s="10" t="s">
        <v>2849</v>
      </c>
      <c r="AA233" s="10" t="s">
        <v>23</v>
      </c>
      <c r="AB233" s="10" t="s">
        <v>24</v>
      </c>
    </row>
    <row r="234" spans="1:28">
      <c r="A234" s="10" t="s">
        <v>717</v>
      </c>
      <c r="B234" s="11" t="s">
        <v>227</v>
      </c>
      <c r="C234" s="11" t="s">
        <v>417</v>
      </c>
      <c r="D234" s="12">
        <v>21</v>
      </c>
      <c r="E234" s="11" t="s">
        <v>465</v>
      </c>
      <c r="F234" s="14" t="str">
        <f>_xlfn.XLOOKUP(E234,Profession!$B$2:$B$15,Profession!$A$2:$A$15,"Not Found")</f>
        <v>P010</v>
      </c>
      <c r="G234" s="11" t="s">
        <v>1115</v>
      </c>
      <c r="H234" s="10" t="str">
        <f>_xlfn.XLOOKUP(G234,Region!$B$2:$B$16,Region!$A$2:$A$16,"Not Found")</f>
        <v>R002</v>
      </c>
      <c r="I234" s="10" t="s">
        <v>420</v>
      </c>
      <c r="J234" s="10" t="s">
        <v>420</v>
      </c>
      <c r="K234" s="10" t="s">
        <v>421</v>
      </c>
      <c r="L234" s="10" t="s">
        <v>1058</v>
      </c>
      <c r="M234" s="16" t="s">
        <v>422</v>
      </c>
      <c r="N234" s="10" t="s">
        <v>138</v>
      </c>
      <c r="O234" s="16" t="s">
        <v>450</v>
      </c>
      <c r="P234" s="11" t="s">
        <v>422</v>
      </c>
      <c r="Q234" s="11" t="s">
        <v>420</v>
      </c>
      <c r="R234" s="11" t="s">
        <v>1065</v>
      </c>
      <c r="S234" s="10" t="s">
        <v>62</v>
      </c>
      <c r="T234" s="81">
        <v>8</v>
      </c>
      <c r="U234" s="10" t="s">
        <v>420</v>
      </c>
      <c r="V234" s="10" t="s">
        <v>450</v>
      </c>
      <c r="X234" s="15">
        <v>4</v>
      </c>
      <c r="Y234" s="10" t="s">
        <v>56</v>
      </c>
      <c r="Z234" s="10" t="s">
        <v>2849</v>
      </c>
      <c r="AA234" s="10" t="s">
        <v>23</v>
      </c>
      <c r="AB234" s="10" t="s">
        <v>2843</v>
      </c>
    </row>
    <row r="235" spans="1:28">
      <c r="A235" s="10" t="s">
        <v>718</v>
      </c>
      <c r="B235" s="11" t="s">
        <v>228</v>
      </c>
      <c r="C235" s="11" t="s">
        <v>417</v>
      </c>
      <c r="D235" s="12">
        <v>22</v>
      </c>
      <c r="E235" s="11" t="s">
        <v>442</v>
      </c>
      <c r="F235" s="14" t="str">
        <f>_xlfn.XLOOKUP(E235,Profession!$B$2:$B$15,Profession!$A$2:$A$15,"Not Found")</f>
        <v>P002</v>
      </c>
      <c r="G235" s="11" t="s">
        <v>419</v>
      </c>
      <c r="H235" s="10" t="str">
        <f>_xlfn.XLOOKUP(G235,Region!$B$2:$B$16,Region!$A$2:$A$16,"Not Found")</f>
        <v>R001</v>
      </c>
      <c r="I235" s="10" t="s">
        <v>420</v>
      </c>
      <c r="J235" s="10" t="s">
        <v>420</v>
      </c>
      <c r="K235" s="10" t="s">
        <v>435</v>
      </c>
      <c r="L235" s="10" t="s">
        <v>1058</v>
      </c>
      <c r="M235" s="16" t="s">
        <v>436</v>
      </c>
      <c r="N235" s="10" t="s">
        <v>138</v>
      </c>
      <c r="O235" s="16" t="s">
        <v>444</v>
      </c>
      <c r="P235" s="11" t="s">
        <v>422</v>
      </c>
      <c r="Q235" s="11" t="s">
        <v>1061</v>
      </c>
      <c r="R235" s="11" t="s">
        <v>1068</v>
      </c>
      <c r="S235" s="10" t="s">
        <v>62</v>
      </c>
      <c r="T235" s="81">
        <v>6</v>
      </c>
      <c r="U235" s="10" t="s">
        <v>420</v>
      </c>
      <c r="V235" s="10" t="s">
        <v>2277</v>
      </c>
      <c r="X235" s="15">
        <v>6</v>
      </c>
      <c r="Y235" s="10" t="s">
        <v>100</v>
      </c>
      <c r="Z235" s="10" t="s">
        <v>2849</v>
      </c>
      <c r="AA235" s="10" t="s">
        <v>37</v>
      </c>
      <c r="AB235" s="10" t="s">
        <v>2844</v>
      </c>
    </row>
    <row r="236" spans="1:28">
      <c r="A236" s="10" t="s">
        <v>719</v>
      </c>
      <c r="B236" s="11" t="s">
        <v>229</v>
      </c>
      <c r="C236" s="11" t="s">
        <v>417</v>
      </c>
      <c r="D236" s="12">
        <v>23</v>
      </c>
      <c r="E236" s="11" t="s">
        <v>462</v>
      </c>
      <c r="F236" s="14" t="str">
        <f>_xlfn.XLOOKUP(E236,Profession!$B$2:$B$15,Profession!$A$2:$A$15,"Not Found")</f>
        <v>P008</v>
      </c>
      <c r="G236" s="11" t="s">
        <v>1112</v>
      </c>
      <c r="H236" s="10" t="str">
        <f>_xlfn.XLOOKUP(G236,Region!$B$2:$B$16,Region!$A$2:$A$16,"Not Found")</f>
        <v>R008</v>
      </c>
      <c r="I236" s="10" t="s">
        <v>420</v>
      </c>
      <c r="J236" s="10" t="s">
        <v>420</v>
      </c>
      <c r="K236" s="10" t="s">
        <v>431</v>
      </c>
      <c r="L236" s="10" t="s">
        <v>1058</v>
      </c>
      <c r="M236" s="16" t="s">
        <v>422</v>
      </c>
      <c r="N236" s="10" t="s">
        <v>138</v>
      </c>
      <c r="O236" s="16" t="s">
        <v>450</v>
      </c>
      <c r="P236" s="11" t="s">
        <v>422</v>
      </c>
      <c r="Q236" s="11" t="s">
        <v>420</v>
      </c>
      <c r="R236" s="11" t="s">
        <v>107</v>
      </c>
      <c r="S236" s="10" t="s">
        <v>62</v>
      </c>
      <c r="T236" s="81">
        <v>7</v>
      </c>
      <c r="U236" s="10" t="s">
        <v>420</v>
      </c>
      <c r="V236" s="10" t="s">
        <v>450</v>
      </c>
      <c r="X236" s="15">
        <v>5</v>
      </c>
      <c r="Y236" s="10" t="s">
        <v>56</v>
      </c>
      <c r="Z236" s="10" t="s">
        <v>2849</v>
      </c>
      <c r="AA236" s="10" t="s">
        <v>23</v>
      </c>
      <c r="AB236" s="10" t="s">
        <v>2843</v>
      </c>
    </row>
    <row r="237" spans="1:28">
      <c r="A237" s="10" t="s">
        <v>720</v>
      </c>
      <c r="B237" s="11" t="s">
        <v>230</v>
      </c>
      <c r="C237" s="11" t="s">
        <v>417</v>
      </c>
      <c r="D237" s="12">
        <v>24</v>
      </c>
      <c r="E237" s="11" t="s">
        <v>473</v>
      </c>
      <c r="F237" s="14" t="str">
        <f>_xlfn.XLOOKUP(E237,Profession!$B$2:$B$15,Profession!$A$2:$A$15,"Not Found")</f>
        <v>P012</v>
      </c>
      <c r="G237" s="11" t="s">
        <v>1113</v>
      </c>
      <c r="H237" s="10" t="str">
        <f>_xlfn.XLOOKUP(G237,Region!$B$2:$B$16,Region!$A$2:$A$16,"Not Found")</f>
        <v>R012</v>
      </c>
      <c r="I237" s="10" t="s">
        <v>423</v>
      </c>
      <c r="J237" s="10" t="s">
        <v>423</v>
      </c>
      <c r="K237" s="10" t="s">
        <v>435</v>
      </c>
      <c r="L237" s="10" t="s">
        <v>1058</v>
      </c>
      <c r="M237" s="16" t="s">
        <v>422</v>
      </c>
      <c r="N237" s="10" t="s">
        <v>138</v>
      </c>
      <c r="O237" s="16" t="s">
        <v>444</v>
      </c>
      <c r="P237" s="11" t="s">
        <v>422</v>
      </c>
      <c r="Q237" s="11" t="s">
        <v>1061</v>
      </c>
      <c r="R237" s="11" t="s">
        <v>107</v>
      </c>
      <c r="S237" s="10" t="s">
        <v>62</v>
      </c>
      <c r="T237" s="81">
        <v>6</v>
      </c>
      <c r="U237" s="10" t="s">
        <v>420</v>
      </c>
      <c r="V237" s="10" t="s">
        <v>2277</v>
      </c>
      <c r="X237" s="15">
        <v>6</v>
      </c>
      <c r="Y237" s="10" t="s">
        <v>22</v>
      </c>
      <c r="Z237" s="10" t="s">
        <v>2846</v>
      </c>
      <c r="AA237" s="10" t="s">
        <v>23</v>
      </c>
      <c r="AB237" s="10" t="s">
        <v>2842</v>
      </c>
    </row>
    <row r="238" spans="1:28">
      <c r="A238" s="10" t="s">
        <v>721</v>
      </c>
      <c r="B238" s="11" t="s">
        <v>231</v>
      </c>
      <c r="C238" s="11" t="s">
        <v>417</v>
      </c>
      <c r="D238" s="12">
        <v>25</v>
      </c>
      <c r="E238" s="11" t="s">
        <v>1108</v>
      </c>
      <c r="F238" s="14" t="str">
        <f>_xlfn.XLOOKUP(E238,Profession!$B$2:$B$15,Profession!$A$2:$A$15,"Not Found")</f>
        <v>P011</v>
      </c>
      <c r="G238" s="11" t="s">
        <v>419</v>
      </c>
      <c r="H238" s="10" t="str">
        <f>_xlfn.XLOOKUP(G238,Region!$B$2:$B$16,Region!$A$2:$A$16,"Not Found")</f>
        <v>R001</v>
      </c>
      <c r="I238" s="10" t="s">
        <v>420</v>
      </c>
      <c r="J238" s="10" t="s">
        <v>420</v>
      </c>
      <c r="K238" s="10" t="s">
        <v>431</v>
      </c>
      <c r="L238" s="10" t="s">
        <v>1058</v>
      </c>
      <c r="M238" s="16" t="s">
        <v>422</v>
      </c>
      <c r="N238" s="10" t="s">
        <v>138</v>
      </c>
      <c r="O238" s="16" t="s">
        <v>444</v>
      </c>
      <c r="P238" s="11" t="s">
        <v>422</v>
      </c>
      <c r="Q238" s="11" t="s">
        <v>420</v>
      </c>
      <c r="R238" s="11" t="s">
        <v>1070</v>
      </c>
      <c r="S238" s="10" t="s">
        <v>62</v>
      </c>
      <c r="T238" s="81">
        <v>6</v>
      </c>
      <c r="U238" s="10" t="s">
        <v>420</v>
      </c>
      <c r="V238" s="10" t="s">
        <v>2277</v>
      </c>
      <c r="X238" s="15">
        <v>5</v>
      </c>
      <c r="Y238" s="10" t="s">
        <v>58</v>
      </c>
      <c r="Z238" s="10" t="s">
        <v>2849</v>
      </c>
      <c r="AA238" s="10" t="s">
        <v>23</v>
      </c>
      <c r="AB238" s="10" t="s">
        <v>2843</v>
      </c>
    </row>
    <row r="239" spans="1:28">
      <c r="A239" s="10" t="s">
        <v>722</v>
      </c>
      <c r="B239" s="11" t="s">
        <v>232</v>
      </c>
      <c r="C239" s="11" t="s">
        <v>417</v>
      </c>
      <c r="D239" s="12">
        <v>26</v>
      </c>
      <c r="E239" s="11" t="s">
        <v>459</v>
      </c>
      <c r="F239" s="14" t="str">
        <f>_xlfn.XLOOKUP(E239,Profession!$B$2:$B$15,Profession!$A$2:$A$15,"Not Found")</f>
        <v>P007</v>
      </c>
      <c r="G239" s="11" t="s">
        <v>419</v>
      </c>
      <c r="H239" s="10" t="str">
        <f>_xlfn.XLOOKUP(G239,Region!$B$2:$B$16,Region!$A$2:$A$16,"Not Found")</f>
        <v>R001</v>
      </c>
      <c r="I239" s="10" t="s">
        <v>420</v>
      </c>
      <c r="J239" s="10" t="s">
        <v>420</v>
      </c>
      <c r="K239" s="10" t="s">
        <v>421</v>
      </c>
      <c r="L239" s="10" t="s">
        <v>1058</v>
      </c>
      <c r="M239" s="16" t="s">
        <v>422</v>
      </c>
      <c r="N239" s="10" t="s">
        <v>19</v>
      </c>
      <c r="O239" s="16" t="s">
        <v>444</v>
      </c>
      <c r="P239" s="11" t="s">
        <v>422</v>
      </c>
      <c r="Q239" s="11" t="s">
        <v>420</v>
      </c>
      <c r="R239" s="11" t="s">
        <v>1070</v>
      </c>
      <c r="S239" s="10" t="s">
        <v>62</v>
      </c>
      <c r="T239" s="81">
        <v>8</v>
      </c>
      <c r="U239" s="10" t="s">
        <v>420</v>
      </c>
      <c r="V239" s="10" t="s">
        <v>450</v>
      </c>
      <c r="X239" s="15">
        <v>4</v>
      </c>
      <c r="Y239" s="10" t="s">
        <v>36</v>
      </c>
      <c r="Z239" s="10" t="s">
        <v>2849</v>
      </c>
      <c r="AA239" s="10" t="s">
        <v>37</v>
      </c>
      <c r="AB239" s="10" t="s">
        <v>24</v>
      </c>
    </row>
    <row r="240" spans="1:28">
      <c r="A240" s="10" t="s">
        <v>723</v>
      </c>
      <c r="B240" s="11" t="s">
        <v>233</v>
      </c>
      <c r="C240" s="11" t="s">
        <v>417</v>
      </c>
      <c r="D240" s="12">
        <v>27</v>
      </c>
      <c r="E240" s="11" t="s">
        <v>418</v>
      </c>
      <c r="F240" s="14" t="str">
        <f>_xlfn.XLOOKUP(E240,Profession!$B$2:$B$15,Profession!$A$2:$A$15,"Not Found")</f>
        <v>P001</v>
      </c>
      <c r="G240" s="11" t="s">
        <v>1115</v>
      </c>
      <c r="H240" s="10" t="str">
        <f>_xlfn.XLOOKUP(G240,Region!$B$2:$B$16,Region!$A$2:$A$16,"Not Found")</f>
        <v>R002</v>
      </c>
      <c r="I240" s="10" t="s">
        <v>420</v>
      </c>
      <c r="J240" s="10" t="s">
        <v>420</v>
      </c>
      <c r="K240" s="10" t="s">
        <v>435</v>
      </c>
      <c r="L240" s="10" t="s">
        <v>1058</v>
      </c>
      <c r="M240" s="16" t="s">
        <v>432</v>
      </c>
      <c r="N240" s="10" t="s">
        <v>138</v>
      </c>
      <c r="O240" s="16" t="s">
        <v>433</v>
      </c>
      <c r="P240" s="11" t="s">
        <v>422</v>
      </c>
      <c r="Q240" s="11" t="s">
        <v>1061</v>
      </c>
      <c r="R240" s="11" t="s">
        <v>1065</v>
      </c>
      <c r="S240" s="10" t="s">
        <v>62</v>
      </c>
      <c r="T240" s="81">
        <v>8</v>
      </c>
      <c r="U240" s="10" t="s">
        <v>420</v>
      </c>
      <c r="V240" s="10" t="s">
        <v>2277</v>
      </c>
      <c r="X240" s="15">
        <v>5</v>
      </c>
      <c r="Y240" s="10" t="s">
        <v>27</v>
      </c>
      <c r="Z240" s="10" t="s">
        <v>2849</v>
      </c>
      <c r="AA240" s="10" t="s">
        <v>23</v>
      </c>
      <c r="AB240" s="10" t="s">
        <v>2841</v>
      </c>
    </row>
    <row r="241" spans="1:28">
      <c r="A241" s="10" t="s">
        <v>724</v>
      </c>
      <c r="B241" s="11" t="s">
        <v>234</v>
      </c>
      <c r="C241" s="11" t="s">
        <v>417</v>
      </c>
      <c r="D241" s="12">
        <v>28</v>
      </c>
      <c r="E241" s="11" t="s">
        <v>452</v>
      </c>
      <c r="F241" s="14" t="str">
        <f>_xlfn.XLOOKUP(E241,Profession!$B$2:$B$15,Profession!$A$2:$A$15,"Not Found")</f>
        <v>P005</v>
      </c>
      <c r="G241" s="11" t="s">
        <v>453</v>
      </c>
      <c r="H241" s="10" t="str">
        <f>_xlfn.XLOOKUP(G241,Region!$B$2:$B$16,Region!$A$2:$A$16,"Not Found")</f>
        <v>R005</v>
      </c>
      <c r="I241" s="10" t="s">
        <v>420</v>
      </c>
      <c r="J241" s="10" t="s">
        <v>420</v>
      </c>
      <c r="K241" s="10" t="s">
        <v>434</v>
      </c>
      <c r="L241" s="10" t="s">
        <v>1058</v>
      </c>
      <c r="M241" s="16" t="s">
        <v>422</v>
      </c>
      <c r="N241" s="10" t="s">
        <v>105</v>
      </c>
      <c r="O241" s="16" t="s">
        <v>433</v>
      </c>
      <c r="P241" s="11" t="s">
        <v>422</v>
      </c>
      <c r="Q241" s="11" t="s">
        <v>434</v>
      </c>
      <c r="R241" s="11" t="s">
        <v>1068</v>
      </c>
      <c r="S241" s="10" t="s">
        <v>62</v>
      </c>
      <c r="T241" s="81">
        <v>7</v>
      </c>
      <c r="U241" s="10" t="s">
        <v>2272</v>
      </c>
      <c r="V241" s="10" t="s">
        <v>450</v>
      </c>
      <c r="X241" s="15">
        <v>5</v>
      </c>
      <c r="Y241" s="10" t="s">
        <v>40</v>
      </c>
      <c r="Z241" s="10" t="s">
        <v>2280</v>
      </c>
      <c r="AA241" s="10" t="s">
        <v>37</v>
      </c>
      <c r="AB241" s="10" t="s">
        <v>24</v>
      </c>
    </row>
    <row r="242" spans="1:28">
      <c r="A242" s="10" t="s">
        <v>725</v>
      </c>
      <c r="B242" s="11" t="s">
        <v>235</v>
      </c>
      <c r="C242" s="11" t="s">
        <v>417</v>
      </c>
      <c r="D242" s="12">
        <v>29</v>
      </c>
      <c r="E242" s="11" t="s">
        <v>465</v>
      </c>
      <c r="F242" s="14" t="str">
        <f>_xlfn.XLOOKUP(E242,Profession!$B$2:$B$15,Profession!$A$2:$A$15,"Not Found")</f>
        <v>P010</v>
      </c>
      <c r="G242" s="11" t="s">
        <v>467</v>
      </c>
      <c r="H242" s="10" t="str">
        <f>_xlfn.XLOOKUP(G242,Region!$B$2:$B$16,Region!$A$2:$A$16,"Not Found")</f>
        <v>R009</v>
      </c>
      <c r="I242" s="10" t="s">
        <v>420</v>
      </c>
      <c r="J242" s="10" t="s">
        <v>420</v>
      </c>
      <c r="K242" s="10" t="s">
        <v>434</v>
      </c>
      <c r="L242" s="10" t="s">
        <v>1058</v>
      </c>
      <c r="M242" s="16" t="s">
        <v>422</v>
      </c>
      <c r="N242" s="10" t="s">
        <v>138</v>
      </c>
      <c r="O242" s="16" t="s">
        <v>444</v>
      </c>
      <c r="P242" s="11" t="s">
        <v>422</v>
      </c>
      <c r="Q242" s="11" t="s">
        <v>420</v>
      </c>
      <c r="R242" s="11" t="s">
        <v>1070</v>
      </c>
      <c r="S242" s="10" t="s">
        <v>62</v>
      </c>
      <c r="T242" s="81">
        <v>6</v>
      </c>
      <c r="U242" s="10" t="s">
        <v>420</v>
      </c>
      <c r="V242" s="10" t="s">
        <v>2277</v>
      </c>
      <c r="X242" s="15">
        <v>4</v>
      </c>
      <c r="Y242" s="10" t="s">
        <v>56</v>
      </c>
      <c r="Z242" s="10" t="s">
        <v>2849</v>
      </c>
      <c r="AA242" s="10" t="s">
        <v>23</v>
      </c>
      <c r="AB242" s="10" t="s">
        <v>2843</v>
      </c>
    </row>
    <row r="243" spans="1:28">
      <c r="A243" s="10" t="s">
        <v>726</v>
      </c>
      <c r="B243" s="11" t="s">
        <v>236</v>
      </c>
      <c r="C243" s="11" t="s">
        <v>417</v>
      </c>
      <c r="D243" s="12">
        <v>30</v>
      </c>
      <c r="E243" s="11" t="s">
        <v>448</v>
      </c>
      <c r="F243" s="14" t="str">
        <f>_xlfn.XLOOKUP(E243,Profession!$B$2:$B$15,Profession!$A$2:$A$15,"Not Found")</f>
        <v>P004</v>
      </c>
      <c r="G243" s="11" t="s">
        <v>1111</v>
      </c>
      <c r="H243" s="10" t="str">
        <f>_xlfn.XLOOKUP(G243,Region!$B$2:$B$16,Region!$A$2:$A$16,"Not Found")</f>
        <v>R004</v>
      </c>
      <c r="I243" s="10" t="s">
        <v>420</v>
      </c>
      <c r="J243" s="10" t="s">
        <v>420</v>
      </c>
      <c r="K243" s="10" t="s">
        <v>431</v>
      </c>
      <c r="L243" s="10" t="s">
        <v>1057</v>
      </c>
      <c r="M243" s="16" t="s">
        <v>432</v>
      </c>
      <c r="N243" s="10" t="s">
        <v>138</v>
      </c>
      <c r="O243" s="16" t="s">
        <v>444</v>
      </c>
      <c r="P243" s="11" t="s">
        <v>422</v>
      </c>
      <c r="Q243" s="11" t="s">
        <v>420</v>
      </c>
      <c r="R243" s="11" t="s">
        <v>1070</v>
      </c>
      <c r="S243" s="10" t="s">
        <v>62</v>
      </c>
      <c r="T243" s="81">
        <v>8</v>
      </c>
      <c r="U243" s="10" t="s">
        <v>420</v>
      </c>
      <c r="V243" s="10" t="s">
        <v>450</v>
      </c>
      <c r="X243" s="15">
        <v>4</v>
      </c>
      <c r="Y243" s="10" t="s">
        <v>56</v>
      </c>
      <c r="Z243" s="10" t="s">
        <v>2849</v>
      </c>
      <c r="AA243" s="10" t="s">
        <v>23</v>
      </c>
      <c r="AB243" s="10" t="s">
        <v>46</v>
      </c>
    </row>
    <row r="244" spans="1:28">
      <c r="A244" s="10" t="s">
        <v>727</v>
      </c>
      <c r="B244" s="11" t="s">
        <v>237</v>
      </c>
      <c r="C244" s="11" t="s">
        <v>417</v>
      </c>
      <c r="D244" s="12">
        <v>31</v>
      </c>
      <c r="E244" s="11" t="s">
        <v>448</v>
      </c>
      <c r="F244" s="14" t="str">
        <f>_xlfn.XLOOKUP(E244,Profession!$B$2:$B$15,Profession!$A$2:$A$15,"Not Found")</f>
        <v>P004</v>
      </c>
      <c r="G244" s="11" t="s">
        <v>1111</v>
      </c>
      <c r="H244" s="10" t="str">
        <f>_xlfn.XLOOKUP(G244,Region!$B$2:$B$16,Region!$A$2:$A$16,"Not Found")</f>
        <v>R004</v>
      </c>
      <c r="I244" s="10" t="s">
        <v>420</v>
      </c>
      <c r="J244" s="10" t="s">
        <v>420</v>
      </c>
      <c r="K244" s="10" t="s">
        <v>431</v>
      </c>
      <c r="L244" s="10" t="s">
        <v>1058</v>
      </c>
      <c r="M244" s="16" t="s">
        <v>432</v>
      </c>
      <c r="N244" s="10" t="s">
        <v>138</v>
      </c>
      <c r="O244" s="16" t="s">
        <v>450</v>
      </c>
      <c r="P244" s="11" t="s">
        <v>422</v>
      </c>
      <c r="Q244" s="11" t="s">
        <v>420</v>
      </c>
      <c r="R244" s="11" t="s">
        <v>107</v>
      </c>
      <c r="S244" s="10" t="s">
        <v>62</v>
      </c>
      <c r="T244" s="81">
        <v>7</v>
      </c>
      <c r="U244" s="10" t="s">
        <v>420</v>
      </c>
      <c r="V244" s="10" t="s">
        <v>450</v>
      </c>
      <c r="X244" s="15">
        <v>4</v>
      </c>
      <c r="Y244" s="10" t="s">
        <v>56</v>
      </c>
      <c r="Z244" s="10" t="s">
        <v>2849</v>
      </c>
      <c r="AA244" s="10" t="s">
        <v>23</v>
      </c>
      <c r="AB244" s="10" t="s">
        <v>46</v>
      </c>
    </row>
    <row r="245" spans="1:28">
      <c r="A245" s="10" t="s">
        <v>728</v>
      </c>
      <c r="B245" s="11" t="s">
        <v>238</v>
      </c>
      <c r="C245" s="11" t="s">
        <v>417</v>
      </c>
      <c r="D245" s="12">
        <v>32</v>
      </c>
      <c r="E245" s="11" t="s">
        <v>465</v>
      </c>
      <c r="F245" s="14" t="str">
        <f>_xlfn.XLOOKUP(E245,Profession!$B$2:$B$15,Profession!$A$2:$A$15,"Not Found")</f>
        <v>P010</v>
      </c>
      <c r="G245" s="11" t="s">
        <v>419</v>
      </c>
      <c r="H245" s="10" t="str">
        <f>_xlfn.XLOOKUP(G245,Region!$B$2:$B$16,Region!$A$2:$A$16,"Not Found")</f>
        <v>R001</v>
      </c>
      <c r="I245" s="10" t="s">
        <v>423</v>
      </c>
      <c r="J245" s="10" t="s">
        <v>423</v>
      </c>
      <c r="K245" s="10" t="s">
        <v>434</v>
      </c>
      <c r="L245" s="10" t="s">
        <v>1058</v>
      </c>
      <c r="M245" s="16" t="s">
        <v>422</v>
      </c>
      <c r="N245" s="10" t="s">
        <v>138</v>
      </c>
      <c r="O245" s="16" t="s">
        <v>444</v>
      </c>
      <c r="P245" s="11" t="s">
        <v>422</v>
      </c>
      <c r="Q245" s="11" t="s">
        <v>420</v>
      </c>
      <c r="R245" s="11" t="s">
        <v>1065</v>
      </c>
      <c r="S245" s="10" t="s">
        <v>62</v>
      </c>
      <c r="T245" s="81">
        <v>8</v>
      </c>
      <c r="U245" s="10" t="s">
        <v>420</v>
      </c>
      <c r="V245" s="10" t="s">
        <v>450</v>
      </c>
      <c r="X245" s="15">
        <v>7</v>
      </c>
      <c r="Y245" s="10" t="s">
        <v>100</v>
      </c>
      <c r="Z245" s="10" t="s">
        <v>2849</v>
      </c>
      <c r="AA245" s="10" t="s">
        <v>23</v>
      </c>
      <c r="AB245" s="10" t="s">
        <v>2843</v>
      </c>
    </row>
    <row r="246" spans="1:28">
      <c r="A246" s="10" t="s">
        <v>729</v>
      </c>
      <c r="B246" s="11" t="s">
        <v>239</v>
      </c>
      <c r="C246" s="11" t="s">
        <v>417</v>
      </c>
      <c r="D246" s="12">
        <v>33</v>
      </c>
      <c r="E246" s="11" t="s">
        <v>462</v>
      </c>
      <c r="F246" s="14" t="str">
        <f>_xlfn.XLOOKUP(E246,Profession!$B$2:$B$15,Profession!$A$2:$A$15,"Not Found")</f>
        <v>P008</v>
      </c>
      <c r="G246" s="11" t="s">
        <v>464</v>
      </c>
      <c r="H246" s="10" t="str">
        <f>_xlfn.XLOOKUP(G246,Region!$B$2:$B$16,Region!$A$2:$A$16,"Not Found")</f>
        <v>R007</v>
      </c>
      <c r="I246" s="10" t="s">
        <v>423</v>
      </c>
      <c r="J246" s="10" t="s">
        <v>423</v>
      </c>
      <c r="K246" s="10" t="s">
        <v>435</v>
      </c>
      <c r="L246" s="10" t="s">
        <v>1058</v>
      </c>
      <c r="M246" s="16" t="s">
        <v>436</v>
      </c>
      <c r="N246" s="10" t="s">
        <v>138</v>
      </c>
      <c r="O246" s="16" t="s">
        <v>450</v>
      </c>
      <c r="P246" s="11" t="s">
        <v>422</v>
      </c>
      <c r="Q246" s="11" t="s">
        <v>420</v>
      </c>
      <c r="R246" s="11" t="s">
        <v>107</v>
      </c>
      <c r="S246" s="10" t="s">
        <v>62</v>
      </c>
      <c r="T246" s="81">
        <v>5</v>
      </c>
      <c r="U246" s="10" t="s">
        <v>2275</v>
      </c>
      <c r="V246" s="10" t="s">
        <v>450</v>
      </c>
      <c r="X246" s="15">
        <v>5</v>
      </c>
      <c r="Y246" s="10" t="s">
        <v>54</v>
      </c>
      <c r="Z246" s="10" t="s">
        <v>2849</v>
      </c>
      <c r="AA246" s="10" t="s">
        <v>23</v>
      </c>
      <c r="AB246" s="10" t="s">
        <v>2844</v>
      </c>
    </row>
    <row r="247" spans="1:28">
      <c r="A247" s="10" t="s">
        <v>730</v>
      </c>
      <c r="B247" s="11" t="s">
        <v>240</v>
      </c>
      <c r="C247" s="11" t="s">
        <v>417</v>
      </c>
      <c r="D247" s="12">
        <v>34</v>
      </c>
      <c r="E247" s="11" t="s">
        <v>473</v>
      </c>
      <c r="F247" s="14" t="str">
        <f>_xlfn.XLOOKUP(E247,Profession!$B$2:$B$15,Profession!$A$2:$A$15,"Not Found")</f>
        <v>P012</v>
      </c>
      <c r="G247" s="11" t="s">
        <v>419</v>
      </c>
      <c r="H247" s="10" t="str">
        <f>_xlfn.XLOOKUP(G247,Region!$B$2:$B$16,Region!$A$2:$A$16,"Not Found")</f>
        <v>R001</v>
      </c>
      <c r="I247" s="10" t="s">
        <v>423</v>
      </c>
      <c r="J247" s="10" t="s">
        <v>423</v>
      </c>
      <c r="K247" s="10" t="s">
        <v>434</v>
      </c>
      <c r="L247" s="10" t="s">
        <v>1058</v>
      </c>
      <c r="M247" s="16" t="s">
        <v>432</v>
      </c>
      <c r="N247" s="10" t="s">
        <v>138</v>
      </c>
      <c r="O247" s="16" t="s">
        <v>444</v>
      </c>
      <c r="P247" s="11" t="s">
        <v>422</v>
      </c>
      <c r="Q247" s="11" t="s">
        <v>420</v>
      </c>
      <c r="R247" s="11" t="s">
        <v>107</v>
      </c>
      <c r="S247" s="10" t="s">
        <v>62</v>
      </c>
      <c r="T247" s="81">
        <v>7</v>
      </c>
      <c r="U247" s="10" t="s">
        <v>420</v>
      </c>
      <c r="V247" s="10" t="s">
        <v>450</v>
      </c>
      <c r="X247" s="15">
        <v>5</v>
      </c>
      <c r="Y247" s="10" t="s">
        <v>87</v>
      </c>
      <c r="Z247" s="10" t="s">
        <v>2848</v>
      </c>
      <c r="AA247" s="10" t="s">
        <v>23</v>
      </c>
      <c r="AB247" s="10" t="s">
        <v>149</v>
      </c>
    </row>
    <row r="248" spans="1:28">
      <c r="A248" s="10" t="s">
        <v>731</v>
      </c>
      <c r="B248" s="11" t="s">
        <v>241</v>
      </c>
      <c r="C248" s="11" t="s">
        <v>417</v>
      </c>
      <c r="D248" s="12">
        <v>35</v>
      </c>
      <c r="E248" s="11" t="s">
        <v>452</v>
      </c>
      <c r="F248" s="14" t="str">
        <f>_xlfn.XLOOKUP(E248,Profession!$B$2:$B$15,Profession!$A$2:$A$15,"Not Found")</f>
        <v>P005</v>
      </c>
      <c r="G248" s="11" t="s">
        <v>455</v>
      </c>
      <c r="H248" s="10" t="str">
        <f>_xlfn.XLOOKUP(G248,Region!$B$2:$B$16,Region!$A$2:$A$16,"Not Found")</f>
        <v>R006</v>
      </c>
      <c r="I248" s="10" t="s">
        <v>420</v>
      </c>
      <c r="J248" s="10" t="s">
        <v>420</v>
      </c>
      <c r="K248" s="10" t="s">
        <v>434</v>
      </c>
      <c r="L248" s="10" t="s">
        <v>1058</v>
      </c>
      <c r="M248" s="16" t="s">
        <v>422</v>
      </c>
      <c r="N248" s="10" t="s">
        <v>106</v>
      </c>
      <c r="O248" s="16" t="s">
        <v>436</v>
      </c>
      <c r="P248" s="11" t="s">
        <v>422</v>
      </c>
      <c r="Q248" s="11" t="s">
        <v>435</v>
      </c>
      <c r="R248" s="11" t="s">
        <v>1071</v>
      </c>
      <c r="S248" s="10" t="s">
        <v>62</v>
      </c>
      <c r="T248" s="81">
        <v>6</v>
      </c>
      <c r="U248" s="10" t="s">
        <v>420</v>
      </c>
      <c r="V248" s="10" t="s">
        <v>2277</v>
      </c>
      <c r="X248" s="15">
        <v>8</v>
      </c>
      <c r="Y248" s="10" t="s">
        <v>42</v>
      </c>
      <c r="Z248" s="10" t="s">
        <v>2849</v>
      </c>
      <c r="AA248" s="10" t="s">
        <v>43</v>
      </c>
      <c r="AB248" s="10" t="s">
        <v>46</v>
      </c>
    </row>
    <row r="249" spans="1:28">
      <c r="A249" s="10" t="s">
        <v>732</v>
      </c>
      <c r="B249" s="11" t="s">
        <v>242</v>
      </c>
      <c r="C249" s="11" t="s">
        <v>417</v>
      </c>
      <c r="D249" s="12">
        <v>36</v>
      </c>
      <c r="E249" s="11" t="s">
        <v>452</v>
      </c>
      <c r="F249" s="14" t="str">
        <f>_xlfn.XLOOKUP(E249,Profession!$B$2:$B$15,Profession!$A$2:$A$15,"Not Found")</f>
        <v>P005</v>
      </c>
      <c r="G249" s="11" t="s">
        <v>1115</v>
      </c>
      <c r="H249" s="10" t="str">
        <f>_xlfn.XLOOKUP(G249,Region!$B$2:$B$16,Region!$A$2:$A$16,"Not Found")</f>
        <v>R002</v>
      </c>
      <c r="I249" s="10" t="s">
        <v>420</v>
      </c>
      <c r="J249" s="10" t="s">
        <v>420</v>
      </c>
      <c r="K249" s="10" t="s">
        <v>435</v>
      </c>
      <c r="L249" s="10" t="s">
        <v>1058</v>
      </c>
      <c r="M249" s="16" t="s">
        <v>429</v>
      </c>
      <c r="N249" s="10" t="s">
        <v>64</v>
      </c>
      <c r="O249" s="16" t="s">
        <v>433</v>
      </c>
      <c r="P249" s="11" t="s">
        <v>422</v>
      </c>
      <c r="Q249" s="11" t="s">
        <v>420</v>
      </c>
      <c r="R249" s="11" t="s">
        <v>1072</v>
      </c>
      <c r="S249" s="10" t="s">
        <v>2885</v>
      </c>
      <c r="T249" s="81">
        <v>6</v>
      </c>
      <c r="U249" s="10" t="s">
        <v>2273</v>
      </c>
      <c r="V249" s="10" t="s">
        <v>2277</v>
      </c>
      <c r="X249" s="15">
        <v>3</v>
      </c>
      <c r="Y249" s="10" t="s">
        <v>45</v>
      </c>
      <c r="Z249" s="10" t="s">
        <v>2849</v>
      </c>
      <c r="AA249" s="10" t="s">
        <v>37</v>
      </c>
      <c r="AB249" s="10" t="s">
        <v>149</v>
      </c>
    </row>
    <row r="250" spans="1:28">
      <c r="A250" s="10" t="s">
        <v>733</v>
      </c>
      <c r="B250" s="11" t="s">
        <v>59</v>
      </c>
      <c r="C250" s="11" t="s">
        <v>417</v>
      </c>
      <c r="D250" s="12">
        <v>37</v>
      </c>
      <c r="E250" s="11" t="s">
        <v>442</v>
      </c>
      <c r="F250" s="14" t="str">
        <f>_xlfn.XLOOKUP(E250,Profession!$B$2:$B$15,Profession!$A$2:$A$15,"Not Found")</f>
        <v>P002</v>
      </c>
      <c r="G250" s="11" t="s">
        <v>419</v>
      </c>
      <c r="H250" s="10" t="str">
        <f>_xlfn.XLOOKUP(G250,Region!$B$2:$B$16,Region!$A$2:$A$16,"Not Found")</f>
        <v>R001</v>
      </c>
      <c r="I250" s="10" t="s">
        <v>420</v>
      </c>
      <c r="J250" s="10" t="s">
        <v>420</v>
      </c>
      <c r="K250" s="10" t="s">
        <v>426</v>
      </c>
      <c r="L250" s="10" t="s">
        <v>1058</v>
      </c>
      <c r="M250" s="16" t="s">
        <v>422</v>
      </c>
      <c r="N250" s="10" t="s">
        <v>102</v>
      </c>
      <c r="O250" s="16" t="s">
        <v>426</v>
      </c>
      <c r="P250" s="11" t="s">
        <v>1059</v>
      </c>
      <c r="Q250" s="11" t="s">
        <v>422</v>
      </c>
      <c r="R250" s="11" t="s">
        <v>1062</v>
      </c>
      <c r="S250" s="10" t="s">
        <v>2884</v>
      </c>
      <c r="T250" s="81">
        <v>6.3008333333333297</v>
      </c>
      <c r="U250" s="10" t="s">
        <v>420</v>
      </c>
      <c r="V250" s="10" t="s">
        <v>2277</v>
      </c>
      <c r="X250" s="15">
        <v>4</v>
      </c>
      <c r="Y250" s="10" t="s">
        <v>36</v>
      </c>
      <c r="Z250" s="10" t="s">
        <v>2849</v>
      </c>
      <c r="AA250" s="10" t="s">
        <v>23</v>
      </c>
      <c r="AB250" s="10" t="s">
        <v>2843</v>
      </c>
    </row>
    <row r="251" spans="1:28">
      <c r="A251" s="10" t="s">
        <v>734</v>
      </c>
      <c r="B251" s="11" t="s">
        <v>243</v>
      </c>
      <c r="C251" s="11" t="s">
        <v>417</v>
      </c>
      <c r="D251" s="12">
        <v>38</v>
      </c>
      <c r="E251" s="11" t="s">
        <v>465</v>
      </c>
      <c r="F251" s="14" t="str">
        <f>_xlfn.XLOOKUP(E251,Profession!$B$2:$B$15,Profession!$A$2:$A$15,"Not Found")</f>
        <v>P010</v>
      </c>
      <c r="G251" s="11" t="s">
        <v>108</v>
      </c>
      <c r="H251" s="10" t="str">
        <f>_xlfn.XLOOKUP(G251,Region!$B$2:$B$16,Region!$A$2:$A$16,"Not Found")</f>
        <v>R010</v>
      </c>
      <c r="I251" s="10" t="s">
        <v>420</v>
      </c>
      <c r="J251" s="10" t="s">
        <v>420</v>
      </c>
      <c r="K251" s="10" t="s">
        <v>435</v>
      </c>
      <c r="L251" s="10" t="s">
        <v>1058</v>
      </c>
      <c r="M251" s="16" t="s">
        <v>422</v>
      </c>
      <c r="N251" s="10" t="s">
        <v>138</v>
      </c>
      <c r="O251" s="16" t="s">
        <v>450</v>
      </c>
      <c r="P251" s="11" t="s">
        <v>422</v>
      </c>
      <c r="Q251" s="11" t="s">
        <v>420</v>
      </c>
      <c r="R251" s="11" t="s">
        <v>107</v>
      </c>
      <c r="S251" s="10" t="s">
        <v>62</v>
      </c>
      <c r="T251" s="81">
        <v>7</v>
      </c>
      <c r="U251" s="10" t="s">
        <v>420</v>
      </c>
      <c r="V251" s="10" t="s">
        <v>450</v>
      </c>
      <c r="X251" s="15">
        <v>7</v>
      </c>
      <c r="Y251" s="10" t="s">
        <v>19</v>
      </c>
      <c r="Z251" s="10" t="s">
        <v>2849</v>
      </c>
      <c r="AA251" s="10" t="s">
        <v>23</v>
      </c>
      <c r="AB251" s="10" t="s">
        <v>2841</v>
      </c>
    </row>
    <row r="252" spans="1:28">
      <c r="A252" s="10" t="s">
        <v>735</v>
      </c>
      <c r="B252" s="11" t="s">
        <v>38</v>
      </c>
      <c r="C252" s="11" t="s">
        <v>417</v>
      </c>
      <c r="D252" s="12">
        <v>39</v>
      </c>
      <c r="E252" s="11" t="s">
        <v>458</v>
      </c>
      <c r="F252" s="14" t="str">
        <f>_xlfn.XLOOKUP(E252,Profession!$B$2:$B$15,Profession!$A$2:$A$15,"Not Found")</f>
        <v>P006</v>
      </c>
      <c r="G252" s="11" t="s">
        <v>1115</v>
      </c>
      <c r="H252" s="10" t="str">
        <f>_xlfn.XLOOKUP(G252,Region!$B$2:$B$16,Region!$A$2:$A$16,"Not Found")</f>
        <v>R002</v>
      </c>
      <c r="I252" s="10" t="s">
        <v>420</v>
      </c>
      <c r="J252" s="10" t="s">
        <v>420</v>
      </c>
      <c r="K252" s="10" t="s">
        <v>434</v>
      </c>
      <c r="L252" s="10" t="s">
        <v>1058</v>
      </c>
      <c r="M252" s="16" t="s">
        <v>432</v>
      </c>
      <c r="N252" s="10" t="s">
        <v>64</v>
      </c>
      <c r="O252" s="16" t="s">
        <v>433</v>
      </c>
      <c r="P252" s="11" t="s">
        <v>422</v>
      </c>
      <c r="Q252" s="11" t="s">
        <v>1061</v>
      </c>
      <c r="R252" s="11" t="s">
        <v>1065</v>
      </c>
      <c r="S252" s="10" t="s">
        <v>62</v>
      </c>
      <c r="T252" s="81">
        <v>6</v>
      </c>
      <c r="U252" s="10" t="s">
        <v>2274</v>
      </c>
      <c r="V252" s="10" t="s">
        <v>450</v>
      </c>
      <c r="X252" s="15">
        <v>3</v>
      </c>
      <c r="Y252" s="10" t="s">
        <v>49</v>
      </c>
      <c r="Z252" s="10" t="s">
        <v>2849</v>
      </c>
      <c r="AA252" s="10" t="s">
        <v>37</v>
      </c>
      <c r="AB252" s="10" t="s">
        <v>46</v>
      </c>
    </row>
    <row r="253" spans="1:28">
      <c r="A253" s="10" t="s">
        <v>736</v>
      </c>
      <c r="B253" s="11" t="s">
        <v>47</v>
      </c>
      <c r="C253" s="11" t="s">
        <v>417</v>
      </c>
      <c r="D253" s="12">
        <v>40</v>
      </c>
      <c r="E253" s="11" t="s">
        <v>1054</v>
      </c>
      <c r="F253" s="14" t="str">
        <f>_xlfn.XLOOKUP(E253,Profession!$B$2:$B$15,Profession!$A$2:$A$15,"Not Found")</f>
        <v>P013</v>
      </c>
      <c r="G253" s="11" t="s">
        <v>1110</v>
      </c>
      <c r="H253" s="10" t="str">
        <f>_xlfn.XLOOKUP(G253,Region!$B$2:$B$16,Region!$A$2:$A$16,"Not Found")</f>
        <v>R013</v>
      </c>
      <c r="I253" s="10" t="s">
        <v>420</v>
      </c>
      <c r="J253" s="10" t="s">
        <v>420</v>
      </c>
      <c r="K253" s="10" t="s">
        <v>435</v>
      </c>
      <c r="L253" s="10" t="s">
        <v>1058</v>
      </c>
      <c r="M253" s="16" t="s">
        <v>422</v>
      </c>
      <c r="N253" s="10" t="s">
        <v>138</v>
      </c>
      <c r="O253" s="16" t="s">
        <v>433</v>
      </c>
      <c r="P253" s="11" t="s">
        <v>435</v>
      </c>
      <c r="Q253" s="11" t="s">
        <v>420</v>
      </c>
      <c r="R253" s="11" t="s">
        <v>1067</v>
      </c>
      <c r="S253" s="10" t="s">
        <v>62</v>
      </c>
      <c r="T253" s="81">
        <v>6</v>
      </c>
      <c r="U253" s="10" t="s">
        <v>420</v>
      </c>
      <c r="V253" s="10" t="s">
        <v>450</v>
      </c>
      <c r="X253" s="15">
        <v>6</v>
      </c>
      <c r="Y253" s="10" t="s">
        <v>75</v>
      </c>
      <c r="Z253" s="10" t="s">
        <v>2847</v>
      </c>
      <c r="AA253" s="10" t="s">
        <v>70</v>
      </c>
      <c r="AB253" s="10" t="s">
        <v>149</v>
      </c>
    </row>
    <row r="254" spans="1:28">
      <c r="A254" s="10" t="s">
        <v>737</v>
      </c>
      <c r="B254" s="11" t="s">
        <v>244</v>
      </c>
      <c r="C254" s="11" t="s">
        <v>417</v>
      </c>
      <c r="D254" s="12">
        <v>41</v>
      </c>
      <c r="E254" s="11" t="s">
        <v>446</v>
      </c>
      <c r="F254" s="14" t="str">
        <f>_xlfn.XLOOKUP(E254,Profession!$B$2:$B$15,Profession!$A$2:$A$15,"Not Found")</f>
        <v>P003</v>
      </c>
      <c r="G254" s="11" t="s">
        <v>104</v>
      </c>
      <c r="H254" s="10" t="str">
        <f>_xlfn.XLOOKUP(G254,Region!$B$2:$B$16,Region!$A$2:$A$16,"Not Found")</f>
        <v>R003</v>
      </c>
      <c r="I254" s="10" t="s">
        <v>420</v>
      </c>
      <c r="J254" s="10" t="s">
        <v>420</v>
      </c>
      <c r="K254" s="10" t="s">
        <v>435</v>
      </c>
      <c r="L254" s="10" t="s">
        <v>1058</v>
      </c>
      <c r="M254" s="16" t="s">
        <v>422</v>
      </c>
      <c r="N254" s="10" t="s">
        <v>138</v>
      </c>
      <c r="O254" s="16" t="s">
        <v>433</v>
      </c>
      <c r="P254" s="11" t="s">
        <v>422</v>
      </c>
      <c r="Q254" s="11" t="s">
        <v>420</v>
      </c>
      <c r="R254" s="11" t="s">
        <v>1070</v>
      </c>
      <c r="S254" s="10" t="s">
        <v>62</v>
      </c>
      <c r="T254" s="81">
        <v>8</v>
      </c>
      <c r="U254" s="10" t="s">
        <v>420</v>
      </c>
      <c r="V254" s="10" t="s">
        <v>2277</v>
      </c>
      <c r="X254" s="15">
        <v>5</v>
      </c>
      <c r="Y254" s="10" t="s">
        <v>19</v>
      </c>
      <c r="Z254" s="10" t="s">
        <v>2849</v>
      </c>
      <c r="AA254" s="10" t="s">
        <v>23</v>
      </c>
      <c r="AB254" s="10" t="s">
        <v>28</v>
      </c>
    </row>
    <row r="255" spans="1:28">
      <c r="A255" s="10" t="s">
        <v>738</v>
      </c>
      <c r="B255" s="11" t="s">
        <v>245</v>
      </c>
      <c r="C255" s="11" t="s">
        <v>417</v>
      </c>
      <c r="D255" s="12">
        <v>42</v>
      </c>
      <c r="E255" s="11" t="s">
        <v>1088</v>
      </c>
      <c r="F255" s="14" t="str">
        <f>_xlfn.XLOOKUP(E255,Profession!$B$2:$B$15,Profession!$A$2:$A$15,"Not Found")</f>
        <v>P014</v>
      </c>
      <c r="G255" s="11" t="s">
        <v>1114</v>
      </c>
      <c r="H255" s="10" t="str">
        <f>_xlfn.XLOOKUP(G255,Region!$B$2:$B$16,Region!$A$2:$A$16,"Not Found")</f>
        <v>R014</v>
      </c>
      <c r="I255" s="10" t="s">
        <v>420</v>
      </c>
      <c r="J255" s="10" t="s">
        <v>420</v>
      </c>
      <c r="K255" s="10" t="s">
        <v>435</v>
      </c>
      <c r="L255" s="10" t="s">
        <v>1058</v>
      </c>
      <c r="M255" s="16" t="s">
        <v>422</v>
      </c>
      <c r="N255" s="10" t="s">
        <v>138</v>
      </c>
      <c r="O255" s="16" t="s">
        <v>433</v>
      </c>
      <c r="P255" s="11" t="s">
        <v>422</v>
      </c>
      <c r="Q255" s="11" t="s">
        <v>1061</v>
      </c>
      <c r="R255" s="11" t="s">
        <v>1067</v>
      </c>
      <c r="S255" s="10" t="s">
        <v>62</v>
      </c>
      <c r="T255" s="81">
        <v>6</v>
      </c>
      <c r="U255" s="10" t="s">
        <v>420</v>
      </c>
      <c r="V255" s="10" t="s">
        <v>450</v>
      </c>
      <c r="X255" s="15">
        <v>6</v>
      </c>
      <c r="Y255" s="10" t="s">
        <v>77</v>
      </c>
      <c r="Z255" s="10" t="s">
        <v>2282</v>
      </c>
      <c r="AA255" s="10" t="s">
        <v>23</v>
      </c>
      <c r="AB255" s="10" t="s">
        <v>46</v>
      </c>
    </row>
    <row r="256" spans="1:28">
      <c r="A256" s="10" t="s">
        <v>739</v>
      </c>
      <c r="B256" s="11" t="s">
        <v>29</v>
      </c>
      <c r="C256" s="11" t="s">
        <v>417</v>
      </c>
      <c r="D256" s="12">
        <v>43</v>
      </c>
      <c r="E256" s="11" t="s">
        <v>1088</v>
      </c>
      <c r="F256" s="14" t="str">
        <f>_xlfn.XLOOKUP(E256,Profession!$B$2:$B$15,Profession!$A$2:$A$15,"Not Found")</f>
        <v>P014</v>
      </c>
      <c r="G256" s="11" t="s">
        <v>477</v>
      </c>
      <c r="H256" s="10" t="str">
        <f>_xlfn.XLOOKUP(G256,Region!$B$2:$B$16,Region!$A$2:$A$16,"Not Found")</f>
        <v>R015</v>
      </c>
      <c r="I256" s="10" t="s">
        <v>420</v>
      </c>
      <c r="J256" s="10" t="s">
        <v>420</v>
      </c>
      <c r="K256" s="10" t="s">
        <v>435</v>
      </c>
      <c r="L256" s="10" t="s">
        <v>1058</v>
      </c>
      <c r="M256" s="16" t="s">
        <v>422</v>
      </c>
      <c r="N256" s="10" t="s">
        <v>138</v>
      </c>
      <c r="O256" s="16" t="s">
        <v>433</v>
      </c>
      <c r="P256" s="11" t="s">
        <v>435</v>
      </c>
      <c r="Q256" s="11" t="s">
        <v>1061</v>
      </c>
      <c r="R256" s="11" t="s">
        <v>1068</v>
      </c>
      <c r="S256" s="10" t="s">
        <v>62</v>
      </c>
      <c r="T256" s="81">
        <v>8</v>
      </c>
      <c r="U256" s="10" t="s">
        <v>420</v>
      </c>
      <c r="V256" s="10" t="s">
        <v>450</v>
      </c>
      <c r="X256" s="15">
        <v>6</v>
      </c>
      <c r="Y256" s="10" t="s">
        <v>36</v>
      </c>
      <c r="Z256" s="10" t="s">
        <v>2849</v>
      </c>
      <c r="AA256" s="10" t="s">
        <v>23</v>
      </c>
      <c r="AB256" s="10" t="s">
        <v>2841</v>
      </c>
    </row>
    <row r="257" spans="1:28">
      <c r="A257" s="10" t="s">
        <v>740</v>
      </c>
      <c r="B257" s="11" t="s">
        <v>246</v>
      </c>
      <c r="C257" s="11" t="s">
        <v>417</v>
      </c>
      <c r="D257" s="12">
        <v>20</v>
      </c>
      <c r="E257" s="11" t="s">
        <v>418</v>
      </c>
      <c r="F257" s="14" t="str">
        <f>_xlfn.XLOOKUP(E257,Profession!$B$2:$B$15,Profession!$A$2:$A$15,"Not Found")</f>
        <v>P001</v>
      </c>
      <c r="G257" s="11" t="s">
        <v>419</v>
      </c>
      <c r="H257" s="10" t="str">
        <f>_xlfn.XLOOKUP(G257,Region!$B$2:$B$16,Region!$A$2:$A$16,"Not Found")</f>
        <v>R001</v>
      </c>
      <c r="I257" s="10" t="s">
        <v>420</v>
      </c>
      <c r="J257" s="10" t="s">
        <v>420</v>
      </c>
      <c r="K257" s="10" t="s">
        <v>435</v>
      </c>
      <c r="L257" s="10" t="s">
        <v>1057</v>
      </c>
      <c r="M257" s="16" t="s">
        <v>422</v>
      </c>
      <c r="N257" s="10" t="s">
        <v>26</v>
      </c>
      <c r="O257" s="16" t="s">
        <v>423</v>
      </c>
      <c r="P257" s="11" t="s">
        <v>1059</v>
      </c>
      <c r="Q257" s="11" t="s">
        <v>422</v>
      </c>
      <c r="R257" s="11" t="s">
        <v>1062</v>
      </c>
      <c r="S257" s="10" t="s">
        <v>2884</v>
      </c>
      <c r="T257" s="81">
        <v>7</v>
      </c>
      <c r="U257" s="10" t="s">
        <v>420</v>
      </c>
      <c r="V257" s="10" t="s">
        <v>2278</v>
      </c>
      <c r="X257" s="15">
        <v>3</v>
      </c>
      <c r="Y257" s="10" t="s">
        <v>27</v>
      </c>
      <c r="Z257" s="10" t="s">
        <v>2849</v>
      </c>
      <c r="AA257" s="10" t="s">
        <v>23</v>
      </c>
      <c r="AB257" s="10" t="s">
        <v>24</v>
      </c>
    </row>
    <row r="258" spans="1:28">
      <c r="A258" s="10" t="s">
        <v>741</v>
      </c>
      <c r="B258" s="11" t="s">
        <v>247</v>
      </c>
      <c r="C258" s="11" t="s">
        <v>417</v>
      </c>
      <c r="D258" s="12">
        <v>21</v>
      </c>
      <c r="E258" s="11" t="s">
        <v>465</v>
      </c>
      <c r="F258" s="14" t="str">
        <f>_xlfn.XLOOKUP(E258,Profession!$B$2:$B$15,Profession!$A$2:$A$15,"Not Found")</f>
        <v>P010</v>
      </c>
      <c r="G258" s="11" t="s">
        <v>1115</v>
      </c>
      <c r="H258" s="10" t="str">
        <f>_xlfn.XLOOKUP(G258,Region!$B$2:$B$16,Region!$A$2:$A$16,"Not Found")</f>
        <v>R002</v>
      </c>
      <c r="I258" s="10" t="s">
        <v>420</v>
      </c>
      <c r="J258" s="10" t="s">
        <v>420</v>
      </c>
      <c r="K258" s="10" t="s">
        <v>421</v>
      </c>
      <c r="L258" s="10" t="s">
        <v>1058</v>
      </c>
      <c r="M258" s="16" t="s">
        <v>422</v>
      </c>
      <c r="N258" s="10" t="s">
        <v>138</v>
      </c>
      <c r="O258" s="16" t="s">
        <v>450</v>
      </c>
      <c r="P258" s="11" t="s">
        <v>422</v>
      </c>
      <c r="Q258" s="11" t="s">
        <v>420</v>
      </c>
      <c r="R258" s="11" t="s">
        <v>1065</v>
      </c>
      <c r="S258" s="10" t="s">
        <v>62</v>
      </c>
      <c r="T258" s="81">
        <v>8</v>
      </c>
      <c r="U258" s="10" t="s">
        <v>420</v>
      </c>
      <c r="V258" s="10" t="s">
        <v>450</v>
      </c>
      <c r="X258" s="15">
        <v>4</v>
      </c>
      <c r="Y258" s="10" t="s">
        <v>56</v>
      </c>
      <c r="Z258" s="10" t="s">
        <v>2849</v>
      </c>
      <c r="AA258" s="10" t="s">
        <v>23</v>
      </c>
      <c r="AB258" s="10" t="s">
        <v>2843</v>
      </c>
    </row>
    <row r="259" spans="1:28">
      <c r="A259" s="10" t="s">
        <v>742</v>
      </c>
      <c r="B259" s="11" t="s">
        <v>248</v>
      </c>
      <c r="C259" s="11" t="s">
        <v>417</v>
      </c>
      <c r="D259" s="12">
        <v>22</v>
      </c>
      <c r="E259" s="11" t="s">
        <v>442</v>
      </c>
      <c r="F259" s="14" t="str">
        <f>_xlfn.XLOOKUP(E259,Profession!$B$2:$B$15,Profession!$A$2:$A$15,"Not Found")</f>
        <v>P002</v>
      </c>
      <c r="G259" s="11" t="s">
        <v>419</v>
      </c>
      <c r="H259" s="10" t="str">
        <f>_xlfn.XLOOKUP(G259,Region!$B$2:$B$16,Region!$A$2:$A$16,"Not Found")</f>
        <v>R001</v>
      </c>
      <c r="I259" s="10" t="s">
        <v>420</v>
      </c>
      <c r="J259" s="10" t="s">
        <v>420</v>
      </c>
      <c r="K259" s="10" t="s">
        <v>435</v>
      </c>
      <c r="L259" s="10" t="s">
        <v>1058</v>
      </c>
      <c r="M259" s="16" t="s">
        <v>436</v>
      </c>
      <c r="N259" s="10" t="s">
        <v>138</v>
      </c>
      <c r="O259" s="16" t="s">
        <v>444</v>
      </c>
      <c r="P259" s="11" t="s">
        <v>422</v>
      </c>
      <c r="Q259" s="11" t="s">
        <v>1061</v>
      </c>
      <c r="R259" s="11" t="s">
        <v>1068</v>
      </c>
      <c r="S259" s="10" t="s">
        <v>62</v>
      </c>
      <c r="T259" s="81">
        <v>6</v>
      </c>
      <c r="U259" s="10" t="s">
        <v>420</v>
      </c>
      <c r="V259" s="10" t="s">
        <v>2277</v>
      </c>
      <c r="X259" s="15">
        <v>6</v>
      </c>
      <c r="Y259" s="10" t="s">
        <v>100</v>
      </c>
      <c r="Z259" s="10" t="s">
        <v>2849</v>
      </c>
      <c r="AA259" s="10" t="s">
        <v>37</v>
      </c>
      <c r="AB259" s="10" t="s">
        <v>2844</v>
      </c>
    </row>
    <row r="260" spans="1:28">
      <c r="A260" s="10" t="s">
        <v>743</v>
      </c>
      <c r="B260" s="11" t="s">
        <v>249</v>
      </c>
      <c r="C260" s="11" t="s">
        <v>417</v>
      </c>
      <c r="D260" s="12">
        <v>23</v>
      </c>
      <c r="E260" s="11" t="s">
        <v>462</v>
      </c>
      <c r="F260" s="14" t="str">
        <f>_xlfn.XLOOKUP(E260,Profession!$B$2:$B$15,Profession!$A$2:$A$15,"Not Found")</f>
        <v>P008</v>
      </c>
      <c r="G260" s="11" t="s">
        <v>1112</v>
      </c>
      <c r="H260" s="10" t="str">
        <f>_xlfn.XLOOKUP(G260,Region!$B$2:$B$16,Region!$A$2:$A$16,"Not Found")</f>
        <v>R008</v>
      </c>
      <c r="I260" s="10" t="s">
        <v>420</v>
      </c>
      <c r="J260" s="10" t="s">
        <v>420</v>
      </c>
      <c r="K260" s="10" t="s">
        <v>431</v>
      </c>
      <c r="L260" s="10" t="s">
        <v>1058</v>
      </c>
      <c r="M260" s="16" t="s">
        <v>422</v>
      </c>
      <c r="N260" s="10" t="s">
        <v>138</v>
      </c>
      <c r="O260" s="16" t="s">
        <v>450</v>
      </c>
      <c r="P260" s="11" t="s">
        <v>422</v>
      </c>
      <c r="Q260" s="11" t="s">
        <v>420</v>
      </c>
      <c r="R260" s="11" t="s">
        <v>107</v>
      </c>
      <c r="S260" s="10" t="s">
        <v>62</v>
      </c>
      <c r="T260" s="81">
        <v>7</v>
      </c>
      <c r="U260" s="10" t="s">
        <v>420</v>
      </c>
      <c r="V260" s="10" t="s">
        <v>450</v>
      </c>
      <c r="X260" s="15">
        <v>5</v>
      </c>
      <c r="Y260" s="10" t="s">
        <v>56</v>
      </c>
      <c r="Z260" s="10" t="s">
        <v>2849</v>
      </c>
      <c r="AA260" s="10" t="s">
        <v>23</v>
      </c>
      <c r="AB260" s="10" t="s">
        <v>2843</v>
      </c>
    </row>
    <row r="261" spans="1:28">
      <c r="A261" s="10" t="s">
        <v>744</v>
      </c>
      <c r="B261" s="11" t="s">
        <v>250</v>
      </c>
      <c r="C261" s="11" t="s">
        <v>417</v>
      </c>
      <c r="D261" s="12">
        <v>24</v>
      </c>
      <c r="E261" s="11" t="s">
        <v>473</v>
      </c>
      <c r="F261" s="14" t="str">
        <f>_xlfn.XLOOKUP(E261,Profession!$B$2:$B$15,Profession!$A$2:$A$15,"Not Found")</f>
        <v>P012</v>
      </c>
      <c r="G261" s="11" t="s">
        <v>1113</v>
      </c>
      <c r="H261" s="10" t="str">
        <f>_xlfn.XLOOKUP(G261,Region!$B$2:$B$16,Region!$A$2:$A$16,"Not Found")</f>
        <v>R012</v>
      </c>
      <c r="I261" s="10" t="s">
        <v>423</v>
      </c>
      <c r="J261" s="10" t="s">
        <v>423</v>
      </c>
      <c r="K261" s="10" t="s">
        <v>435</v>
      </c>
      <c r="L261" s="10" t="s">
        <v>1058</v>
      </c>
      <c r="M261" s="16" t="s">
        <v>422</v>
      </c>
      <c r="N261" s="10" t="s">
        <v>138</v>
      </c>
      <c r="O261" s="16" t="s">
        <v>444</v>
      </c>
      <c r="P261" s="11" t="s">
        <v>422</v>
      </c>
      <c r="Q261" s="11" t="s">
        <v>1061</v>
      </c>
      <c r="R261" s="11" t="s">
        <v>107</v>
      </c>
      <c r="S261" s="10" t="s">
        <v>62</v>
      </c>
      <c r="T261" s="81">
        <v>6</v>
      </c>
      <c r="U261" s="10" t="s">
        <v>420</v>
      </c>
      <c r="V261" s="10" t="s">
        <v>2277</v>
      </c>
      <c r="X261" s="15">
        <v>6</v>
      </c>
      <c r="Y261" s="10" t="s">
        <v>22</v>
      </c>
      <c r="Z261" s="10" t="s">
        <v>2846</v>
      </c>
      <c r="AA261" s="10" t="s">
        <v>23</v>
      </c>
      <c r="AB261" s="10" t="s">
        <v>2842</v>
      </c>
    </row>
    <row r="262" spans="1:28">
      <c r="A262" s="10" t="s">
        <v>745</v>
      </c>
      <c r="B262" s="11" t="s">
        <v>251</v>
      </c>
      <c r="C262" s="11" t="s">
        <v>417</v>
      </c>
      <c r="D262" s="12">
        <v>25</v>
      </c>
      <c r="E262" s="11" t="s">
        <v>1108</v>
      </c>
      <c r="F262" s="14" t="str">
        <f>_xlfn.XLOOKUP(E262,Profession!$B$2:$B$15,Profession!$A$2:$A$15,"Not Found")</f>
        <v>P011</v>
      </c>
      <c r="G262" s="11" t="s">
        <v>419</v>
      </c>
      <c r="H262" s="10" t="str">
        <f>_xlfn.XLOOKUP(G262,Region!$B$2:$B$16,Region!$A$2:$A$16,"Not Found")</f>
        <v>R001</v>
      </c>
      <c r="I262" s="10" t="s">
        <v>420</v>
      </c>
      <c r="J262" s="10" t="s">
        <v>420</v>
      </c>
      <c r="K262" s="10" t="s">
        <v>431</v>
      </c>
      <c r="L262" s="10" t="s">
        <v>1058</v>
      </c>
      <c r="M262" s="16" t="s">
        <v>422</v>
      </c>
      <c r="N262" s="10" t="s">
        <v>138</v>
      </c>
      <c r="O262" s="16" t="s">
        <v>444</v>
      </c>
      <c r="P262" s="11" t="s">
        <v>422</v>
      </c>
      <c r="Q262" s="11" t="s">
        <v>420</v>
      </c>
      <c r="R262" s="11" t="s">
        <v>1070</v>
      </c>
      <c r="S262" s="10" t="s">
        <v>62</v>
      </c>
      <c r="T262" s="81">
        <v>6</v>
      </c>
      <c r="U262" s="10" t="s">
        <v>420</v>
      </c>
      <c r="V262" s="10" t="s">
        <v>2277</v>
      </c>
      <c r="X262" s="15">
        <v>5</v>
      </c>
      <c r="Y262" s="10" t="s">
        <v>58</v>
      </c>
      <c r="Z262" s="10" t="s">
        <v>2849</v>
      </c>
      <c r="AA262" s="10" t="s">
        <v>23</v>
      </c>
      <c r="AB262" s="10" t="s">
        <v>2843</v>
      </c>
    </row>
    <row r="263" spans="1:28">
      <c r="A263" s="10" t="s">
        <v>746</v>
      </c>
      <c r="B263" s="11" t="s">
        <v>252</v>
      </c>
      <c r="C263" s="11" t="s">
        <v>417</v>
      </c>
      <c r="D263" s="12">
        <v>26</v>
      </c>
      <c r="E263" s="11" t="s">
        <v>459</v>
      </c>
      <c r="F263" s="14" t="str">
        <f>_xlfn.XLOOKUP(E263,Profession!$B$2:$B$15,Profession!$A$2:$A$15,"Not Found")</f>
        <v>P007</v>
      </c>
      <c r="G263" s="11" t="s">
        <v>419</v>
      </c>
      <c r="H263" s="10" t="str">
        <f>_xlfn.XLOOKUP(G263,Region!$B$2:$B$16,Region!$A$2:$A$16,"Not Found")</f>
        <v>R001</v>
      </c>
      <c r="I263" s="10" t="s">
        <v>420</v>
      </c>
      <c r="J263" s="10" t="s">
        <v>420</v>
      </c>
      <c r="K263" s="10" t="s">
        <v>421</v>
      </c>
      <c r="L263" s="10" t="s">
        <v>1058</v>
      </c>
      <c r="M263" s="16" t="s">
        <v>422</v>
      </c>
      <c r="N263" s="10" t="s">
        <v>19</v>
      </c>
      <c r="O263" s="16" t="s">
        <v>444</v>
      </c>
      <c r="P263" s="11" t="s">
        <v>422</v>
      </c>
      <c r="Q263" s="11" t="s">
        <v>420</v>
      </c>
      <c r="R263" s="11" t="s">
        <v>1070</v>
      </c>
      <c r="S263" s="10" t="s">
        <v>62</v>
      </c>
      <c r="T263" s="81">
        <v>8</v>
      </c>
      <c r="U263" s="10" t="s">
        <v>420</v>
      </c>
      <c r="V263" s="10" t="s">
        <v>450</v>
      </c>
      <c r="X263" s="15">
        <v>4</v>
      </c>
      <c r="Y263" s="10" t="s">
        <v>36</v>
      </c>
      <c r="Z263" s="10" t="s">
        <v>2849</v>
      </c>
      <c r="AA263" s="10" t="s">
        <v>37</v>
      </c>
      <c r="AB263" s="10" t="s">
        <v>24</v>
      </c>
    </row>
    <row r="264" spans="1:28">
      <c r="A264" s="10" t="s">
        <v>747</v>
      </c>
      <c r="B264" s="11" t="s">
        <v>253</v>
      </c>
      <c r="C264" s="11" t="s">
        <v>417</v>
      </c>
      <c r="D264" s="12">
        <v>27</v>
      </c>
      <c r="E264" s="11" t="s">
        <v>418</v>
      </c>
      <c r="F264" s="14" t="str">
        <f>_xlfn.XLOOKUP(E264,Profession!$B$2:$B$15,Profession!$A$2:$A$15,"Not Found")</f>
        <v>P001</v>
      </c>
      <c r="G264" s="11" t="s">
        <v>1115</v>
      </c>
      <c r="H264" s="10" t="str">
        <f>_xlfn.XLOOKUP(G264,Region!$B$2:$B$16,Region!$A$2:$A$16,"Not Found")</f>
        <v>R002</v>
      </c>
      <c r="I264" s="10" t="s">
        <v>420</v>
      </c>
      <c r="J264" s="10" t="s">
        <v>420</v>
      </c>
      <c r="K264" s="10" t="s">
        <v>435</v>
      </c>
      <c r="L264" s="10" t="s">
        <v>1058</v>
      </c>
      <c r="M264" s="16" t="s">
        <v>432</v>
      </c>
      <c r="N264" s="10" t="s">
        <v>138</v>
      </c>
      <c r="O264" s="16" t="s">
        <v>433</v>
      </c>
      <c r="P264" s="11" t="s">
        <v>422</v>
      </c>
      <c r="Q264" s="11" t="s">
        <v>1061</v>
      </c>
      <c r="R264" s="11" t="s">
        <v>1065</v>
      </c>
      <c r="S264" s="10" t="s">
        <v>62</v>
      </c>
      <c r="T264" s="81">
        <v>8</v>
      </c>
      <c r="U264" s="10" t="s">
        <v>420</v>
      </c>
      <c r="V264" s="10" t="s">
        <v>2277</v>
      </c>
      <c r="X264" s="15">
        <v>5</v>
      </c>
      <c r="Y264" s="10" t="s">
        <v>27</v>
      </c>
      <c r="Z264" s="10" t="s">
        <v>2849</v>
      </c>
      <c r="AA264" s="10" t="s">
        <v>23</v>
      </c>
      <c r="AB264" s="10" t="s">
        <v>2841</v>
      </c>
    </row>
    <row r="265" spans="1:28">
      <c r="A265" s="10" t="s">
        <v>748</v>
      </c>
      <c r="B265" s="11" t="s">
        <v>41</v>
      </c>
      <c r="C265" s="11" t="s">
        <v>417</v>
      </c>
      <c r="D265" s="12">
        <v>28</v>
      </c>
      <c r="E265" s="11" t="s">
        <v>452</v>
      </c>
      <c r="F265" s="14" t="str">
        <f>_xlfn.XLOOKUP(E265,Profession!$B$2:$B$15,Profession!$A$2:$A$15,"Not Found")</f>
        <v>P005</v>
      </c>
      <c r="G265" s="11" t="s">
        <v>453</v>
      </c>
      <c r="H265" s="10" t="str">
        <f>_xlfn.XLOOKUP(G265,Region!$B$2:$B$16,Region!$A$2:$A$16,"Not Found")</f>
        <v>R005</v>
      </c>
      <c r="I265" s="10" t="s">
        <v>420</v>
      </c>
      <c r="J265" s="10" t="s">
        <v>420</v>
      </c>
      <c r="K265" s="10" t="s">
        <v>434</v>
      </c>
      <c r="L265" s="10" t="s">
        <v>1058</v>
      </c>
      <c r="M265" s="16" t="s">
        <v>422</v>
      </c>
      <c r="N265" s="10" t="s">
        <v>105</v>
      </c>
      <c r="O265" s="16" t="s">
        <v>433</v>
      </c>
      <c r="P265" s="11" t="s">
        <v>422</v>
      </c>
      <c r="Q265" s="11" t="s">
        <v>434</v>
      </c>
      <c r="R265" s="11" t="s">
        <v>1068</v>
      </c>
      <c r="S265" s="10" t="s">
        <v>62</v>
      </c>
      <c r="T265" s="81">
        <v>7</v>
      </c>
      <c r="U265" s="10" t="s">
        <v>2272</v>
      </c>
      <c r="V265" s="10" t="s">
        <v>450</v>
      </c>
      <c r="X265" s="15">
        <v>5</v>
      </c>
      <c r="Y265" s="10" t="s">
        <v>40</v>
      </c>
      <c r="Z265" s="10" t="s">
        <v>2280</v>
      </c>
      <c r="AA265" s="10" t="s">
        <v>37</v>
      </c>
      <c r="AB265" s="10" t="s">
        <v>24</v>
      </c>
    </row>
    <row r="266" spans="1:28">
      <c r="A266" s="10" t="s">
        <v>749</v>
      </c>
      <c r="B266" s="11" t="s">
        <v>254</v>
      </c>
      <c r="C266" s="11" t="s">
        <v>417</v>
      </c>
      <c r="D266" s="12">
        <v>29</v>
      </c>
      <c r="E266" s="11" t="s">
        <v>465</v>
      </c>
      <c r="F266" s="14" t="str">
        <f>_xlfn.XLOOKUP(E266,Profession!$B$2:$B$15,Profession!$A$2:$A$15,"Not Found")</f>
        <v>P010</v>
      </c>
      <c r="G266" s="11" t="s">
        <v>467</v>
      </c>
      <c r="H266" s="10" t="str">
        <f>_xlfn.XLOOKUP(G266,Region!$B$2:$B$16,Region!$A$2:$A$16,"Not Found")</f>
        <v>R009</v>
      </c>
      <c r="I266" s="10" t="s">
        <v>420</v>
      </c>
      <c r="J266" s="10" t="s">
        <v>420</v>
      </c>
      <c r="K266" s="10" t="s">
        <v>434</v>
      </c>
      <c r="L266" s="10" t="s">
        <v>1058</v>
      </c>
      <c r="M266" s="16" t="s">
        <v>422</v>
      </c>
      <c r="N266" s="10" t="s">
        <v>138</v>
      </c>
      <c r="O266" s="16" t="s">
        <v>444</v>
      </c>
      <c r="P266" s="11" t="s">
        <v>422</v>
      </c>
      <c r="Q266" s="11" t="s">
        <v>420</v>
      </c>
      <c r="R266" s="11" t="s">
        <v>1070</v>
      </c>
      <c r="S266" s="10" t="s">
        <v>62</v>
      </c>
      <c r="T266" s="81">
        <v>6</v>
      </c>
      <c r="U266" s="10" t="s">
        <v>420</v>
      </c>
      <c r="V266" s="10" t="s">
        <v>2277</v>
      </c>
      <c r="X266" s="15">
        <v>4</v>
      </c>
      <c r="Y266" s="10" t="s">
        <v>56</v>
      </c>
      <c r="Z266" s="10" t="s">
        <v>2849</v>
      </c>
      <c r="AA266" s="10" t="s">
        <v>23</v>
      </c>
      <c r="AB266" s="10" t="s">
        <v>2843</v>
      </c>
    </row>
    <row r="267" spans="1:28">
      <c r="A267" s="10" t="s">
        <v>750</v>
      </c>
      <c r="B267" s="11" t="s">
        <v>255</v>
      </c>
      <c r="C267" s="11" t="s">
        <v>417</v>
      </c>
      <c r="D267" s="12">
        <v>30</v>
      </c>
      <c r="E267" s="11" t="s">
        <v>448</v>
      </c>
      <c r="F267" s="14" t="str">
        <f>_xlfn.XLOOKUP(E267,Profession!$B$2:$B$15,Profession!$A$2:$A$15,"Not Found")</f>
        <v>P004</v>
      </c>
      <c r="G267" s="11" t="s">
        <v>1111</v>
      </c>
      <c r="H267" s="10" t="str">
        <f>_xlfn.XLOOKUP(G267,Region!$B$2:$B$16,Region!$A$2:$A$16,"Not Found")</f>
        <v>R004</v>
      </c>
      <c r="I267" s="10" t="s">
        <v>420</v>
      </c>
      <c r="J267" s="10" t="s">
        <v>420</v>
      </c>
      <c r="K267" s="10" t="s">
        <v>431</v>
      </c>
      <c r="L267" s="10" t="s">
        <v>1057</v>
      </c>
      <c r="M267" s="16" t="s">
        <v>432</v>
      </c>
      <c r="N267" s="10" t="s">
        <v>138</v>
      </c>
      <c r="O267" s="16" t="s">
        <v>444</v>
      </c>
      <c r="P267" s="11" t="s">
        <v>422</v>
      </c>
      <c r="Q267" s="11" t="s">
        <v>420</v>
      </c>
      <c r="R267" s="11" t="s">
        <v>1070</v>
      </c>
      <c r="S267" s="10" t="s">
        <v>62</v>
      </c>
      <c r="T267" s="81">
        <v>8</v>
      </c>
      <c r="U267" s="10" t="s">
        <v>420</v>
      </c>
      <c r="V267" s="10" t="s">
        <v>450</v>
      </c>
      <c r="X267" s="15">
        <v>4</v>
      </c>
      <c r="Y267" s="10" t="s">
        <v>56</v>
      </c>
      <c r="Z267" s="10" t="s">
        <v>2849</v>
      </c>
      <c r="AA267" s="10" t="s">
        <v>23</v>
      </c>
      <c r="AB267" s="10" t="s">
        <v>46</v>
      </c>
    </row>
    <row r="268" spans="1:28">
      <c r="A268" s="10" t="s">
        <v>751</v>
      </c>
      <c r="B268" s="11" t="s">
        <v>256</v>
      </c>
      <c r="C268" s="11" t="s">
        <v>417</v>
      </c>
      <c r="D268" s="12">
        <v>31</v>
      </c>
      <c r="E268" s="11" t="s">
        <v>448</v>
      </c>
      <c r="F268" s="14" t="str">
        <f>_xlfn.XLOOKUP(E268,Profession!$B$2:$B$15,Profession!$A$2:$A$15,"Not Found")</f>
        <v>P004</v>
      </c>
      <c r="G268" s="11" t="s">
        <v>1111</v>
      </c>
      <c r="H268" s="10" t="str">
        <f>_xlfn.XLOOKUP(G268,Region!$B$2:$B$16,Region!$A$2:$A$16,"Not Found")</f>
        <v>R004</v>
      </c>
      <c r="I268" s="10" t="s">
        <v>420</v>
      </c>
      <c r="J268" s="10" t="s">
        <v>420</v>
      </c>
      <c r="K268" s="10" t="s">
        <v>431</v>
      </c>
      <c r="L268" s="10" t="s">
        <v>1058</v>
      </c>
      <c r="M268" s="16" t="s">
        <v>432</v>
      </c>
      <c r="N268" s="10" t="s">
        <v>138</v>
      </c>
      <c r="O268" s="16" t="s">
        <v>450</v>
      </c>
      <c r="P268" s="11" t="s">
        <v>422</v>
      </c>
      <c r="Q268" s="11" t="s">
        <v>420</v>
      </c>
      <c r="R268" s="11" t="s">
        <v>107</v>
      </c>
      <c r="S268" s="10" t="s">
        <v>62</v>
      </c>
      <c r="T268" s="81">
        <v>7</v>
      </c>
      <c r="U268" s="10" t="s">
        <v>420</v>
      </c>
      <c r="V268" s="10" t="s">
        <v>450</v>
      </c>
      <c r="X268" s="15">
        <v>4</v>
      </c>
      <c r="Y268" s="10" t="s">
        <v>56</v>
      </c>
      <c r="Z268" s="10" t="s">
        <v>2849</v>
      </c>
      <c r="AA268" s="10" t="s">
        <v>23</v>
      </c>
      <c r="AB268" s="10" t="s">
        <v>46</v>
      </c>
    </row>
    <row r="269" spans="1:28">
      <c r="A269" s="10" t="s">
        <v>752</v>
      </c>
      <c r="B269" s="11" t="s">
        <v>53</v>
      </c>
      <c r="C269" s="11" t="s">
        <v>417</v>
      </c>
      <c r="D269" s="12">
        <v>32</v>
      </c>
      <c r="E269" s="11" t="s">
        <v>465</v>
      </c>
      <c r="F269" s="14" t="str">
        <f>_xlfn.XLOOKUP(E269,Profession!$B$2:$B$15,Profession!$A$2:$A$15,"Not Found")</f>
        <v>P010</v>
      </c>
      <c r="G269" s="11" t="s">
        <v>419</v>
      </c>
      <c r="H269" s="10" t="str">
        <f>_xlfn.XLOOKUP(G269,Region!$B$2:$B$16,Region!$A$2:$A$16,"Not Found")</f>
        <v>R001</v>
      </c>
      <c r="I269" s="10" t="s">
        <v>423</v>
      </c>
      <c r="J269" s="10" t="s">
        <v>423</v>
      </c>
      <c r="K269" s="10" t="s">
        <v>434</v>
      </c>
      <c r="L269" s="10" t="s">
        <v>1058</v>
      </c>
      <c r="M269" s="16" t="s">
        <v>422</v>
      </c>
      <c r="N269" s="10" t="s">
        <v>138</v>
      </c>
      <c r="O269" s="16" t="s">
        <v>444</v>
      </c>
      <c r="P269" s="11" t="s">
        <v>422</v>
      </c>
      <c r="Q269" s="11" t="s">
        <v>420</v>
      </c>
      <c r="R269" s="11" t="s">
        <v>1065</v>
      </c>
      <c r="S269" s="10" t="s">
        <v>62</v>
      </c>
      <c r="T269" s="81">
        <v>8</v>
      </c>
      <c r="U269" s="10" t="s">
        <v>420</v>
      </c>
      <c r="V269" s="10" t="s">
        <v>450</v>
      </c>
      <c r="X269" s="15">
        <v>7</v>
      </c>
      <c r="Y269" s="10" t="s">
        <v>100</v>
      </c>
      <c r="Z269" s="10" t="s">
        <v>2849</v>
      </c>
      <c r="AA269" s="10" t="s">
        <v>23</v>
      </c>
      <c r="AB269" s="10" t="s">
        <v>2843</v>
      </c>
    </row>
    <row r="270" spans="1:28">
      <c r="A270" s="10" t="s">
        <v>753</v>
      </c>
      <c r="B270" s="11" t="s">
        <v>257</v>
      </c>
      <c r="C270" s="11" t="s">
        <v>417</v>
      </c>
      <c r="D270" s="12">
        <v>33</v>
      </c>
      <c r="E270" s="11" t="s">
        <v>462</v>
      </c>
      <c r="F270" s="14" t="str">
        <f>_xlfn.XLOOKUP(E270,Profession!$B$2:$B$15,Profession!$A$2:$A$15,"Not Found")</f>
        <v>P008</v>
      </c>
      <c r="G270" s="11" t="s">
        <v>464</v>
      </c>
      <c r="H270" s="10" t="str">
        <f>_xlfn.XLOOKUP(G270,Region!$B$2:$B$16,Region!$A$2:$A$16,"Not Found")</f>
        <v>R007</v>
      </c>
      <c r="I270" s="10" t="s">
        <v>423</v>
      </c>
      <c r="J270" s="10" t="s">
        <v>423</v>
      </c>
      <c r="K270" s="10" t="s">
        <v>435</v>
      </c>
      <c r="L270" s="10" t="s">
        <v>1058</v>
      </c>
      <c r="M270" s="16" t="s">
        <v>436</v>
      </c>
      <c r="N270" s="10" t="s">
        <v>138</v>
      </c>
      <c r="O270" s="16" t="s">
        <v>450</v>
      </c>
      <c r="P270" s="11" t="s">
        <v>422</v>
      </c>
      <c r="Q270" s="11" t="s">
        <v>420</v>
      </c>
      <c r="R270" s="11" t="s">
        <v>107</v>
      </c>
      <c r="S270" s="10" t="s">
        <v>62</v>
      </c>
      <c r="T270" s="81">
        <v>5</v>
      </c>
      <c r="U270" s="10" t="s">
        <v>2275</v>
      </c>
      <c r="V270" s="10" t="s">
        <v>450</v>
      </c>
      <c r="X270" s="15">
        <v>5</v>
      </c>
      <c r="Y270" s="10" t="s">
        <v>54</v>
      </c>
      <c r="Z270" s="10" t="s">
        <v>2849</v>
      </c>
      <c r="AA270" s="10" t="s">
        <v>23</v>
      </c>
      <c r="AB270" s="10" t="s">
        <v>2844</v>
      </c>
    </row>
    <row r="271" spans="1:28">
      <c r="A271" s="10" t="s">
        <v>754</v>
      </c>
      <c r="B271" s="11" t="s">
        <v>258</v>
      </c>
      <c r="C271" s="11" t="s">
        <v>417</v>
      </c>
      <c r="D271" s="12">
        <v>34</v>
      </c>
      <c r="E271" s="11" t="s">
        <v>473</v>
      </c>
      <c r="F271" s="14" t="str">
        <f>_xlfn.XLOOKUP(E271,Profession!$B$2:$B$15,Profession!$A$2:$A$15,"Not Found")</f>
        <v>P012</v>
      </c>
      <c r="G271" s="11" t="s">
        <v>419</v>
      </c>
      <c r="H271" s="10" t="str">
        <f>_xlfn.XLOOKUP(G271,Region!$B$2:$B$16,Region!$A$2:$A$16,"Not Found")</f>
        <v>R001</v>
      </c>
      <c r="I271" s="10" t="s">
        <v>423</v>
      </c>
      <c r="J271" s="10" t="s">
        <v>423</v>
      </c>
      <c r="K271" s="10" t="s">
        <v>434</v>
      </c>
      <c r="L271" s="10" t="s">
        <v>1058</v>
      </c>
      <c r="M271" s="16" t="s">
        <v>432</v>
      </c>
      <c r="N271" s="10" t="s">
        <v>138</v>
      </c>
      <c r="O271" s="16" t="s">
        <v>444</v>
      </c>
      <c r="P271" s="11" t="s">
        <v>422</v>
      </c>
      <c r="Q271" s="11" t="s">
        <v>420</v>
      </c>
      <c r="R271" s="11" t="s">
        <v>107</v>
      </c>
      <c r="S271" s="10" t="s">
        <v>62</v>
      </c>
      <c r="T271" s="81">
        <v>7</v>
      </c>
      <c r="U271" s="10" t="s">
        <v>420</v>
      </c>
      <c r="V271" s="10" t="s">
        <v>450</v>
      </c>
      <c r="X271" s="15">
        <v>5</v>
      </c>
      <c r="Y271" s="10" t="s">
        <v>87</v>
      </c>
      <c r="Z271" s="10" t="s">
        <v>2848</v>
      </c>
      <c r="AA271" s="10" t="s">
        <v>23</v>
      </c>
      <c r="AB271" s="10" t="s">
        <v>149</v>
      </c>
    </row>
    <row r="272" spans="1:28">
      <c r="A272" s="10" t="s">
        <v>755</v>
      </c>
      <c r="B272" s="11" t="s">
        <v>259</v>
      </c>
      <c r="C272" s="11" t="s">
        <v>417</v>
      </c>
      <c r="D272" s="12">
        <v>35</v>
      </c>
      <c r="E272" s="11" t="s">
        <v>452</v>
      </c>
      <c r="F272" s="14" t="str">
        <f>_xlfn.XLOOKUP(E272,Profession!$B$2:$B$15,Profession!$A$2:$A$15,"Not Found")</f>
        <v>P005</v>
      </c>
      <c r="G272" s="11" t="s">
        <v>455</v>
      </c>
      <c r="H272" s="10" t="str">
        <f>_xlfn.XLOOKUP(G272,Region!$B$2:$B$16,Region!$A$2:$A$16,"Not Found")</f>
        <v>R006</v>
      </c>
      <c r="I272" s="10" t="s">
        <v>420</v>
      </c>
      <c r="J272" s="10" t="s">
        <v>420</v>
      </c>
      <c r="K272" s="10" t="s">
        <v>434</v>
      </c>
      <c r="L272" s="10" t="s">
        <v>1058</v>
      </c>
      <c r="M272" s="16" t="s">
        <v>422</v>
      </c>
      <c r="N272" s="10" t="s">
        <v>106</v>
      </c>
      <c r="O272" s="16" t="s">
        <v>436</v>
      </c>
      <c r="P272" s="11" t="s">
        <v>422</v>
      </c>
      <c r="Q272" s="11" t="s">
        <v>435</v>
      </c>
      <c r="R272" s="11" t="s">
        <v>1071</v>
      </c>
      <c r="S272" s="10" t="s">
        <v>62</v>
      </c>
      <c r="T272" s="81">
        <v>6</v>
      </c>
      <c r="U272" s="10" t="s">
        <v>420</v>
      </c>
      <c r="V272" s="10" t="s">
        <v>2277</v>
      </c>
      <c r="X272" s="15">
        <v>8</v>
      </c>
      <c r="Y272" s="10" t="s">
        <v>42</v>
      </c>
      <c r="Z272" s="10" t="s">
        <v>2849</v>
      </c>
      <c r="AA272" s="10" t="s">
        <v>43</v>
      </c>
      <c r="AB272" s="10" t="s">
        <v>46</v>
      </c>
    </row>
    <row r="273" spans="1:28">
      <c r="A273" s="10" t="s">
        <v>756</v>
      </c>
      <c r="B273" s="11" t="s">
        <v>260</v>
      </c>
      <c r="C273" s="11" t="s">
        <v>417</v>
      </c>
      <c r="D273" s="12">
        <v>36</v>
      </c>
      <c r="E273" s="11" t="s">
        <v>452</v>
      </c>
      <c r="F273" s="14" t="str">
        <f>_xlfn.XLOOKUP(E273,Profession!$B$2:$B$15,Profession!$A$2:$A$15,"Not Found")</f>
        <v>P005</v>
      </c>
      <c r="G273" s="11" t="s">
        <v>1115</v>
      </c>
      <c r="H273" s="10" t="str">
        <f>_xlfn.XLOOKUP(G273,Region!$B$2:$B$16,Region!$A$2:$A$16,"Not Found")</f>
        <v>R002</v>
      </c>
      <c r="I273" s="10" t="s">
        <v>420</v>
      </c>
      <c r="J273" s="10" t="s">
        <v>420</v>
      </c>
      <c r="K273" s="10" t="s">
        <v>435</v>
      </c>
      <c r="L273" s="10" t="s">
        <v>1058</v>
      </c>
      <c r="M273" s="16" t="s">
        <v>429</v>
      </c>
      <c r="N273" s="10" t="s">
        <v>64</v>
      </c>
      <c r="O273" s="16" t="s">
        <v>433</v>
      </c>
      <c r="P273" s="11" t="s">
        <v>422</v>
      </c>
      <c r="Q273" s="11" t="s">
        <v>420</v>
      </c>
      <c r="R273" s="11" t="s">
        <v>1072</v>
      </c>
      <c r="S273" s="10" t="s">
        <v>2885</v>
      </c>
      <c r="T273" s="81">
        <v>6</v>
      </c>
      <c r="U273" s="10" t="s">
        <v>2273</v>
      </c>
      <c r="V273" s="10" t="s">
        <v>2277</v>
      </c>
      <c r="X273" s="15">
        <v>3</v>
      </c>
      <c r="Y273" s="10" t="s">
        <v>45</v>
      </c>
      <c r="Z273" s="10" t="s">
        <v>2849</v>
      </c>
      <c r="AA273" s="10" t="s">
        <v>37</v>
      </c>
      <c r="AB273" s="10" t="s">
        <v>149</v>
      </c>
    </row>
    <row r="274" spans="1:28">
      <c r="A274" s="10" t="s">
        <v>757</v>
      </c>
      <c r="B274" s="11" t="s">
        <v>261</v>
      </c>
      <c r="C274" s="11" t="s">
        <v>417</v>
      </c>
      <c r="D274" s="12">
        <v>37</v>
      </c>
      <c r="E274" s="11" t="s">
        <v>442</v>
      </c>
      <c r="F274" s="14" t="str">
        <f>_xlfn.XLOOKUP(E274,Profession!$B$2:$B$15,Profession!$A$2:$A$15,"Not Found")</f>
        <v>P002</v>
      </c>
      <c r="G274" s="11" t="s">
        <v>419</v>
      </c>
      <c r="H274" s="10" t="str">
        <f>_xlfn.XLOOKUP(G274,Region!$B$2:$B$16,Region!$A$2:$A$16,"Not Found")</f>
        <v>R001</v>
      </c>
      <c r="I274" s="10" t="s">
        <v>420</v>
      </c>
      <c r="J274" s="10" t="s">
        <v>420</v>
      </c>
      <c r="K274" s="10" t="s">
        <v>426</v>
      </c>
      <c r="L274" s="10" t="s">
        <v>1058</v>
      </c>
      <c r="M274" s="16" t="s">
        <v>422</v>
      </c>
      <c r="N274" s="10" t="s">
        <v>102</v>
      </c>
      <c r="O274" s="16" t="s">
        <v>426</v>
      </c>
      <c r="P274" s="11" t="s">
        <v>1059</v>
      </c>
      <c r="Q274" s="11" t="s">
        <v>422</v>
      </c>
      <c r="R274" s="11" t="s">
        <v>1062</v>
      </c>
      <c r="S274" s="10" t="s">
        <v>2884</v>
      </c>
      <c r="T274" s="81">
        <v>6.3008333333333297</v>
      </c>
      <c r="U274" s="10" t="s">
        <v>420</v>
      </c>
      <c r="V274" s="10" t="s">
        <v>2277</v>
      </c>
      <c r="X274" s="15">
        <v>4</v>
      </c>
      <c r="Y274" s="10" t="s">
        <v>36</v>
      </c>
      <c r="Z274" s="10" t="s">
        <v>2849</v>
      </c>
      <c r="AA274" s="10" t="s">
        <v>23</v>
      </c>
      <c r="AB274" s="10" t="s">
        <v>2843</v>
      </c>
    </row>
    <row r="275" spans="1:28">
      <c r="A275" s="10" t="s">
        <v>758</v>
      </c>
      <c r="B275" s="11" t="s">
        <v>262</v>
      </c>
      <c r="C275" s="11" t="s">
        <v>417</v>
      </c>
      <c r="D275" s="12">
        <v>38</v>
      </c>
      <c r="E275" s="11" t="s">
        <v>465</v>
      </c>
      <c r="F275" s="14" t="str">
        <f>_xlfn.XLOOKUP(E275,Profession!$B$2:$B$15,Profession!$A$2:$A$15,"Not Found")</f>
        <v>P010</v>
      </c>
      <c r="G275" s="11" t="s">
        <v>108</v>
      </c>
      <c r="H275" s="10" t="str">
        <f>_xlfn.XLOOKUP(G275,Region!$B$2:$B$16,Region!$A$2:$A$16,"Not Found")</f>
        <v>R010</v>
      </c>
      <c r="I275" s="10" t="s">
        <v>420</v>
      </c>
      <c r="J275" s="10" t="s">
        <v>420</v>
      </c>
      <c r="K275" s="10" t="s">
        <v>435</v>
      </c>
      <c r="L275" s="10" t="s">
        <v>1058</v>
      </c>
      <c r="M275" s="16" t="s">
        <v>422</v>
      </c>
      <c r="N275" s="10" t="s">
        <v>138</v>
      </c>
      <c r="O275" s="16" t="s">
        <v>450</v>
      </c>
      <c r="P275" s="11" t="s">
        <v>422</v>
      </c>
      <c r="Q275" s="11" t="s">
        <v>420</v>
      </c>
      <c r="R275" s="11" t="s">
        <v>107</v>
      </c>
      <c r="S275" s="10" t="s">
        <v>62</v>
      </c>
      <c r="T275" s="81">
        <v>7</v>
      </c>
      <c r="U275" s="10" t="s">
        <v>420</v>
      </c>
      <c r="V275" s="10" t="s">
        <v>450</v>
      </c>
      <c r="X275" s="15">
        <v>7</v>
      </c>
      <c r="Y275" s="10" t="s">
        <v>19</v>
      </c>
      <c r="Z275" s="10" t="s">
        <v>2849</v>
      </c>
      <c r="AA275" s="10" t="s">
        <v>23</v>
      </c>
      <c r="AB275" s="10" t="s">
        <v>2841</v>
      </c>
    </row>
    <row r="276" spans="1:28">
      <c r="A276" s="10" t="s">
        <v>759</v>
      </c>
      <c r="B276" s="11" t="s">
        <v>263</v>
      </c>
      <c r="C276" s="11" t="s">
        <v>417</v>
      </c>
      <c r="D276" s="12">
        <v>39</v>
      </c>
      <c r="E276" s="11" t="s">
        <v>458</v>
      </c>
      <c r="F276" s="14" t="str">
        <f>_xlfn.XLOOKUP(E276,Profession!$B$2:$B$15,Profession!$A$2:$A$15,"Not Found")</f>
        <v>P006</v>
      </c>
      <c r="G276" s="11" t="s">
        <v>1115</v>
      </c>
      <c r="H276" s="10" t="str">
        <f>_xlfn.XLOOKUP(G276,Region!$B$2:$B$16,Region!$A$2:$A$16,"Not Found")</f>
        <v>R002</v>
      </c>
      <c r="I276" s="10" t="s">
        <v>420</v>
      </c>
      <c r="J276" s="10" t="s">
        <v>420</v>
      </c>
      <c r="K276" s="10" t="s">
        <v>434</v>
      </c>
      <c r="L276" s="10" t="s">
        <v>1058</v>
      </c>
      <c r="M276" s="16" t="s">
        <v>432</v>
      </c>
      <c r="N276" s="10" t="s">
        <v>64</v>
      </c>
      <c r="O276" s="16" t="s">
        <v>433</v>
      </c>
      <c r="P276" s="11" t="s">
        <v>422</v>
      </c>
      <c r="Q276" s="11" t="s">
        <v>1061</v>
      </c>
      <c r="R276" s="11" t="s">
        <v>1065</v>
      </c>
      <c r="S276" s="10" t="s">
        <v>62</v>
      </c>
      <c r="T276" s="81">
        <v>6</v>
      </c>
      <c r="U276" s="10" t="s">
        <v>2274</v>
      </c>
      <c r="V276" s="10" t="s">
        <v>450</v>
      </c>
      <c r="X276" s="15">
        <v>3</v>
      </c>
      <c r="Y276" s="10" t="s">
        <v>49</v>
      </c>
      <c r="Z276" s="10" t="s">
        <v>2849</v>
      </c>
      <c r="AA276" s="10" t="s">
        <v>37</v>
      </c>
      <c r="AB276" s="10" t="s">
        <v>46</v>
      </c>
    </row>
    <row r="277" spans="1:28">
      <c r="A277" s="10" t="s">
        <v>760</v>
      </c>
      <c r="B277" s="11" t="s">
        <v>264</v>
      </c>
      <c r="C277" s="11" t="s">
        <v>417</v>
      </c>
      <c r="D277" s="12">
        <v>40</v>
      </c>
      <c r="E277" s="11" t="s">
        <v>1054</v>
      </c>
      <c r="F277" s="14" t="str">
        <f>_xlfn.XLOOKUP(E277,Profession!$B$2:$B$15,Profession!$A$2:$A$15,"Not Found")</f>
        <v>P013</v>
      </c>
      <c r="G277" s="11" t="s">
        <v>1110</v>
      </c>
      <c r="H277" s="10" t="str">
        <f>_xlfn.XLOOKUP(G277,Region!$B$2:$B$16,Region!$A$2:$A$16,"Not Found")</f>
        <v>R013</v>
      </c>
      <c r="I277" s="10" t="s">
        <v>420</v>
      </c>
      <c r="J277" s="10" t="s">
        <v>420</v>
      </c>
      <c r="K277" s="10" t="s">
        <v>435</v>
      </c>
      <c r="L277" s="10" t="s">
        <v>1058</v>
      </c>
      <c r="M277" s="16" t="s">
        <v>422</v>
      </c>
      <c r="N277" s="10" t="s">
        <v>138</v>
      </c>
      <c r="O277" s="16" t="s">
        <v>433</v>
      </c>
      <c r="P277" s="11" t="s">
        <v>435</v>
      </c>
      <c r="Q277" s="11" t="s">
        <v>420</v>
      </c>
      <c r="R277" s="11" t="s">
        <v>1067</v>
      </c>
      <c r="S277" s="10" t="s">
        <v>62</v>
      </c>
      <c r="T277" s="81">
        <v>6</v>
      </c>
      <c r="U277" s="10" t="s">
        <v>420</v>
      </c>
      <c r="V277" s="10" t="s">
        <v>450</v>
      </c>
      <c r="X277" s="15">
        <v>6</v>
      </c>
      <c r="Y277" s="10" t="s">
        <v>75</v>
      </c>
      <c r="Z277" s="10" t="s">
        <v>2847</v>
      </c>
      <c r="AA277" s="10" t="s">
        <v>70</v>
      </c>
      <c r="AB277" s="10" t="s">
        <v>149</v>
      </c>
    </row>
    <row r="278" spans="1:28">
      <c r="A278" s="10" t="s">
        <v>761</v>
      </c>
      <c r="B278" s="11" t="s">
        <v>265</v>
      </c>
      <c r="C278" s="11" t="s">
        <v>417</v>
      </c>
      <c r="D278" s="12">
        <v>41</v>
      </c>
      <c r="E278" s="11" t="s">
        <v>446</v>
      </c>
      <c r="F278" s="14" t="str">
        <f>_xlfn.XLOOKUP(E278,Profession!$B$2:$B$15,Profession!$A$2:$A$15,"Not Found")</f>
        <v>P003</v>
      </c>
      <c r="G278" s="11" t="s">
        <v>104</v>
      </c>
      <c r="H278" s="10" t="str">
        <f>_xlfn.XLOOKUP(G278,Region!$B$2:$B$16,Region!$A$2:$A$16,"Not Found")</f>
        <v>R003</v>
      </c>
      <c r="I278" s="10" t="s">
        <v>420</v>
      </c>
      <c r="J278" s="10" t="s">
        <v>420</v>
      </c>
      <c r="K278" s="10" t="s">
        <v>435</v>
      </c>
      <c r="L278" s="10" t="s">
        <v>1058</v>
      </c>
      <c r="M278" s="16" t="s">
        <v>422</v>
      </c>
      <c r="N278" s="10" t="s">
        <v>138</v>
      </c>
      <c r="O278" s="16" t="s">
        <v>433</v>
      </c>
      <c r="P278" s="11" t="s">
        <v>422</v>
      </c>
      <c r="Q278" s="11" t="s">
        <v>420</v>
      </c>
      <c r="R278" s="11" t="s">
        <v>1070</v>
      </c>
      <c r="S278" s="10" t="s">
        <v>62</v>
      </c>
      <c r="T278" s="81">
        <v>8</v>
      </c>
      <c r="U278" s="10" t="s">
        <v>420</v>
      </c>
      <c r="V278" s="10" t="s">
        <v>2277</v>
      </c>
      <c r="X278" s="15">
        <v>5</v>
      </c>
      <c r="Y278" s="10" t="s">
        <v>19</v>
      </c>
      <c r="Z278" s="10" t="s">
        <v>2849</v>
      </c>
      <c r="AA278" s="10" t="s">
        <v>23</v>
      </c>
      <c r="AB278" s="10" t="s">
        <v>28</v>
      </c>
    </row>
    <row r="279" spans="1:28">
      <c r="A279" s="10" t="s">
        <v>762</v>
      </c>
      <c r="B279" s="11" t="s">
        <v>35</v>
      </c>
      <c r="C279" s="11" t="s">
        <v>417</v>
      </c>
      <c r="D279" s="12">
        <v>42</v>
      </c>
      <c r="E279" s="11" t="s">
        <v>1088</v>
      </c>
      <c r="F279" s="14" t="str">
        <f>_xlfn.XLOOKUP(E279,Profession!$B$2:$B$15,Profession!$A$2:$A$15,"Not Found")</f>
        <v>P014</v>
      </c>
      <c r="G279" s="11" t="s">
        <v>1114</v>
      </c>
      <c r="H279" s="10" t="str">
        <f>_xlfn.XLOOKUP(G279,Region!$B$2:$B$16,Region!$A$2:$A$16,"Not Found")</f>
        <v>R014</v>
      </c>
      <c r="I279" s="10" t="s">
        <v>420</v>
      </c>
      <c r="J279" s="10" t="s">
        <v>420</v>
      </c>
      <c r="K279" s="10" t="s">
        <v>435</v>
      </c>
      <c r="L279" s="10" t="s">
        <v>1058</v>
      </c>
      <c r="M279" s="16" t="s">
        <v>422</v>
      </c>
      <c r="N279" s="10" t="s">
        <v>138</v>
      </c>
      <c r="O279" s="16" t="s">
        <v>433</v>
      </c>
      <c r="P279" s="11" t="s">
        <v>422</v>
      </c>
      <c r="Q279" s="11" t="s">
        <v>1061</v>
      </c>
      <c r="R279" s="11" t="s">
        <v>1067</v>
      </c>
      <c r="S279" s="10" t="s">
        <v>62</v>
      </c>
      <c r="T279" s="81">
        <v>6</v>
      </c>
      <c r="U279" s="10" t="s">
        <v>420</v>
      </c>
      <c r="V279" s="10" t="s">
        <v>450</v>
      </c>
      <c r="X279" s="15">
        <v>6</v>
      </c>
      <c r="Y279" s="10" t="s">
        <v>77</v>
      </c>
      <c r="Z279" s="10" t="s">
        <v>2282</v>
      </c>
      <c r="AA279" s="10" t="s">
        <v>23</v>
      </c>
      <c r="AB279" s="10" t="s">
        <v>46</v>
      </c>
    </row>
    <row r="280" spans="1:28">
      <c r="A280" s="10" t="s">
        <v>763</v>
      </c>
      <c r="B280" s="11" t="s">
        <v>266</v>
      </c>
      <c r="C280" s="11" t="s">
        <v>417</v>
      </c>
      <c r="D280" s="12">
        <v>43</v>
      </c>
      <c r="E280" s="11" t="s">
        <v>1088</v>
      </c>
      <c r="F280" s="14" t="str">
        <f>_xlfn.XLOOKUP(E280,Profession!$B$2:$B$15,Profession!$A$2:$A$15,"Not Found")</f>
        <v>P014</v>
      </c>
      <c r="G280" s="11" t="s">
        <v>477</v>
      </c>
      <c r="H280" s="10" t="str">
        <f>_xlfn.XLOOKUP(G280,Region!$B$2:$B$16,Region!$A$2:$A$16,"Not Found")</f>
        <v>R015</v>
      </c>
      <c r="I280" s="10" t="s">
        <v>420</v>
      </c>
      <c r="J280" s="10" t="s">
        <v>420</v>
      </c>
      <c r="K280" s="10" t="s">
        <v>435</v>
      </c>
      <c r="L280" s="10" t="s">
        <v>1058</v>
      </c>
      <c r="M280" s="16" t="s">
        <v>422</v>
      </c>
      <c r="N280" s="10" t="s">
        <v>138</v>
      </c>
      <c r="O280" s="16" t="s">
        <v>433</v>
      </c>
      <c r="P280" s="11" t="s">
        <v>435</v>
      </c>
      <c r="Q280" s="11" t="s">
        <v>1061</v>
      </c>
      <c r="R280" s="11" t="s">
        <v>1068</v>
      </c>
      <c r="S280" s="10" t="s">
        <v>62</v>
      </c>
      <c r="T280" s="81">
        <v>8</v>
      </c>
      <c r="U280" s="10" t="s">
        <v>420</v>
      </c>
      <c r="V280" s="10" t="s">
        <v>450</v>
      </c>
      <c r="X280" s="15">
        <v>6</v>
      </c>
      <c r="Y280" s="10" t="s">
        <v>36</v>
      </c>
      <c r="Z280" s="10" t="s">
        <v>2849</v>
      </c>
      <c r="AA280" s="10" t="s">
        <v>23</v>
      </c>
      <c r="AB280" s="10" t="s">
        <v>2841</v>
      </c>
    </row>
    <row r="281" spans="1:28">
      <c r="A281" s="10" t="s">
        <v>764</v>
      </c>
      <c r="B281" s="11" t="s">
        <v>267</v>
      </c>
      <c r="C281" s="11" t="s">
        <v>417</v>
      </c>
      <c r="D281" s="12">
        <v>20</v>
      </c>
      <c r="E281" s="11" t="s">
        <v>418</v>
      </c>
      <c r="F281" s="14" t="str">
        <f>_xlfn.XLOOKUP(E281,Profession!$B$2:$B$15,Profession!$A$2:$A$15,"Not Found")</f>
        <v>P001</v>
      </c>
      <c r="G281" s="11" t="s">
        <v>419</v>
      </c>
      <c r="H281" s="10" t="str">
        <f>_xlfn.XLOOKUP(G281,Region!$B$2:$B$16,Region!$A$2:$A$16,"Not Found")</f>
        <v>R001</v>
      </c>
      <c r="I281" s="10" t="s">
        <v>420</v>
      </c>
      <c r="J281" s="10" t="s">
        <v>420</v>
      </c>
      <c r="K281" s="10" t="s">
        <v>435</v>
      </c>
      <c r="L281" s="10" t="s">
        <v>1057</v>
      </c>
      <c r="M281" s="16" t="s">
        <v>422</v>
      </c>
      <c r="N281" s="10" t="s">
        <v>26</v>
      </c>
      <c r="O281" s="16" t="s">
        <v>423</v>
      </c>
      <c r="P281" s="11" t="s">
        <v>1059</v>
      </c>
      <c r="Q281" s="11" t="s">
        <v>422</v>
      </c>
      <c r="R281" s="11" t="s">
        <v>1062</v>
      </c>
      <c r="S281" s="10" t="s">
        <v>2884</v>
      </c>
      <c r="T281" s="81">
        <v>7</v>
      </c>
      <c r="U281" s="10" t="s">
        <v>420</v>
      </c>
      <c r="V281" s="10" t="s">
        <v>2278</v>
      </c>
      <c r="X281" s="15">
        <v>3</v>
      </c>
      <c r="Y281" s="10" t="s">
        <v>27</v>
      </c>
      <c r="Z281" s="10" t="s">
        <v>2849</v>
      </c>
      <c r="AA281" s="10" t="s">
        <v>23</v>
      </c>
      <c r="AB281" s="10" t="s">
        <v>24</v>
      </c>
    </row>
    <row r="282" spans="1:28">
      <c r="A282" s="10" t="s">
        <v>765</v>
      </c>
      <c r="B282" s="11" t="s">
        <v>268</v>
      </c>
      <c r="C282" s="11" t="s">
        <v>417</v>
      </c>
      <c r="D282" s="12">
        <v>21</v>
      </c>
      <c r="E282" s="11" t="s">
        <v>465</v>
      </c>
      <c r="F282" s="14" t="str">
        <f>_xlfn.XLOOKUP(E282,Profession!$B$2:$B$15,Profession!$A$2:$A$15,"Not Found")</f>
        <v>P010</v>
      </c>
      <c r="G282" s="11" t="s">
        <v>1115</v>
      </c>
      <c r="H282" s="10" t="str">
        <f>_xlfn.XLOOKUP(G282,Region!$B$2:$B$16,Region!$A$2:$A$16,"Not Found")</f>
        <v>R002</v>
      </c>
      <c r="I282" s="10" t="s">
        <v>420</v>
      </c>
      <c r="J282" s="10" t="s">
        <v>420</v>
      </c>
      <c r="K282" s="10" t="s">
        <v>421</v>
      </c>
      <c r="L282" s="10" t="s">
        <v>1058</v>
      </c>
      <c r="M282" s="16" t="s">
        <v>422</v>
      </c>
      <c r="N282" s="10" t="s">
        <v>138</v>
      </c>
      <c r="O282" s="16" t="s">
        <v>450</v>
      </c>
      <c r="P282" s="11" t="s">
        <v>422</v>
      </c>
      <c r="Q282" s="11" t="s">
        <v>420</v>
      </c>
      <c r="R282" s="11" t="s">
        <v>1065</v>
      </c>
      <c r="S282" s="10" t="s">
        <v>62</v>
      </c>
      <c r="T282" s="81">
        <v>8</v>
      </c>
      <c r="U282" s="10" t="s">
        <v>420</v>
      </c>
      <c r="V282" s="10" t="s">
        <v>450</v>
      </c>
      <c r="X282" s="15">
        <v>4</v>
      </c>
      <c r="Y282" s="10" t="s">
        <v>56</v>
      </c>
      <c r="Z282" s="10" t="s">
        <v>2849</v>
      </c>
      <c r="AA282" s="10" t="s">
        <v>23</v>
      </c>
      <c r="AB282" s="10" t="s">
        <v>2843</v>
      </c>
    </row>
    <row r="283" spans="1:28">
      <c r="A283" s="10" t="s">
        <v>766</v>
      </c>
      <c r="B283" s="11" t="s">
        <v>269</v>
      </c>
      <c r="C283" s="11" t="s">
        <v>417</v>
      </c>
      <c r="D283" s="12">
        <v>22</v>
      </c>
      <c r="E283" s="11" t="s">
        <v>442</v>
      </c>
      <c r="F283" s="14" t="str">
        <f>_xlfn.XLOOKUP(E283,Profession!$B$2:$B$15,Profession!$A$2:$A$15,"Not Found")</f>
        <v>P002</v>
      </c>
      <c r="G283" s="11" t="s">
        <v>419</v>
      </c>
      <c r="H283" s="10" t="str">
        <f>_xlfn.XLOOKUP(G283,Region!$B$2:$B$16,Region!$A$2:$A$16,"Not Found")</f>
        <v>R001</v>
      </c>
      <c r="I283" s="10" t="s">
        <v>420</v>
      </c>
      <c r="J283" s="10" t="s">
        <v>420</v>
      </c>
      <c r="K283" s="10" t="s">
        <v>435</v>
      </c>
      <c r="L283" s="10" t="s">
        <v>1058</v>
      </c>
      <c r="M283" s="16" t="s">
        <v>436</v>
      </c>
      <c r="N283" s="10" t="s">
        <v>138</v>
      </c>
      <c r="O283" s="16" t="s">
        <v>444</v>
      </c>
      <c r="P283" s="11" t="s">
        <v>422</v>
      </c>
      <c r="Q283" s="11" t="s">
        <v>1061</v>
      </c>
      <c r="R283" s="11" t="s">
        <v>1068</v>
      </c>
      <c r="S283" s="10" t="s">
        <v>62</v>
      </c>
      <c r="T283" s="81">
        <v>6</v>
      </c>
      <c r="U283" s="10" t="s">
        <v>420</v>
      </c>
      <c r="V283" s="10" t="s">
        <v>2277</v>
      </c>
      <c r="X283" s="15">
        <v>6</v>
      </c>
      <c r="Y283" s="10" t="s">
        <v>100</v>
      </c>
      <c r="Z283" s="10" t="s">
        <v>2849</v>
      </c>
      <c r="AA283" s="10" t="s">
        <v>37</v>
      </c>
      <c r="AB283" s="10" t="s">
        <v>2844</v>
      </c>
    </row>
    <row r="284" spans="1:28">
      <c r="A284" s="10" t="s">
        <v>767</v>
      </c>
      <c r="B284" s="11" t="s">
        <v>71</v>
      </c>
      <c r="C284" s="11" t="s">
        <v>417</v>
      </c>
      <c r="D284" s="12">
        <v>23</v>
      </c>
      <c r="E284" s="11" t="s">
        <v>462</v>
      </c>
      <c r="F284" s="14" t="str">
        <f>_xlfn.XLOOKUP(E284,Profession!$B$2:$B$15,Profession!$A$2:$A$15,"Not Found")</f>
        <v>P008</v>
      </c>
      <c r="G284" s="11" t="s">
        <v>1112</v>
      </c>
      <c r="H284" s="10" t="str">
        <f>_xlfn.XLOOKUP(G284,Region!$B$2:$B$16,Region!$A$2:$A$16,"Not Found")</f>
        <v>R008</v>
      </c>
      <c r="I284" s="10" t="s">
        <v>420</v>
      </c>
      <c r="J284" s="10" t="s">
        <v>420</v>
      </c>
      <c r="K284" s="10" t="s">
        <v>431</v>
      </c>
      <c r="L284" s="10" t="s">
        <v>1058</v>
      </c>
      <c r="M284" s="16" t="s">
        <v>422</v>
      </c>
      <c r="N284" s="10" t="s">
        <v>138</v>
      </c>
      <c r="O284" s="16" t="s">
        <v>450</v>
      </c>
      <c r="P284" s="11" t="s">
        <v>422</v>
      </c>
      <c r="Q284" s="11" t="s">
        <v>420</v>
      </c>
      <c r="R284" s="11" t="s">
        <v>107</v>
      </c>
      <c r="S284" s="10" t="s">
        <v>62</v>
      </c>
      <c r="T284" s="81">
        <v>7</v>
      </c>
      <c r="U284" s="10" t="s">
        <v>420</v>
      </c>
      <c r="V284" s="10" t="s">
        <v>450</v>
      </c>
      <c r="X284" s="15">
        <v>5</v>
      </c>
      <c r="Y284" s="10" t="s">
        <v>56</v>
      </c>
      <c r="Z284" s="10" t="s">
        <v>2849</v>
      </c>
      <c r="AA284" s="10" t="s">
        <v>23</v>
      </c>
      <c r="AB284" s="10" t="s">
        <v>2843</v>
      </c>
    </row>
    <row r="285" spans="1:28">
      <c r="A285" s="10" t="s">
        <v>768</v>
      </c>
      <c r="B285" s="11" t="s">
        <v>270</v>
      </c>
      <c r="C285" s="11" t="s">
        <v>417</v>
      </c>
      <c r="D285" s="12">
        <v>24</v>
      </c>
      <c r="E285" s="11" t="s">
        <v>473</v>
      </c>
      <c r="F285" s="14" t="str">
        <f>_xlfn.XLOOKUP(E285,Profession!$B$2:$B$15,Profession!$A$2:$A$15,"Not Found")</f>
        <v>P012</v>
      </c>
      <c r="G285" s="11" t="s">
        <v>1113</v>
      </c>
      <c r="H285" s="10" t="str">
        <f>_xlfn.XLOOKUP(G285,Region!$B$2:$B$16,Region!$A$2:$A$16,"Not Found")</f>
        <v>R012</v>
      </c>
      <c r="I285" s="10" t="s">
        <v>423</v>
      </c>
      <c r="J285" s="10" t="s">
        <v>423</v>
      </c>
      <c r="K285" s="10" t="s">
        <v>435</v>
      </c>
      <c r="L285" s="10" t="s">
        <v>1058</v>
      </c>
      <c r="M285" s="16" t="s">
        <v>422</v>
      </c>
      <c r="N285" s="10" t="s">
        <v>138</v>
      </c>
      <c r="O285" s="16" t="s">
        <v>444</v>
      </c>
      <c r="P285" s="11" t="s">
        <v>422</v>
      </c>
      <c r="Q285" s="11" t="s">
        <v>1061</v>
      </c>
      <c r="R285" s="11" t="s">
        <v>107</v>
      </c>
      <c r="S285" s="10" t="s">
        <v>62</v>
      </c>
      <c r="T285" s="81">
        <v>6</v>
      </c>
      <c r="U285" s="10" t="s">
        <v>420</v>
      </c>
      <c r="V285" s="10" t="s">
        <v>2277</v>
      </c>
      <c r="X285" s="15">
        <v>6</v>
      </c>
      <c r="Y285" s="10" t="s">
        <v>22</v>
      </c>
      <c r="Z285" s="10" t="s">
        <v>2846</v>
      </c>
      <c r="AA285" s="10" t="s">
        <v>23</v>
      </c>
      <c r="AB285" s="10" t="s">
        <v>2842</v>
      </c>
    </row>
    <row r="286" spans="1:28">
      <c r="A286" s="10" t="s">
        <v>769</v>
      </c>
      <c r="B286" s="11" t="s">
        <v>271</v>
      </c>
      <c r="C286" s="11" t="s">
        <v>417</v>
      </c>
      <c r="D286" s="12">
        <v>25</v>
      </c>
      <c r="E286" s="11" t="s">
        <v>1108</v>
      </c>
      <c r="F286" s="14" t="str">
        <f>_xlfn.XLOOKUP(E286,Profession!$B$2:$B$15,Profession!$A$2:$A$15,"Not Found")</f>
        <v>P011</v>
      </c>
      <c r="G286" s="11" t="s">
        <v>419</v>
      </c>
      <c r="H286" s="10" t="str">
        <f>_xlfn.XLOOKUP(G286,Region!$B$2:$B$16,Region!$A$2:$A$16,"Not Found")</f>
        <v>R001</v>
      </c>
      <c r="I286" s="10" t="s">
        <v>420</v>
      </c>
      <c r="J286" s="10" t="s">
        <v>420</v>
      </c>
      <c r="K286" s="10" t="s">
        <v>431</v>
      </c>
      <c r="L286" s="10" t="s">
        <v>1058</v>
      </c>
      <c r="M286" s="16" t="s">
        <v>422</v>
      </c>
      <c r="N286" s="10" t="s">
        <v>138</v>
      </c>
      <c r="O286" s="16" t="s">
        <v>444</v>
      </c>
      <c r="P286" s="11" t="s">
        <v>422</v>
      </c>
      <c r="Q286" s="11" t="s">
        <v>420</v>
      </c>
      <c r="R286" s="11" t="s">
        <v>1070</v>
      </c>
      <c r="S286" s="10" t="s">
        <v>62</v>
      </c>
      <c r="T286" s="81">
        <v>6</v>
      </c>
      <c r="U286" s="10" t="s">
        <v>420</v>
      </c>
      <c r="V286" s="10" t="s">
        <v>2277</v>
      </c>
      <c r="X286" s="15">
        <v>5</v>
      </c>
      <c r="Y286" s="10" t="s">
        <v>58</v>
      </c>
      <c r="Z286" s="10" t="s">
        <v>2849</v>
      </c>
      <c r="AA286" s="10" t="s">
        <v>23</v>
      </c>
      <c r="AB286" s="10" t="s">
        <v>2843</v>
      </c>
    </row>
    <row r="287" spans="1:28">
      <c r="A287" s="10" t="s">
        <v>770</v>
      </c>
      <c r="B287" s="11" t="s">
        <v>272</v>
      </c>
      <c r="C287" s="11" t="s">
        <v>417</v>
      </c>
      <c r="D287" s="12">
        <v>26</v>
      </c>
      <c r="E287" s="11" t="s">
        <v>459</v>
      </c>
      <c r="F287" s="14" t="str">
        <f>_xlfn.XLOOKUP(E287,Profession!$B$2:$B$15,Profession!$A$2:$A$15,"Not Found")</f>
        <v>P007</v>
      </c>
      <c r="G287" s="11" t="s">
        <v>419</v>
      </c>
      <c r="H287" s="10" t="str">
        <f>_xlfn.XLOOKUP(G287,Region!$B$2:$B$16,Region!$A$2:$A$16,"Not Found")</f>
        <v>R001</v>
      </c>
      <c r="I287" s="10" t="s">
        <v>420</v>
      </c>
      <c r="J287" s="10" t="s">
        <v>420</v>
      </c>
      <c r="K287" s="10" t="s">
        <v>421</v>
      </c>
      <c r="L287" s="10" t="s">
        <v>1058</v>
      </c>
      <c r="M287" s="16" t="s">
        <v>422</v>
      </c>
      <c r="N287" s="10" t="s">
        <v>19</v>
      </c>
      <c r="O287" s="16" t="s">
        <v>444</v>
      </c>
      <c r="P287" s="11" t="s">
        <v>422</v>
      </c>
      <c r="Q287" s="11" t="s">
        <v>420</v>
      </c>
      <c r="R287" s="11" t="s">
        <v>1070</v>
      </c>
      <c r="S287" s="10" t="s">
        <v>62</v>
      </c>
      <c r="T287" s="81">
        <v>8</v>
      </c>
      <c r="U287" s="10" t="s">
        <v>420</v>
      </c>
      <c r="V287" s="10" t="s">
        <v>450</v>
      </c>
      <c r="X287" s="15">
        <v>4</v>
      </c>
      <c r="Y287" s="10" t="s">
        <v>36</v>
      </c>
      <c r="Z287" s="10" t="s">
        <v>2849</v>
      </c>
      <c r="AA287" s="10" t="s">
        <v>37</v>
      </c>
      <c r="AB287" s="10" t="s">
        <v>24</v>
      </c>
    </row>
    <row r="288" spans="1:28">
      <c r="A288" s="10" t="s">
        <v>771</v>
      </c>
      <c r="B288" s="11" t="s">
        <v>273</v>
      </c>
      <c r="C288" s="11" t="s">
        <v>417</v>
      </c>
      <c r="D288" s="12">
        <v>27</v>
      </c>
      <c r="E288" s="11" t="s">
        <v>418</v>
      </c>
      <c r="F288" s="14" t="str">
        <f>_xlfn.XLOOKUP(E288,Profession!$B$2:$B$15,Profession!$A$2:$A$15,"Not Found")</f>
        <v>P001</v>
      </c>
      <c r="G288" s="11" t="s">
        <v>1115</v>
      </c>
      <c r="H288" s="10" t="str">
        <f>_xlfn.XLOOKUP(G288,Region!$B$2:$B$16,Region!$A$2:$A$16,"Not Found")</f>
        <v>R002</v>
      </c>
      <c r="I288" s="10" t="s">
        <v>420</v>
      </c>
      <c r="J288" s="10" t="s">
        <v>420</v>
      </c>
      <c r="K288" s="10" t="s">
        <v>435</v>
      </c>
      <c r="L288" s="10" t="s">
        <v>1058</v>
      </c>
      <c r="M288" s="16" t="s">
        <v>432</v>
      </c>
      <c r="N288" s="10" t="s">
        <v>138</v>
      </c>
      <c r="O288" s="16" t="s">
        <v>433</v>
      </c>
      <c r="P288" s="11" t="s">
        <v>422</v>
      </c>
      <c r="Q288" s="11" t="s">
        <v>1061</v>
      </c>
      <c r="R288" s="11" t="s">
        <v>1065</v>
      </c>
      <c r="S288" s="10" t="s">
        <v>62</v>
      </c>
      <c r="T288" s="81">
        <v>8</v>
      </c>
      <c r="U288" s="10" t="s">
        <v>420</v>
      </c>
      <c r="V288" s="10" t="s">
        <v>2277</v>
      </c>
      <c r="X288" s="15">
        <v>5</v>
      </c>
      <c r="Y288" s="10" t="s">
        <v>27</v>
      </c>
      <c r="Z288" s="10" t="s">
        <v>2849</v>
      </c>
      <c r="AA288" s="10" t="s">
        <v>23</v>
      </c>
      <c r="AB288" s="10" t="s">
        <v>2841</v>
      </c>
    </row>
    <row r="289" spans="1:28">
      <c r="A289" s="10" t="s">
        <v>772</v>
      </c>
      <c r="B289" s="11" t="s">
        <v>274</v>
      </c>
      <c r="C289" s="11" t="s">
        <v>417</v>
      </c>
      <c r="D289" s="12">
        <v>28</v>
      </c>
      <c r="E289" s="11" t="s">
        <v>452</v>
      </c>
      <c r="F289" s="14" t="str">
        <f>_xlfn.XLOOKUP(E289,Profession!$B$2:$B$15,Profession!$A$2:$A$15,"Not Found")</f>
        <v>P005</v>
      </c>
      <c r="G289" s="11" t="s">
        <v>453</v>
      </c>
      <c r="H289" s="10" t="str">
        <f>_xlfn.XLOOKUP(G289,Region!$B$2:$B$16,Region!$A$2:$A$16,"Not Found")</f>
        <v>R005</v>
      </c>
      <c r="I289" s="10" t="s">
        <v>420</v>
      </c>
      <c r="J289" s="10" t="s">
        <v>420</v>
      </c>
      <c r="K289" s="10" t="s">
        <v>434</v>
      </c>
      <c r="L289" s="10" t="s">
        <v>1058</v>
      </c>
      <c r="M289" s="16" t="s">
        <v>422</v>
      </c>
      <c r="N289" s="10" t="s">
        <v>105</v>
      </c>
      <c r="O289" s="16" t="s">
        <v>433</v>
      </c>
      <c r="P289" s="11" t="s">
        <v>422</v>
      </c>
      <c r="Q289" s="11" t="s">
        <v>434</v>
      </c>
      <c r="R289" s="11" t="s">
        <v>1068</v>
      </c>
      <c r="S289" s="10" t="s">
        <v>62</v>
      </c>
      <c r="T289" s="81">
        <v>7</v>
      </c>
      <c r="U289" s="10" t="s">
        <v>2272</v>
      </c>
      <c r="V289" s="10" t="s">
        <v>450</v>
      </c>
      <c r="X289" s="15">
        <v>5</v>
      </c>
      <c r="Y289" s="10" t="s">
        <v>40</v>
      </c>
      <c r="Z289" s="10" t="s">
        <v>2280</v>
      </c>
      <c r="AA289" s="10" t="s">
        <v>37</v>
      </c>
      <c r="AB289" s="10" t="s">
        <v>24</v>
      </c>
    </row>
    <row r="290" spans="1:28">
      <c r="A290" s="10" t="s">
        <v>773</v>
      </c>
      <c r="B290" s="11" t="s">
        <v>275</v>
      </c>
      <c r="C290" s="11" t="s">
        <v>417</v>
      </c>
      <c r="D290" s="12">
        <v>29</v>
      </c>
      <c r="E290" s="11" t="s">
        <v>465</v>
      </c>
      <c r="F290" s="14" t="str">
        <f>_xlfn.XLOOKUP(E290,Profession!$B$2:$B$15,Profession!$A$2:$A$15,"Not Found")</f>
        <v>P010</v>
      </c>
      <c r="G290" s="11" t="s">
        <v>467</v>
      </c>
      <c r="H290" s="10" t="str">
        <f>_xlfn.XLOOKUP(G290,Region!$B$2:$B$16,Region!$A$2:$A$16,"Not Found")</f>
        <v>R009</v>
      </c>
      <c r="I290" s="10" t="s">
        <v>420</v>
      </c>
      <c r="J290" s="10" t="s">
        <v>420</v>
      </c>
      <c r="K290" s="10" t="s">
        <v>434</v>
      </c>
      <c r="L290" s="10" t="s">
        <v>1058</v>
      </c>
      <c r="M290" s="16" t="s">
        <v>422</v>
      </c>
      <c r="N290" s="10" t="s">
        <v>138</v>
      </c>
      <c r="O290" s="16" t="s">
        <v>444</v>
      </c>
      <c r="P290" s="11" t="s">
        <v>422</v>
      </c>
      <c r="Q290" s="11" t="s">
        <v>420</v>
      </c>
      <c r="R290" s="11" t="s">
        <v>1070</v>
      </c>
      <c r="S290" s="10" t="s">
        <v>62</v>
      </c>
      <c r="T290" s="81">
        <v>6</v>
      </c>
      <c r="U290" s="10" t="s">
        <v>420</v>
      </c>
      <c r="V290" s="10" t="s">
        <v>2277</v>
      </c>
      <c r="X290" s="15">
        <v>4</v>
      </c>
      <c r="Y290" s="10" t="s">
        <v>56</v>
      </c>
      <c r="Z290" s="10" t="s">
        <v>2849</v>
      </c>
      <c r="AA290" s="10" t="s">
        <v>23</v>
      </c>
      <c r="AB290" s="10" t="s">
        <v>2843</v>
      </c>
    </row>
    <row r="291" spans="1:28">
      <c r="A291" s="10" t="s">
        <v>774</v>
      </c>
      <c r="B291" s="11" t="s">
        <v>276</v>
      </c>
      <c r="C291" s="11" t="s">
        <v>417</v>
      </c>
      <c r="D291" s="12">
        <v>30</v>
      </c>
      <c r="E291" s="11" t="s">
        <v>448</v>
      </c>
      <c r="F291" s="14" t="str">
        <f>_xlfn.XLOOKUP(E291,Profession!$B$2:$B$15,Profession!$A$2:$A$15,"Not Found")</f>
        <v>P004</v>
      </c>
      <c r="G291" s="11" t="s">
        <v>1111</v>
      </c>
      <c r="H291" s="10" t="str">
        <f>_xlfn.XLOOKUP(G291,Region!$B$2:$B$16,Region!$A$2:$A$16,"Not Found")</f>
        <v>R004</v>
      </c>
      <c r="I291" s="10" t="s">
        <v>420</v>
      </c>
      <c r="J291" s="10" t="s">
        <v>420</v>
      </c>
      <c r="K291" s="10" t="s">
        <v>431</v>
      </c>
      <c r="L291" s="10" t="s">
        <v>1057</v>
      </c>
      <c r="M291" s="16" t="s">
        <v>432</v>
      </c>
      <c r="N291" s="10" t="s">
        <v>138</v>
      </c>
      <c r="O291" s="16" t="s">
        <v>444</v>
      </c>
      <c r="P291" s="11" t="s">
        <v>422</v>
      </c>
      <c r="Q291" s="11" t="s">
        <v>420</v>
      </c>
      <c r="R291" s="11" t="s">
        <v>1070</v>
      </c>
      <c r="S291" s="10" t="s">
        <v>62</v>
      </c>
      <c r="T291" s="81">
        <v>8</v>
      </c>
      <c r="U291" s="10" t="s">
        <v>420</v>
      </c>
      <c r="V291" s="10" t="s">
        <v>450</v>
      </c>
      <c r="X291" s="15">
        <v>4</v>
      </c>
      <c r="Y291" s="10" t="s">
        <v>56</v>
      </c>
      <c r="Z291" s="10" t="s">
        <v>2849</v>
      </c>
      <c r="AA291" s="10" t="s">
        <v>23</v>
      </c>
      <c r="AB291" s="10" t="s">
        <v>46</v>
      </c>
    </row>
    <row r="292" spans="1:28">
      <c r="A292" s="10" t="s">
        <v>775</v>
      </c>
      <c r="B292" s="11" t="s">
        <v>277</v>
      </c>
      <c r="C292" s="11" t="s">
        <v>417</v>
      </c>
      <c r="D292" s="12">
        <v>31</v>
      </c>
      <c r="E292" s="11" t="s">
        <v>448</v>
      </c>
      <c r="F292" s="14" t="str">
        <f>_xlfn.XLOOKUP(E292,Profession!$B$2:$B$15,Profession!$A$2:$A$15,"Not Found")</f>
        <v>P004</v>
      </c>
      <c r="G292" s="11" t="s">
        <v>1111</v>
      </c>
      <c r="H292" s="10" t="str">
        <f>_xlfn.XLOOKUP(G292,Region!$B$2:$B$16,Region!$A$2:$A$16,"Not Found")</f>
        <v>R004</v>
      </c>
      <c r="I292" s="10" t="s">
        <v>420</v>
      </c>
      <c r="J292" s="10" t="s">
        <v>420</v>
      </c>
      <c r="K292" s="10" t="s">
        <v>431</v>
      </c>
      <c r="L292" s="10" t="s">
        <v>1058</v>
      </c>
      <c r="M292" s="16" t="s">
        <v>432</v>
      </c>
      <c r="N292" s="10" t="s">
        <v>138</v>
      </c>
      <c r="O292" s="16" t="s">
        <v>450</v>
      </c>
      <c r="P292" s="11" t="s">
        <v>422</v>
      </c>
      <c r="Q292" s="11" t="s">
        <v>420</v>
      </c>
      <c r="R292" s="11" t="s">
        <v>107</v>
      </c>
      <c r="S292" s="10" t="s">
        <v>62</v>
      </c>
      <c r="T292" s="81">
        <v>7</v>
      </c>
      <c r="U292" s="10" t="s">
        <v>420</v>
      </c>
      <c r="V292" s="10" t="s">
        <v>450</v>
      </c>
      <c r="X292" s="15">
        <v>4</v>
      </c>
      <c r="Y292" s="10" t="s">
        <v>56</v>
      </c>
      <c r="Z292" s="10" t="s">
        <v>2849</v>
      </c>
      <c r="AA292" s="10" t="s">
        <v>23</v>
      </c>
      <c r="AB292" s="10" t="s">
        <v>46</v>
      </c>
    </row>
    <row r="293" spans="1:28">
      <c r="A293" s="10" t="s">
        <v>776</v>
      </c>
      <c r="B293" s="11" t="s">
        <v>278</v>
      </c>
      <c r="C293" s="11" t="s">
        <v>417</v>
      </c>
      <c r="D293" s="12">
        <v>32</v>
      </c>
      <c r="E293" s="11" t="s">
        <v>465</v>
      </c>
      <c r="F293" s="14" t="str">
        <f>_xlfn.XLOOKUP(E293,Profession!$B$2:$B$15,Profession!$A$2:$A$15,"Not Found")</f>
        <v>P010</v>
      </c>
      <c r="G293" s="11" t="s">
        <v>419</v>
      </c>
      <c r="H293" s="10" t="str">
        <f>_xlfn.XLOOKUP(G293,Region!$B$2:$B$16,Region!$A$2:$A$16,"Not Found")</f>
        <v>R001</v>
      </c>
      <c r="I293" s="10" t="s">
        <v>423</v>
      </c>
      <c r="J293" s="10" t="s">
        <v>423</v>
      </c>
      <c r="K293" s="10" t="s">
        <v>434</v>
      </c>
      <c r="L293" s="10" t="s">
        <v>1058</v>
      </c>
      <c r="M293" s="16" t="s">
        <v>422</v>
      </c>
      <c r="N293" s="10" t="s">
        <v>138</v>
      </c>
      <c r="O293" s="16" t="s">
        <v>444</v>
      </c>
      <c r="P293" s="11" t="s">
        <v>422</v>
      </c>
      <c r="Q293" s="11" t="s">
        <v>420</v>
      </c>
      <c r="R293" s="11" t="s">
        <v>1065</v>
      </c>
      <c r="S293" s="10" t="s">
        <v>62</v>
      </c>
      <c r="T293" s="81">
        <v>8</v>
      </c>
      <c r="U293" s="10" t="s">
        <v>420</v>
      </c>
      <c r="V293" s="10" t="s">
        <v>450</v>
      </c>
      <c r="X293" s="15">
        <v>7</v>
      </c>
      <c r="Y293" s="10" t="s">
        <v>100</v>
      </c>
      <c r="Z293" s="10" t="s">
        <v>2849</v>
      </c>
      <c r="AA293" s="10" t="s">
        <v>23</v>
      </c>
      <c r="AB293" s="10" t="s">
        <v>2843</v>
      </c>
    </row>
    <row r="294" spans="1:28">
      <c r="A294" s="10" t="s">
        <v>777</v>
      </c>
      <c r="B294" s="11" t="s">
        <v>279</v>
      </c>
      <c r="C294" s="11" t="s">
        <v>417</v>
      </c>
      <c r="D294" s="12">
        <v>33</v>
      </c>
      <c r="E294" s="11" t="s">
        <v>462</v>
      </c>
      <c r="F294" s="14" t="str">
        <f>_xlfn.XLOOKUP(E294,Profession!$B$2:$B$15,Profession!$A$2:$A$15,"Not Found")</f>
        <v>P008</v>
      </c>
      <c r="G294" s="11" t="s">
        <v>464</v>
      </c>
      <c r="H294" s="10" t="str">
        <f>_xlfn.XLOOKUP(G294,Region!$B$2:$B$16,Region!$A$2:$A$16,"Not Found")</f>
        <v>R007</v>
      </c>
      <c r="I294" s="10" t="s">
        <v>423</v>
      </c>
      <c r="J294" s="10" t="s">
        <v>423</v>
      </c>
      <c r="K294" s="10" t="s">
        <v>435</v>
      </c>
      <c r="L294" s="10" t="s">
        <v>1058</v>
      </c>
      <c r="M294" s="16" t="s">
        <v>436</v>
      </c>
      <c r="N294" s="10" t="s">
        <v>138</v>
      </c>
      <c r="O294" s="16" t="s">
        <v>450</v>
      </c>
      <c r="P294" s="11" t="s">
        <v>422</v>
      </c>
      <c r="Q294" s="11" t="s">
        <v>420</v>
      </c>
      <c r="R294" s="11" t="s">
        <v>107</v>
      </c>
      <c r="S294" s="10" t="s">
        <v>62</v>
      </c>
      <c r="T294" s="81">
        <v>5</v>
      </c>
      <c r="U294" s="10" t="s">
        <v>2275</v>
      </c>
      <c r="V294" s="10" t="s">
        <v>450</v>
      </c>
      <c r="X294" s="15">
        <v>5</v>
      </c>
      <c r="Y294" s="10" t="s">
        <v>54</v>
      </c>
      <c r="Z294" s="10" t="s">
        <v>2849</v>
      </c>
      <c r="AA294" s="10" t="s">
        <v>23</v>
      </c>
      <c r="AB294" s="10" t="s">
        <v>2844</v>
      </c>
    </row>
    <row r="295" spans="1:28">
      <c r="A295" s="10" t="s">
        <v>778</v>
      </c>
      <c r="B295" s="11" t="s">
        <v>280</v>
      </c>
      <c r="C295" s="11" t="s">
        <v>417</v>
      </c>
      <c r="D295" s="12">
        <v>34</v>
      </c>
      <c r="E295" s="11" t="s">
        <v>473</v>
      </c>
      <c r="F295" s="14" t="str">
        <f>_xlfn.XLOOKUP(E295,Profession!$B$2:$B$15,Profession!$A$2:$A$15,"Not Found")</f>
        <v>P012</v>
      </c>
      <c r="G295" s="11" t="s">
        <v>419</v>
      </c>
      <c r="H295" s="10" t="str">
        <f>_xlfn.XLOOKUP(G295,Region!$B$2:$B$16,Region!$A$2:$A$16,"Not Found")</f>
        <v>R001</v>
      </c>
      <c r="I295" s="10" t="s">
        <v>423</v>
      </c>
      <c r="J295" s="10" t="s">
        <v>423</v>
      </c>
      <c r="K295" s="10" t="s">
        <v>434</v>
      </c>
      <c r="L295" s="10" t="s">
        <v>1058</v>
      </c>
      <c r="M295" s="16" t="s">
        <v>432</v>
      </c>
      <c r="N295" s="10" t="s">
        <v>138</v>
      </c>
      <c r="O295" s="16" t="s">
        <v>444</v>
      </c>
      <c r="P295" s="11" t="s">
        <v>422</v>
      </c>
      <c r="Q295" s="11" t="s">
        <v>420</v>
      </c>
      <c r="R295" s="11" t="s">
        <v>107</v>
      </c>
      <c r="S295" s="10" t="s">
        <v>62</v>
      </c>
      <c r="T295" s="81">
        <v>7</v>
      </c>
      <c r="U295" s="10" t="s">
        <v>420</v>
      </c>
      <c r="V295" s="10" t="s">
        <v>450</v>
      </c>
      <c r="X295" s="15">
        <v>5</v>
      </c>
      <c r="Y295" s="10" t="s">
        <v>87</v>
      </c>
      <c r="Z295" s="10" t="s">
        <v>2848</v>
      </c>
      <c r="AA295" s="10" t="s">
        <v>23</v>
      </c>
      <c r="AB295" s="10" t="s">
        <v>149</v>
      </c>
    </row>
    <row r="296" spans="1:28">
      <c r="A296" s="10" t="s">
        <v>779</v>
      </c>
      <c r="B296" s="11" t="s">
        <v>281</v>
      </c>
      <c r="C296" s="11" t="s">
        <v>417</v>
      </c>
      <c r="D296" s="12">
        <v>35</v>
      </c>
      <c r="E296" s="11" t="s">
        <v>452</v>
      </c>
      <c r="F296" s="14" t="str">
        <f>_xlfn.XLOOKUP(E296,Profession!$B$2:$B$15,Profession!$A$2:$A$15,"Not Found")</f>
        <v>P005</v>
      </c>
      <c r="G296" s="11" t="s">
        <v>455</v>
      </c>
      <c r="H296" s="10" t="str">
        <f>_xlfn.XLOOKUP(G296,Region!$B$2:$B$16,Region!$A$2:$A$16,"Not Found")</f>
        <v>R006</v>
      </c>
      <c r="I296" s="10" t="s">
        <v>420</v>
      </c>
      <c r="J296" s="10" t="s">
        <v>420</v>
      </c>
      <c r="K296" s="10" t="s">
        <v>434</v>
      </c>
      <c r="L296" s="10" t="s">
        <v>1058</v>
      </c>
      <c r="M296" s="16" t="s">
        <v>422</v>
      </c>
      <c r="N296" s="10" t="s">
        <v>106</v>
      </c>
      <c r="O296" s="16" t="s">
        <v>436</v>
      </c>
      <c r="P296" s="11" t="s">
        <v>422</v>
      </c>
      <c r="Q296" s="11" t="s">
        <v>435</v>
      </c>
      <c r="R296" s="11" t="s">
        <v>1071</v>
      </c>
      <c r="S296" s="10" t="s">
        <v>62</v>
      </c>
      <c r="T296" s="81">
        <v>6</v>
      </c>
      <c r="U296" s="10" t="s">
        <v>420</v>
      </c>
      <c r="V296" s="10" t="s">
        <v>2277</v>
      </c>
      <c r="X296" s="15">
        <v>8</v>
      </c>
      <c r="Y296" s="10" t="s">
        <v>42</v>
      </c>
      <c r="Z296" s="10" t="s">
        <v>2849</v>
      </c>
      <c r="AA296" s="10" t="s">
        <v>43</v>
      </c>
      <c r="AB296" s="10" t="s">
        <v>46</v>
      </c>
    </row>
    <row r="297" spans="1:28">
      <c r="A297" s="10" t="s">
        <v>780</v>
      </c>
      <c r="B297" s="11" t="s">
        <v>282</v>
      </c>
      <c r="C297" s="11" t="s">
        <v>417</v>
      </c>
      <c r="D297" s="12">
        <v>36</v>
      </c>
      <c r="E297" s="11" t="s">
        <v>452</v>
      </c>
      <c r="F297" s="14" t="str">
        <f>_xlfn.XLOOKUP(E297,Profession!$B$2:$B$15,Profession!$A$2:$A$15,"Not Found")</f>
        <v>P005</v>
      </c>
      <c r="G297" s="11" t="s">
        <v>1115</v>
      </c>
      <c r="H297" s="10" t="str">
        <f>_xlfn.XLOOKUP(G297,Region!$B$2:$B$16,Region!$A$2:$A$16,"Not Found")</f>
        <v>R002</v>
      </c>
      <c r="I297" s="10" t="s">
        <v>420</v>
      </c>
      <c r="J297" s="10" t="s">
        <v>420</v>
      </c>
      <c r="K297" s="10" t="s">
        <v>435</v>
      </c>
      <c r="L297" s="10" t="s">
        <v>1058</v>
      </c>
      <c r="M297" s="16" t="s">
        <v>429</v>
      </c>
      <c r="N297" s="10" t="s">
        <v>64</v>
      </c>
      <c r="O297" s="16" t="s">
        <v>433</v>
      </c>
      <c r="P297" s="11" t="s">
        <v>422</v>
      </c>
      <c r="Q297" s="11" t="s">
        <v>420</v>
      </c>
      <c r="R297" s="11" t="s">
        <v>1072</v>
      </c>
      <c r="S297" s="10" t="s">
        <v>2885</v>
      </c>
      <c r="T297" s="81">
        <v>6</v>
      </c>
      <c r="U297" s="10" t="s">
        <v>2273</v>
      </c>
      <c r="V297" s="10" t="s">
        <v>2277</v>
      </c>
      <c r="X297" s="15">
        <v>3</v>
      </c>
      <c r="Y297" s="10" t="s">
        <v>45</v>
      </c>
      <c r="Z297" s="10" t="s">
        <v>2849</v>
      </c>
      <c r="AA297" s="10" t="s">
        <v>37</v>
      </c>
      <c r="AB297" s="10" t="s">
        <v>149</v>
      </c>
    </row>
    <row r="298" spans="1:28">
      <c r="A298" s="10" t="s">
        <v>781</v>
      </c>
      <c r="B298" s="11" t="s">
        <v>283</v>
      </c>
      <c r="C298" s="11" t="s">
        <v>437</v>
      </c>
      <c r="D298" s="12">
        <v>37</v>
      </c>
      <c r="E298" s="11" t="s">
        <v>442</v>
      </c>
      <c r="F298" s="14" t="str">
        <f>_xlfn.XLOOKUP(E298,Profession!$B$2:$B$15,Profession!$A$2:$A$15,"Not Found")</f>
        <v>P002</v>
      </c>
      <c r="G298" s="11" t="s">
        <v>419</v>
      </c>
      <c r="H298" s="10" t="str">
        <f>_xlfn.XLOOKUP(G298,Region!$B$2:$B$16,Region!$A$2:$A$16,"Not Found")</f>
        <v>R001</v>
      </c>
      <c r="I298" s="10" t="s">
        <v>420</v>
      </c>
      <c r="J298" s="10" t="s">
        <v>420</v>
      </c>
      <c r="K298" s="10" t="s">
        <v>426</v>
      </c>
      <c r="L298" s="10" t="s">
        <v>1058</v>
      </c>
      <c r="M298" s="16" t="s">
        <v>422</v>
      </c>
      <c r="N298" s="10" t="s">
        <v>102</v>
      </c>
      <c r="O298" s="16" t="s">
        <v>426</v>
      </c>
      <c r="P298" s="11" t="s">
        <v>1059</v>
      </c>
      <c r="Q298" s="11" t="s">
        <v>422</v>
      </c>
      <c r="R298" s="11" t="s">
        <v>1062</v>
      </c>
      <c r="S298" s="10" t="s">
        <v>2884</v>
      </c>
      <c r="T298" s="81">
        <v>6.3008333333333297</v>
      </c>
      <c r="U298" s="10" t="s">
        <v>420</v>
      </c>
      <c r="V298" s="10" t="s">
        <v>2277</v>
      </c>
      <c r="X298" s="15">
        <v>4</v>
      </c>
      <c r="Y298" s="10" t="s">
        <v>36</v>
      </c>
      <c r="Z298" s="10" t="s">
        <v>2849</v>
      </c>
      <c r="AA298" s="10" t="s">
        <v>23</v>
      </c>
      <c r="AB298" s="10" t="s">
        <v>2843</v>
      </c>
    </row>
    <row r="299" spans="1:28">
      <c r="A299" s="10" t="s">
        <v>782</v>
      </c>
      <c r="B299" s="11" t="s">
        <v>139</v>
      </c>
      <c r="C299" s="11" t="s">
        <v>437</v>
      </c>
      <c r="D299" s="12">
        <v>38</v>
      </c>
      <c r="E299" s="11" t="s">
        <v>465</v>
      </c>
      <c r="F299" s="14" t="str">
        <f>_xlfn.XLOOKUP(E299,Profession!$B$2:$B$15,Profession!$A$2:$A$15,"Not Found")</f>
        <v>P010</v>
      </c>
      <c r="G299" s="11" t="s">
        <v>108</v>
      </c>
      <c r="H299" s="10" t="str">
        <f>_xlfn.XLOOKUP(G299,Region!$B$2:$B$16,Region!$A$2:$A$16,"Not Found")</f>
        <v>R010</v>
      </c>
      <c r="I299" s="10" t="s">
        <v>420</v>
      </c>
      <c r="J299" s="10" t="s">
        <v>420</v>
      </c>
      <c r="K299" s="10" t="s">
        <v>435</v>
      </c>
      <c r="L299" s="10" t="s">
        <v>1058</v>
      </c>
      <c r="M299" s="16" t="s">
        <v>422</v>
      </c>
      <c r="N299" s="10" t="s">
        <v>138</v>
      </c>
      <c r="O299" s="16" t="s">
        <v>450</v>
      </c>
      <c r="P299" s="11" t="s">
        <v>422</v>
      </c>
      <c r="Q299" s="11" t="s">
        <v>420</v>
      </c>
      <c r="R299" s="11" t="s">
        <v>107</v>
      </c>
      <c r="S299" s="10" t="s">
        <v>62</v>
      </c>
      <c r="T299" s="81">
        <v>7</v>
      </c>
      <c r="U299" s="10" t="s">
        <v>420</v>
      </c>
      <c r="V299" s="10" t="s">
        <v>450</v>
      </c>
      <c r="X299" s="15">
        <v>7</v>
      </c>
      <c r="Y299" s="10" t="s">
        <v>19</v>
      </c>
      <c r="Z299" s="10" t="s">
        <v>2849</v>
      </c>
      <c r="AA299" s="10" t="s">
        <v>23</v>
      </c>
      <c r="AB299" s="10" t="s">
        <v>2841</v>
      </c>
    </row>
    <row r="300" spans="1:28">
      <c r="A300" s="10" t="s">
        <v>783</v>
      </c>
      <c r="B300" s="11" t="s">
        <v>284</v>
      </c>
      <c r="C300" s="11" t="s">
        <v>437</v>
      </c>
      <c r="D300" s="12">
        <v>39</v>
      </c>
      <c r="E300" s="11" t="s">
        <v>458</v>
      </c>
      <c r="F300" s="14" t="str">
        <f>_xlfn.XLOOKUP(E300,Profession!$B$2:$B$15,Profession!$A$2:$A$15,"Not Found")</f>
        <v>P006</v>
      </c>
      <c r="G300" s="11" t="s">
        <v>1115</v>
      </c>
      <c r="H300" s="10" t="str">
        <f>_xlfn.XLOOKUP(G300,Region!$B$2:$B$16,Region!$A$2:$A$16,"Not Found")</f>
        <v>R002</v>
      </c>
      <c r="I300" s="10" t="s">
        <v>420</v>
      </c>
      <c r="J300" s="10" t="s">
        <v>420</v>
      </c>
      <c r="K300" s="10" t="s">
        <v>434</v>
      </c>
      <c r="L300" s="10" t="s">
        <v>1058</v>
      </c>
      <c r="M300" s="16" t="s">
        <v>432</v>
      </c>
      <c r="N300" s="10" t="s">
        <v>64</v>
      </c>
      <c r="O300" s="16" t="s">
        <v>433</v>
      </c>
      <c r="P300" s="11" t="s">
        <v>422</v>
      </c>
      <c r="Q300" s="11" t="s">
        <v>1061</v>
      </c>
      <c r="R300" s="11" t="s">
        <v>1065</v>
      </c>
      <c r="S300" s="10" t="s">
        <v>62</v>
      </c>
      <c r="T300" s="81">
        <v>6</v>
      </c>
      <c r="U300" s="10" t="s">
        <v>2274</v>
      </c>
      <c r="V300" s="10" t="s">
        <v>450</v>
      </c>
      <c r="X300" s="15">
        <v>3</v>
      </c>
      <c r="Y300" s="10" t="s">
        <v>49</v>
      </c>
      <c r="Z300" s="10" t="s">
        <v>2849</v>
      </c>
      <c r="AA300" s="10" t="s">
        <v>37</v>
      </c>
      <c r="AB300" s="10" t="s">
        <v>46</v>
      </c>
    </row>
    <row r="301" spans="1:28">
      <c r="A301" s="10" t="s">
        <v>784</v>
      </c>
      <c r="B301" s="11" t="s">
        <v>118</v>
      </c>
      <c r="C301" s="11" t="s">
        <v>437</v>
      </c>
      <c r="D301" s="12">
        <v>40</v>
      </c>
      <c r="E301" s="11" t="s">
        <v>1054</v>
      </c>
      <c r="F301" s="14" t="str">
        <f>_xlfn.XLOOKUP(E301,Profession!$B$2:$B$15,Profession!$A$2:$A$15,"Not Found")</f>
        <v>P013</v>
      </c>
      <c r="G301" s="11" t="s">
        <v>1110</v>
      </c>
      <c r="H301" s="10" t="str">
        <f>_xlfn.XLOOKUP(G301,Region!$B$2:$B$16,Region!$A$2:$A$16,"Not Found")</f>
        <v>R013</v>
      </c>
      <c r="I301" s="10" t="s">
        <v>420</v>
      </c>
      <c r="J301" s="10" t="s">
        <v>420</v>
      </c>
      <c r="K301" s="10" t="s">
        <v>435</v>
      </c>
      <c r="L301" s="10" t="s">
        <v>1058</v>
      </c>
      <c r="M301" s="16" t="s">
        <v>422</v>
      </c>
      <c r="N301" s="10" t="s">
        <v>138</v>
      </c>
      <c r="O301" s="16" t="s">
        <v>433</v>
      </c>
      <c r="P301" s="11" t="s">
        <v>435</v>
      </c>
      <c r="Q301" s="11" t="s">
        <v>420</v>
      </c>
      <c r="R301" s="11" t="s">
        <v>1067</v>
      </c>
      <c r="S301" s="10" t="s">
        <v>62</v>
      </c>
      <c r="T301" s="81">
        <v>6</v>
      </c>
      <c r="U301" s="10" t="s">
        <v>420</v>
      </c>
      <c r="V301" s="10" t="s">
        <v>450</v>
      </c>
      <c r="X301" s="15">
        <v>6</v>
      </c>
      <c r="Y301" s="10" t="s">
        <v>75</v>
      </c>
      <c r="Z301" s="10" t="s">
        <v>2847</v>
      </c>
      <c r="AA301" s="10" t="s">
        <v>70</v>
      </c>
      <c r="AB301" s="10" t="s">
        <v>149</v>
      </c>
    </row>
    <row r="302" spans="1:28">
      <c r="A302" s="10" t="s">
        <v>785</v>
      </c>
      <c r="B302" s="11" t="s">
        <v>285</v>
      </c>
      <c r="C302" s="11" t="s">
        <v>437</v>
      </c>
      <c r="D302" s="12">
        <v>41</v>
      </c>
      <c r="E302" s="11" t="s">
        <v>446</v>
      </c>
      <c r="F302" s="14" t="str">
        <f>_xlfn.XLOOKUP(E302,Profession!$B$2:$B$15,Profession!$A$2:$A$15,"Not Found")</f>
        <v>P003</v>
      </c>
      <c r="G302" s="11" t="s">
        <v>104</v>
      </c>
      <c r="H302" s="10" t="str">
        <f>_xlfn.XLOOKUP(G302,Region!$B$2:$B$16,Region!$A$2:$A$16,"Not Found")</f>
        <v>R003</v>
      </c>
      <c r="I302" s="10" t="s">
        <v>420</v>
      </c>
      <c r="J302" s="10" t="s">
        <v>420</v>
      </c>
      <c r="K302" s="10" t="s">
        <v>435</v>
      </c>
      <c r="L302" s="10" t="s">
        <v>1058</v>
      </c>
      <c r="M302" s="16" t="s">
        <v>422</v>
      </c>
      <c r="N302" s="10" t="s">
        <v>138</v>
      </c>
      <c r="O302" s="16" t="s">
        <v>433</v>
      </c>
      <c r="P302" s="11" t="s">
        <v>422</v>
      </c>
      <c r="Q302" s="11" t="s">
        <v>420</v>
      </c>
      <c r="R302" s="11" t="s">
        <v>1070</v>
      </c>
      <c r="S302" s="10" t="s">
        <v>62</v>
      </c>
      <c r="T302" s="81">
        <v>8</v>
      </c>
      <c r="U302" s="10" t="s">
        <v>420</v>
      </c>
      <c r="V302" s="10" t="s">
        <v>2277</v>
      </c>
      <c r="X302" s="15">
        <v>5</v>
      </c>
      <c r="Y302" s="10" t="s">
        <v>19</v>
      </c>
      <c r="Z302" s="10" t="s">
        <v>2849</v>
      </c>
      <c r="AA302" s="10" t="s">
        <v>23</v>
      </c>
      <c r="AB302" s="10" t="s">
        <v>28</v>
      </c>
    </row>
    <row r="303" spans="1:28">
      <c r="A303" s="10" t="s">
        <v>786</v>
      </c>
      <c r="B303" s="11" t="s">
        <v>286</v>
      </c>
      <c r="C303" s="11" t="s">
        <v>437</v>
      </c>
      <c r="D303" s="12">
        <v>42</v>
      </c>
      <c r="E303" s="11" t="s">
        <v>1088</v>
      </c>
      <c r="F303" s="14" t="str">
        <f>_xlfn.XLOOKUP(E303,Profession!$B$2:$B$15,Profession!$A$2:$A$15,"Not Found")</f>
        <v>P014</v>
      </c>
      <c r="G303" s="11" t="s">
        <v>1114</v>
      </c>
      <c r="H303" s="10" t="str">
        <f>_xlfn.XLOOKUP(G303,Region!$B$2:$B$16,Region!$A$2:$A$16,"Not Found")</f>
        <v>R014</v>
      </c>
      <c r="I303" s="10" t="s">
        <v>420</v>
      </c>
      <c r="J303" s="10" t="s">
        <v>420</v>
      </c>
      <c r="K303" s="10" t="s">
        <v>435</v>
      </c>
      <c r="L303" s="10" t="s">
        <v>1058</v>
      </c>
      <c r="M303" s="16" t="s">
        <v>422</v>
      </c>
      <c r="N303" s="10" t="s">
        <v>138</v>
      </c>
      <c r="O303" s="16" t="s">
        <v>433</v>
      </c>
      <c r="P303" s="11" t="s">
        <v>422</v>
      </c>
      <c r="Q303" s="11" t="s">
        <v>1061</v>
      </c>
      <c r="R303" s="11" t="s">
        <v>1067</v>
      </c>
      <c r="S303" s="10" t="s">
        <v>62</v>
      </c>
      <c r="T303" s="81">
        <v>6</v>
      </c>
      <c r="U303" s="10" t="s">
        <v>420</v>
      </c>
      <c r="V303" s="10" t="s">
        <v>450</v>
      </c>
      <c r="X303" s="15">
        <v>6</v>
      </c>
      <c r="Y303" s="10" t="s">
        <v>77</v>
      </c>
      <c r="Z303" s="10" t="s">
        <v>2282</v>
      </c>
      <c r="AA303" s="10" t="s">
        <v>23</v>
      </c>
      <c r="AB303" s="10" t="s">
        <v>46</v>
      </c>
    </row>
    <row r="304" spans="1:28">
      <c r="A304" s="10" t="s">
        <v>787</v>
      </c>
      <c r="B304" s="11" t="s">
        <v>287</v>
      </c>
      <c r="C304" s="11" t="s">
        <v>437</v>
      </c>
      <c r="D304" s="12">
        <v>43</v>
      </c>
      <c r="E304" s="11" t="s">
        <v>1088</v>
      </c>
      <c r="F304" s="14" t="str">
        <f>_xlfn.XLOOKUP(E304,Profession!$B$2:$B$15,Profession!$A$2:$A$15,"Not Found")</f>
        <v>P014</v>
      </c>
      <c r="G304" s="11" t="s">
        <v>477</v>
      </c>
      <c r="H304" s="10" t="str">
        <f>_xlfn.XLOOKUP(G304,Region!$B$2:$B$16,Region!$A$2:$A$16,"Not Found")</f>
        <v>R015</v>
      </c>
      <c r="I304" s="10" t="s">
        <v>420</v>
      </c>
      <c r="J304" s="10" t="s">
        <v>420</v>
      </c>
      <c r="K304" s="10" t="s">
        <v>435</v>
      </c>
      <c r="L304" s="10" t="s">
        <v>1058</v>
      </c>
      <c r="M304" s="16" t="s">
        <v>422</v>
      </c>
      <c r="N304" s="10" t="s">
        <v>138</v>
      </c>
      <c r="O304" s="16" t="s">
        <v>433</v>
      </c>
      <c r="P304" s="11" t="s">
        <v>435</v>
      </c>
      <c r="Q304" s="11" t="s">
        <v>1061</v>
      </c>
      <c r="R304" s="11" t="s">
        <v>1068</v>
      </c>
      <c r="S304" s="10" t="s">
        <v>62</v>
      </c>
      <c r="T304" s="81">
        <v>8</v>
      </c>
      <c r="U304" s="10" t="s">
        <v>420</v>
      </c>
      <c r="V304" s="10" t="s">
        <v>450</v>
      </c>
      <c r="X304" s="15">
        <v>6</v>
      </c>
      <c r="Y304" s="10" t="s">
        <v>36</v>
      </c>
      <c r="Z304" s="10" t="s">
        <v>2849</v>
      </c>
      <c r="AA304" s="10" t="s">
        <v>23</v>
      </c>
      <c r="AB304" s="10" t="s">
        <v>2841</v>
      </c>
    </row>
    <row r="305" spans="1:28">
      <c r="A305" s="10" t="s">
        <v>788</v>
      </c>
      <c r="B305" s="11" t="s">
        <v>288</v>
      </c>
      <c r="C305" s="11" t="s">
        <v>437</v>
      </c>
      <c r="D305" s="12">
        <v>20</v>
      </c>
      <c r="E305" s="11" t="s">
        <v>418</v>
      </c>
      <c r="F305" s="14" t="str">
        <f>_xlfn.XLOOKUP(E305,Profession!$B$2:$B$15,Profession!$A$2:$A$15,"Not Found")</f>
        <v>P001</v>
      </c>
      <c r="G305" s="11" t="s">
        <v>419</v>
      </c>
      <c r="H305" s="10" t="str">
        <f>_xlfn.XLOOKUP(G305,Region!$B$2:$B$16,Region!$A$2:$A$16,"Not Found")</f>
        <v>R001</v>
      </c>
      <c r="I305" s="10" t="s">
        <v>420</v>
      </c>
      <c r="J305" s="10" t="s">
        <v>420</v>
      </c>
      <c r="K305" s="10" t="s">
        <v>435</v>
      </c>
      <c r="L305" s="10" t="s">
        <v>1057</v>
      </c>
      <c r="M305" s="16" t="s">
        <v>422</v>
      </c>
      <c r="N305" s="10" t="s">
        <v>26</v>
      </c>
      <c r="O305" s="16" t="s">
        <v>423</v>
      </c>
      <c r="P305" s="11" t="s">
        <v>1059</v>
      </c>
      <c r="Q305" s="11" t="s">
        <v>422</v>
      </c>
      <c r="R305" s="11" t="s">
        <v>1062</v>
      </c>
      <c r="S305" s="10" t="s">
        <v>2884</v>
      </c>
      <c r="T305" s="81">
        <v>7</v>
      </c>
      <c r="U305" s="10" t="s">
        <v>420</v>
      </c>
      <c r="V305" s="10" t="s">
        <v>2278</v>
      </c>
      <c r="X305" s="15">
        <v>3</v>
      </c>
      <c r="Y305" s="10" t="s">
        <v>27</v>
      </c>
      <c r="Z305" s="10" t="s">
        <v>2849</v>
      </c>
      <c r="AA305" s="10" t="s">
        <v>23</v>
      </c>
      <c r="AB305" s="10" t="s">
        <v>24</v>
      </c>
    </row>
    <row r="306" spans="1:28">
      <c r="A306" s="10" t="s">
        <v>789</v>
      </c>
      <c r="B306" s="11" t="s">
        <v>289</v>
      </c>
      <c r="C306" s="11" t="s">
        <v>437</v>
      </c>
      <c r="D306" s="12">
        <v>21</v>
      </c>
      <c r="E306" s="11" t="s">
        <v>465</v>
      </c>
      <c r="F306" s="14" t="str">
        <f>_xlfn.XLOOKUP(E306,Profession!$B$2:$B$15,Profession!$A$2:$A$15,"Not Found")</f>
        <v>P010</v>
      </c>
      <c r="G306" s="11" t="s">
        <v>1115</v>
      </c>
      <c r="H306" s="10" t="str">
        <f>_xlfn.XLOOKUP(G306,Region!$B$2:$B$16,Region!$A$2:$A$16,"Not Found")</f>
        <v>R002</v>
      </c>
      <c r="I306" s="10" t="s">
        <v>420</v>
      </c>
      <c r="J306" s="10" t="s">
        <v>420</v>
      </c>
      <c r="K306" s="10" t="s">
        <v>421</v>
      </c>
      <c r="L306" s="10" t="s">
        <v>1058</v>
      </c>
      <c r="M306" s="16" t="s">
        <v>422</v>
      </c>
      <c r="N306" s="10" t="s">
        <v>138</v>
      </c>
      <c r="O306" s="16" t="s">
        <v>450</v>
      </c>
      <c r="P306" s="11" t="s">
        <v>422</v>
      </c>
      <c r="Q306" s="11" t="s">
        <v>420</v>
      </c>
      <c r="R306" s="11" t="s">
        <v>1065</v>
      </c>
      <c r="S306" s="10" t="s">
        <v>62</v>
      </c>
      <c r="T306" s="81">
        <v>8</v>
      </c>
      <c r="U306" s="10" t="s">
        <v>420</v>
      </c>
      <c r="V306" s="10" t="s">
        <v>450</v>
      </c>
      <c r="X306" s="15">
        <v>4</v>
      </c>
      <c r="Y306" s="10" t="s">
        <v>56</v>
      </c>
      <c r="Z306" s="10" t="s">
        <v>2849</v>
      </c>
      <c r="AA306" s="10" t="s">
        <v>23</v>
      </c>
      <c r="AB306" s="10" t="s">
        <v>2843</v>
      </c>
    </row>
    <row r="307" spans="1:28">
      <c r="A307" s="10" t="s">
        <v>790</v>
      </c>
      <c r="B307" s="11" t="s">
        <v>290</v>
      </c>
      <c r="C307" s="11" t="s">
        <v>437</v>
      </c>
      <c r="D307" s="12">
        <v>22</v>
      </c>
      <c r="E307" s="11" t="s">
        <v>442</v>
      </c>
      <c r="F307" s="14" t="str">
        <f>_xlfn.XLOOKUP(E307,Profession!$B$2:$B$15,Profession!$A$2:$A$15,"Not Found")</f>
        <v>P002</v>
      </c>
      <c r="G307" s="11" t="s">
        <v>419</v>
      </c>
      <c r="H307" s="10" t="str">
        <f>_xlfn.XLOOKUP(G307,Region!$B$2:$B$16,Region!$A$2:$A$16,"Not Found")</f>
        <v>R001</v>
      </c>
      <c r="I307" s="10" t="s">
        <v>420</v>
      </c>
      <c r="J307" s="10" t="s">
        <v>420</v>
      </c>
      <c r="K307" s="10" t="s">
        <v>435</v>
      </c>
      <c r="L307" s="10" t="s">
        <v>1058</v>
      </c>
      <c r="M307" s="16" t="s">
        <v>436</v>
      </c>
      <c r="N307" s="10" t="s">
        <v>138</v>
      </c>
      <c r="O307" s="16" t="s">
        <v>444</v>
      </c>
      <c r="P307" s="11" t="s">
        <v>422</v>
      </c>
      <c r="Q307" s="11" t="s">
        <v>1061</v>
      </c>
      <c r="R307" s="11" t="s">
        <v>1068</v>
      </c>
      <c r="S307" s="10" t="s">
        <v>62</v>
      </c>
      <c r="T307" s="81">
        <v>6</v>
      </c>
      <c r="U307" s="10" t="s">
        <v>420</v>
      </c>
      <c r="V307" s="10" t="s">
        <v>2277</v>
      </c>
      <c r="X307" s="15">
        <v>6</v>
      </c>
      <c r="Y307" s="10" t="s">
        <v>100</v>
      </c>
      <c r="Z307" s="10" t="s">
        <v>2849</v>
      </c>
      <c r="AA307" s="10" t="s">
        <v>37</v>
      </c>
      <c r="AB307" s="10" t="s">
        <v>2844</v>
      </c>
    </row>
    <row r="308" spans="1:28">
      <c r="A308" s="10" t="s">
        <v>791</v>
      </c>
      <c r="B308" s="11" t="s">
        <v>291</v>
      </c>
      <c r="C308" s="11" t="s">
        <v>437</v>
      </c>
      <c r="D308" s="12">
        <v>23</v>
      </c>
      <c r="E308" s="11" t="s">
        <v>462</v>
      </c>
      <c r="F308" s="14" t="str">
        <f>_xlfn.XLOOKUP(E308,Profession!$B$2:$B$15,Profession!$A$2:$A$15,"Not Found")</f>
        <v>P008</v>
      </c>
      <c r="G308" s="11" t="s">
        <v>1112</v>
      </c>
      <c r="H308" s="10" t="str">
        <f>_xlfn.XLOOKUP(G308,Region!$B$2:$B$16,Region!$A$2:$A$16,"Not Found")</f>
        <v>R008</v>
      </c>
      <c r="I308" s="10" t="s">
        <v>420</v>
      </c>
      <c r="J308" s="10" t="s">
        <v>420</v>
      </c>
      <c r="K308" s="10" t="s">
        <v>431</v>
      </c>
      <c r="L308" s="10" t="s">
        <v>1058</v>
      </c>
      <c r="M308" s="16" t="s">
        <v>422</v>
      </c>
      <c r="N308" s="10" t="s">
        <v>138</v>
      </c>
      <c r="O308" s="16" t="s">
        <v>450</v>
      </c>
      <c r="P308" s="11" t="s">
        <v>422</v>
      </c>
      <c r="Q308" s="11" t="s">
        <v>420</v>
      </c>
      <c r="R308" s="11" t="s">
        <v>107</v>
      </c>
      <c r="S308" s="10" t="s">
        <v>62</v>
      </c>
      <c r="T308" s="81">
        <v>7</v>
      </c>
      <c r="U308" s="10" t="s">
        <v>420</v>
      </c>
      <c r="V308" s="10" t="s">
        <v>450</v>
      </c>
      <c r="X308" s="15">
        <v>5</v>
      </c>
      <c r="Y308" s="10" t="s">
        <v>56</v>
      </c>
      <c r="Z308" s="10" t="s">
        <v>2849</v>
      </c>
      <c r="AA308" s="10" t="s">
        <v>23</v>
      </c>
      <c r="AB308" s="10" t="s">
        <v>2843</v>
      </c>
    </row>
    <row r="309" spans="1:28">
      <c r="A309" s="10" t="s">
        <v>792</v>
      </c>
      <c r="B309" s="11" t="s">
        <v>113</v>
      </c>
      <c r="C309" s="11" t="s">
        <v>437</v>
      </c>
      <c r="D309" s="12">
        <v>24</v>
      </c>
      <c r="E309" s="11" t="s">
        <v>473</v>
      </c>
      <c r="F309" s="14" t="str">
        <f>_xlfn.XLOOKUP(E309,Profession!$B$2:$B$15,Profession!$A$2:$A$15,"Not Found")</f>
        <v>P012</v>
      </c>
      <c r="G309" s="11" t="s">
        <v>1113</v>
      </c>
      <c r="H309" s="10" t="str">
        <f>_xlfn.XLOOKUP(G309,Region!$B$2:$B$16,Region!$A$2:$A$16,"Not Found")</f>
        <v>R012</v>
      </c>
      <c r="I309" s="10" t="s">
        <v>423</v>
      </c>
      <c r="J309" s="10" t="s">
        <v>423</v>
      </c>
      <c r="K309" s="10" t="s">
        <v>435</v>
      </c>
      <c r="L309" s="10" t="s">
        <v>1058</v>
      </c>
      <c r="M309" s="16" t="s">
        <v>422</v>
      </c>
      <c r="N309" s="10" t="s">
        <v>138</v>
      </c>
      <c r="O309" s="16" t="s">
        <v>444</v>
      </c>
      <c r="P309" s="11" t="s">
        <v>422</v>
      </c>
      <c r="Q309" s="11" t="s">
        <v>1061</v>
      </c>
      <c r="R309" s="11" t="s">
        <v>107</v>
      </c>
      <c r="S309" s="10" t="s">
        <v>62</v>
      </c>
      <c r="T309" s="81">
        <v>6</v>
      </c>
      <c r="U309" s="10" t="s">
        <v>420</v>
      </c>
      <c r="V309" s="10" t="s">
        <v>2277</v>
      </c>
      <c r="X309" s="15">
        <v>6</v>
      </c>
      <c r="Y309" s="10" t="s">
        <v>22</v>
      </c>
      <c r="Z309" s="10" t="s">
        <v>2846</v>
      </c>
      <c r="AA309" s="10" t="s">
        <v>23</v>
      </c>
      <c r="AB309" s="10" t="s">
        <v>2842</v>
      </c>
    </row>
    <row r="310" spans="1:28">
      <c r="A310" s="10" t="s">
        <v>793</v>
      </c>
      <c r="B310" s="11" t="s">
        <v>292</v>
      </c>
      <c r="C310" s="11" t="s">
        <v>437</v>
      </c>
      <c r="D310" s="12">
        <v>25</v>
      </c>
      <c r="E310" s="11" t="s">
        <v>1108</v>
      </c>
      <c r="F310" s="14" t="str">
        <f>_xlfn.XLOOKUP(E310,Profession!$B$2:$B$15,Profession!$A$2:$A$15,"Not Found")</f>
        <v>P011</v>
      </c>
      <c r="G310" s="11" t="s">
        <v>419</v>
      </c>
      <c r="H310" s="10" t="str">
        <f>_xlfn.XLOOKUP(G310,Region!$B$2:$B$16,Region!$A$2:$A$16,"Not Found")</f>
        <v>R001</v>
      </c>
      <c r="I310" s="10" t="s">
        <v>420</v>
      </c>
      <c r="J310" s="10" t="s">
        <v>420</v>
      </c>
      <c r="K310" s="10" t="s">
        <v>431</v>
      </c>
      <c r="L310" s="10" t="s">
        <v>1058</v>
      </c>
      <c r="M310" s="16" t="s">
        <v>422</v>
      </c>
      <c r="N310" s="10" t="s">
        <v>138</v>
      </c>
      <c r="O310" s="16" t="s">
        <v>444</v>
      </c>
      <c r="P310" s="11" t="s">
        <v>422</v>
      </c>
      <c r="Q310" s="11" t="s">
        <v>420</v>
      </c>
      <c r="R310" s="11" t="s">
        <v>1070</v>
      </c>
      <c r="S310" s="10" t="s">
        <v>62</v>
      </c>
      <c r="T310" s="81">
        <v>6</v>
      </c>
      <c r="U310" s="10" t="s">
        <v>420</v>
      </c>
      <c r="V310" s="10" t="s">
        <v>2277</v>
      </c>
      <c r="X310" s="15">
        <v>5</v>
      </c>
      <c r="Y310" s="10" t="s">
        <v>58</v>
      </c>
      <c r="Z310" s="10" t="s">
        <v>2849</v>
      </c>
      <c r="AA310" s="10" t="s">
        <v>23</v>
      </c>
      <c r="AB310" s="10" t="s">
        <v>2843</v>
      </c>
    </row>
    <row r="311" spans="1:28">
      <c r="A311" s="10" t="s">
        <v>794</v>
      </c>
      <c r="B311" s="11" t="s">
        <v>293</v>
      </c>
      <c r="C311" s="11" t="s">
        <v>437</v>
      </c>
      <c r="D311" s="12">
        <v>26</v>
      </c>
      <c r="E311" s="11" t="s">
        <v>459</v>
      </c>
      <c r="F311" s="14" t="str">
        <f>_xlfn.XLOOKUP(E311,Profession!$B$2:$B$15,Profession!$A$2:$A$15,"Not Found")</f>
        <v>P007</v>
      </c>
      <c r="G311" s="11" t="s">
        <v>419</v>
      </c>
      <c r="H311" s="10" t="str">
        <f>_xlfn.XLOOKUP(G311,Region!$B$2:$B$16,Region!$A$2:$A$16,"Not Found")</f>
        <v>R001</v>
      </c>
      <c r="I311" s="10" t="s">
        <v>420</v>
      </c>
      <c r="J311" s="10" t="s">
        <v>420</v>
      </c>
      <c r="K311" s="10" t="s">
        <v>421</v>
      </c>
      <c r="L311" s="10" t="s">
        <v>1058</v>
      </c>
      <c r="M311" s="16" t="s">
        <v>422</v>
      </c>
      <c r="N311" s="10" t="s">
        <v>19</v>
      </c>
      <c r="O311" s="16" t="s">
        <v>444</v>
      </c>
      <c r="P311" s="11" t="s">
        <v>422</v>
      </c>
      <c r="Q311" s="11" t="s">
        <v>420</v>
      </c>
      <c r="R311" s="11" t="s">
        <v>1070</v>
      </c>
      <c r="S311" s="10" t="s">
        <v>62</v>
      </c>
      <c r="T311" s="81">
        <v>8</v>
      </c>
      <c r="U311" s="10" t="s">
        <v>420</v>
      </c>
      <c r="V311" s="10" t="s">
        <v>450</v>
      </c>
      <c r="X311" s="15">
        <v>4</v>
      </c>
      <c r="Y311" s="10" t="s">
        <v>36</v>
      </c>
      <c r="Z311" s="10" t="s">
        <v>2849</v>
      </c>
      <c r="AA311" s="10" t="s">
        <v>37</v>
      </c>
      <c r="AB311" s="10" t="s">
        <v>24</v>
      </c>
    </row>
    <row r="312" spans="1:28">
      <c r="A312" s="10" t="s">
        <v>795</v>
      </c>
      <c r="B312" s="11" t="s">
        <v>294</v>
      </c>
      <c r="C312" s="11" t="s">
        <v>437</v>
      </c>
      <c r="D312" s="12">
        <v>27</v>
      </c>
      <c r="E312" s="11" t="s">
        <v>418</v>
      </c>
      <c r="F312" s="14" t="str">
        <f>_xlfn.XLOOKUP(E312,Profession!$B$2:$B$15,Profession!$A$2:$A$15,"Not Found")</f>
        <v>P001</v>
      </c>
      <c r="G312" s="11" t="s">
        <v>1115</v>
      </c>
      <c r="H312" s="10" t="str">
        <f>_xlfn.XLOOKUP(G312,Region!$B$2:$B$16,Region!$A$2:$A$16,"Not Found")</f>
        <v>R002</v>
      </c>
      <c r="I312" s="10" t="s">
        <v>420</v>
      </c>
      <c r="J312" s="10" t="s">
        <v>420</v>
      </c>
      <c r="K312" s="10" t="s">
        <v>435</v>
      </c>
      <c r="L312" s="10" t="s">
        <v>1058</v>
      </c>
      <c r="M312" s="16" t="s">
        <v>432</v>
      </c>
      <c r="N312" s="10" t="s">
        <v>138</v>
      </c>
      <c r="O312" s="16" t="s">
        <v>433</v>
      </c>
      <c r="P312" s="11" t="s">
        <v>422</v>
      </c>
      <c r="Q312" s="11" t="s">
        <v>1061</v>
      </c>
      <c r="R312" s="11" t="s">
        <v>1065</v>
      </c>
      <c r="S312" s="10" t="s">
        <v>62</v>
      </c>
      <c r="T312" s="81">
        <v>8</v>
      </c>
      <c r="U312" s="10" t="s">
        <v>420</v>
      </c>
      <c r="V312" s="10" t="s">
        <v>2277</v>
      </c>
      <c r="X312" s="15">
        <v>5</v>
      </c>
      <c r="Y312" s="10" t="s">
        <v>27</v>
      </c>
      <c r="Z312" s="10" t="s">
        <v>2849</v>
      </c>
      <c r="AA312" s="10" t="s">
        <v>23</v>
      </c>
      <c r="AB312" s="10" t="s">
        <v>2841</v>
      </c>
    </row>
    <row r="313" spans="1:28">
      <c r="A313" s="10" t="s">
        <v>796</v>
      </c>
      <c r="B313" s="11" t="s">
        <v>295</v>
      </c>
      <c r="C313" s="11" t="s">
        <v>437</v>
      </c>
      <c r="D313" s="12">
        <v>28</v>
      </c>
      <c r="E313" s="11" t="s">
        <v>452</v>
      </c>
      <c r="F313" s="14" t="str">
        <f>_xlfn.XLOOKUP(E313,Profession!$B$2:$B$15,Profession!$A$2:$A$15,"Not Found")</f>
        <v>P005</v>
      </c>
      <c r="G313" s="11" t="s">
        <v>453</v>
      </c>
      <c r="H313" s="10" t="str">
        <f>_xlfn.XLOOKUP(G313,Region!$B$2:$B$16,Region!$A$2:$A$16,"Not Found")</f>
        <v>R005</v>
      </c>
      <c r="I313" s="10" t="s">
        <v>420</v>
      </c>
      <c r="J313" s="10" t="s">
        <v>420</v>
      </c>
      <c r="K313" s="10" t="s">
        <v>434</v>
      </c>
      <c r="L313" s="10" t="s">
        <v>1058</v>
      </c>
      <c r="M313" s="16" t="s">
        <v>422</v>
      </c>
      <c r="N313" s="10" t="s">
        <v>105</v>
      </c>
      <c r="O313" s="16" t="s">
        <v>433</v>
      </c>
      <c r="P313" s="11" t="s">
        <v>422</v>
      </c>
      <c r="Q313" s="11" t="s">
        <v>434</v>
      </c>
      <c r="R313" s="11" t="s">
        <v>1068</v>
      </c>
      <c r="S313" s="10" t="s">
        <v>62</v>
      </c>
      <c r="T313" s="81">
        <v>7</v>
      </c>
      <c r="U313" s="10" t="s">
        <v>2272</v>
      </c>
      <c r="V313" s="10" t="s">
        <v>450</v>
      </c>
      <c r="X313" s="15">
        <v>5</v>
      </c>
      <c r="Y313" s="10" t="s">
        <v>40</v>
      </c>
      <c r="Z313" s="10" t="s">
        <v>2280</v>
      </c>
      <c r="AA313" s="10" t="s">
        <v>37</v>
      </c>
      <c r="AB313" s="10" t="s">
        <v>24</v>
      </c>
    </row>
    <row r="314" spans="1:28">
      <c r="A314" s="10" t="s">
        <v>797</v>
      </c>
      <c r="B314" s="11" t="s">
        <v>132</v>
      </c>
      <c r="C314" s="11" t="s">
        <v>437</v>
      </c>
      <c r="D314" s="12">
        <v>29</v>
      </c>
      <c r="E314" s="11" t="s">
        <v>465</v>
      </c>
      <c r="F314" s="14" t="str">
        <f>_xlfn.XLOOKUP(E314,Profession!$B$2:$B$15,Profession!$A$2:$A$15,"Not Found")</f>
        <v>P010</v>
      </c>
      <c r="G314" s="11" t="s">
        <v>467</v>
      </c>
      <c r="H314" s="10" t="str">
        <f>_xlfn.XLOOKUP(G314,Region!$B$2:$B$16,Region!$A$2:$A$16,"Not Found")</f>
        <v>R009</v>
      </c>
      <c r="I314" s="10" t="s">
        <v>420</v>
      </c>
      <c r="J314" s="10" t="s">
        <v>420</v>
      </c>
      <c r="K314" s="10" t="s">
        <v>434</v>
      </c>
      <c r="L314" s="10" t="s">
        <v>1058</v>
      </c>
      <c r="M314" s="16" t="s">
        <v>422</v>
      </c>
      <c r="N314" s="10" t="s">
        <v>138</v>
      </c>
      <c r="O314" s="16" t="s">
        <v>444</v>
      </c>
      <c r="P314" s="11" t="s">
        <v>422</v>
      </c>
      <c r="Q314" s="11" t="s">
        <v>420</v>
      </c>
      <c r="R314" s="11" t="s">
        <v>1070</v>
      </c>
      <c r="S314" s="10" t="s">
        <v>62</v>
      </c>
      <c r="T314" s="81">
        <v>6</v>
      </c>
      <c r="U314" s="10" t="s">
        <v>420</v>
      </c>
      <c r="V314" s="10" t="s">
        <v>2277</v>
      </c>
      <c r="X314" s="15">
        <v>4</v>
      </c>
      <c r="Y314" s="10" t="s">
        <v>56</v>
      </c>
      <c r="Z314" s="10" t="s">
        <v>2849</v>
      </c>
      <c r="AA314" s="10" t="s">
        <v>23</v>
      </c>
      <c r="AB314" s="10" t="s">
        <v>2843</v>
      </c>
    </row>
    <row r="315" spans="1:28">
      <c r="A315" s="10" t="s">
        <v>798</v>
      </c>
      <c r="B315" s="11" t="s">
        <v>296</v>
      </c>
      <c r="C315" s="11" t="s">
        <v>437</v>
      </c>
      <c r="D315" s="12">
        <v>30</v>
      </c>
      <c r="E315" s="11" t="s">
        <v>448</v>
      </c>
      <c r="F315" s="14" t="str">
        <f>_xlfn.XLOOKUP(E315,Profession!$B$2:$B$15,Profession!$A$2:$A$15,"Not Found")</f>
        <v>P004</v>
      </c>
      <c r="G315" s="11" t="s">
        <v>1111</v>
      </c>
      <c r="H315" s="10" t="str">
        <f>_xlfn.XLOOKUP(G315,Region!$B$2:$B$16,Region!$A$2:$A$16,"Not Found")</f>
        <v>R004</v>
      </c>
      <c r="I315" s="10" t="s">
        <v>420</v>
      </c>
      <c r="J315" s="10" t="s">
        <v>420</v>
      </c>
      <c r="K315" s="10" t="s">
        <v>431</v>
      </c>
      <c r="L315" s="10" t="s">
        <v>1057</v>
      </c>
      <c r="M315" s="16" t="s">
        <v>432</v>
      </c>
      <c r="N315" s="10" t="s">
        <v>138</v>
      </c>
      <c r="O315" s="16" t="s">
        <v>444</v>
      </c>
      <c r="P315" s="11" t="s">
        <v>422</v>
      </c>
      <c r="Q315" s="11" t="s">
        <v>420</v>
      </c>
      <c r="R315" s="11" t="s">
        <v>1070</v>
      </c>
      <c r="S315" s="10" t="s">
        <v>62</v>
      </c>
      <c r="T315" s="81">
        <v>8</v>
      </c>
      <c r="U315" s="10" t="s">
        <v>420</v>
      </c>
      <c r="V315" s="10" t="s">
        <v>450</v>
      </c>
      <c r="X315" s="15">
        <v>4</v>
      </c>
      <c r="Y315" s="10" t="s">
        <v>56</v>
      </c>
      <c r="Z315" s="10" t="s">
        <v>2849</v>
      </c>
      <c r="AA315" s="10" t="s">
        <v>23</v>
      </c>
      <c r="AB315" s="10" t="s">
        <v>46</v>
      </c>
    </row>
    <row r="316" spans="1:28">
      <c r="A316" s="10" t="s">
        <v>799</v>
      </c>
      <c r="B316" s="11" t="s">
        <v>297</v>
      </c>
      <c r="C316" s="11" t="s">
        <v>437</v>
      </c>
      <c r="D316" s="12">
        <v>31</v>
      </c>
      <c r="E316" s="11" t="s">
        <v>448</v>
      </c>
      <c r="F316" s="14" t="str">
        <f>_xlfn.XLOOKUP(E316,Profession!$B$2:$B$15,Profession!$A$2:$A$15,"Not Found")</f>
        <v>P004</v>
      </c>
      <c r="G316" s="11" t="s">
        <v>1111</v>
      </c>
      <c r="H316" s="10" t="str">
        <f>_xlfn.XLOOKUP(G316,Region!$B$2:$B$16,Region!$A$2:$A$16,"Not Found")</f>
        <v>R004</v>
      </c>
      <c r="I316" s="10" t="s">
        <v>420</v>
      </c>
      <c r="J316" s="10" t="s">
        <v>420</v>
      </c>
      <c r="K316" s="10" t="s">
        <v>431</v>
      </c>
      <c r="L316" s="10" t="s">
        <v>1058</v>
      </c>
      <c r="M316" s="16" t="s">
        <v>432</v>
      </c>
      <c r="N316" s="10" t="s">
        <v>138</v>
      </c>
      <c r="O316" s="16" t="s">
        <v>450</v>
      </c>
      <c r="P316" s="11" t="s">
        <v>422</v>
      </c>
      <c r="Q316" s="11" t="s">
        <v>420</v>
      </c>
      <c r="R316" s="11" t="s">
        <v>107</v>
      </c>
      <c r="S316" s="10" t="s">
        <v>62</v>
      </c>
      <c r="T316" s="81">
        <v>7</v>
      </c>
      <c r="U316" s="10" t="s">
        <v>420</v>
      </c>
      <c r="V316" s="10" t="s">
        <v>450</v>
      </c>
      <c r="X316" s="15">
        <v>4</v>
      </c>
      <c r="Y316" s="10" t="s">
        <v>56</v>
      </c>
      <c r="Z316" s="10" t="s">
        <v>2849</v>
      </c>
      <c r="AA316" s="10" t="s">
        <v>23</v>
      </c>
      <c r="AB316" s="10" t="s">
        <v>46</v>
      </c>
    </row>
    <row r="317" spans="1:28">
      <c r="A317" s="10" t="s">
        <v>800</v>
      </c>
      <c r="B317" s="11" t="s">
        <v>298</v>
      </c>
      <c r="C317" s="11" t="s">
        <v>437</v>
      </c>
      <c r="D317" s="12">
        <v>32</v>
      </c>
      <c r="E317" s="11" t="s">
        <v>465</v>
      </c>
      <c r="F317" s="14" t="str">
        <f>_xlfn.XLOOKUP(E317,Profession!$B$2:$B$15,Profession!$A$2:$A$15,"Not Found")</f>
        <v>P010</v>
      </c>
      <c r="G317" s="11" t="s">
        <v>419</v>
      </c>
      <c r="H317" s="10" t="str">
        <f>_xlfn.XLOOKUP(G317,Region!$B$2:$B$16,Region!$A$2:$A$16,"Not Found")</f>
        <v>R001</v>
      </c>
      <c r="I317" s="10" t="s">
        <v>423</v>
      </c>
      <c r="J317" s="10" t="s">
        <v>423</v>
      </c>
      <c r="K317" s="10" t="s">
        <v>434</v>
      </c>
      <c r="L317" s="10" t="s">
        <v>1058</v>
      </c>
      <c r="M317" s="16" t="s">
        <v>422</v>
      </c>
      <c r="N317" s="10" t="s">
        <v>138</v>
      </c>
      <c r="O317" s="16" t="s">
        <v>444</v>
      </c>
      <c r="P317" s="11" t="s">
        <v>422</v>
      </c>
      <c r="Q317" s="11" t="s">
        <v>420</v>
      </c>
      <c r="R317" s="11" t="s">
        <v>1065</v>
      </c>
      <c r="S317" s="10" t="s">
        <v>62</v>
      </c>
      <c r="T317" s="81">
        <v>8</v>
      </c>
      <c r="U317" s="10" t="s">
        <v>420</v>
      </c>
      <c r="V317" s="10" t="s">
        <v>450</v>
      </c>
      <c r="X317" s="15">
        <v>7</v>
      </c>
      <c r="Y317" s="10" t="s">
        <v>100</v>
      </c>
      <c r="Z317" s="10" t="s">
        <v>2849</v>
      </c>
      <c r="AA317" s="10" t="s">
        <v>23</v>
      </c>
      <c r="AB317" s="10" t="s">
        <v>2843</v>
      </c>
    </row>
    <row r="318" spans="1:28">
      <c r="A318" s="10" t="s">
        <v>801</v>
      </c>
      <c r="B318" s="11" t="s">
        <v>299</v>
      </c>
      <c r="C318" s="11" t="s">
        <v>437</v>
      </c>
      <c r="D318" s="12">
        <v>33</v>
      </c>
      <c r="E318" s="11" t="s">
        <v>462</v>
      </c>
      <c r="F318" s="14" t="str">
        <f>_xlfn.XLOOKUP(E318,Profession!$B$2:$B$15,Profession!$A$2:$A$15,"Not Found")</f>
        <v>P008</v>
      </c>
      <c r="G318" s="11" t="s">
        <v>464</v>
      </c>
      <c r="H318" s="10" t="str">
        <f>_xlfn.XLOOKUP(G318,Region!$B$2:$B$16,Region!$A$2:$A$16,"Not Found")</f>
        <v>R007</v>
      </c>
      <c r="I318" s="10" t="s">
        <v>423</v>
      </c>
      <c r="J318" s="10" t="s">
        <v>423</v>
      </c>
      <c r="K318" s="10" t="s">
        <v>435</v>
      </c>
      <c r="L318" s="10" t="s">
        <v>1058</v>
      </c>
      <c r="M318" s="16" t="s">
        <v>436</v>
      </c>
      <c r="N318" s="10" t="s">
        <v>138</v>
      </c>
      <c r="O318" s="16" t="s">
        <v>450</v>
      </c>
      <c r="P318" s="11" t="s">
        <v>422</v>
      </c>
      <c r="Q318" s="11" t="s">
        <v>420</v>
      </c>
      <c r="R318" s="11" t="s">
        <v>107</v>
      </c>
      <c r="S318" s="10" t="s">
        <v>62</v>
      </c>
      <c r="T318" s="81">
        <v>5</v>
      </c>
      <c r="U318" s="10" t="s">
        <v>2275</v>
      </c>
      <c r="V318" s="10" t="s">
        <v>450</v>
      </c>
      <c r="X318" s="15">
        <v>5</v>
      </c>
      <c r="Y318" s="10" t="s">
        <v>54</v>
      </c>
      <c r="Z318" s="10" t="s">
        <v>2849</v>
      </c>
      <c r="AA318" s="10" t="s">
        <v>23</v>
      </c>
      <c r="AB318" s="10" t="s">
        <v>2844</v>
      </c>
    </row>
    <row r="319" spans="1:28">
      <c r="A319" s="10" t="s">
        <v>802</v>
      </c>
      <c r="B319" s="11" t="s">
        <v>300</v>
      </c>
      <c r="C319" s="11" t="s">
        <v>437</v>
      </c>
      <c r="D319" s="12">
        <v>34</v>
      </c>
      <c r="E319" s="11" t="s">
        <v>473</v>
      </c>
      <c r="F319" s="14" t="str">
        <f>_xlfn.XLOOKUP(E319,Profession!$B$2:$B$15,Profession!$A$2:$A$15,"Not Found")</f>
        <v>P012</v>
      </c>
      <c r="G319" s="11" t="s">
        <v>419</v>
      </c>
      <c r="H319" s="10" t="str">
        <f>_xlfn.XLOOKUP(G319,Region!$B$2:$B$16,Region!$A$2:$A$16,"Not Found")</f>
        <v>R001</v>
      </c>
      <c r="I319" s="10" t="s">
        <v>423</v>
      </c>
      <c r="J319" s="10" t="s">
        <v>423</v>
      </c>
      <c r="K319" s="10" t="s">
        <v>434</v>
      </c>
      <c r="L319" s="10" t="s">
        <v>1058</v>
      </c>
      <c r="M319" s="16" t="s">
        <v>432</v>
      </c>
      <c r="N319" s="10" t="s">
        <v>138</v>
      </c>
      <c r="O319" s="16" t="s">
        <v>444</v>
      </c>
      <c r="P319" s="11" t="s">
        <v>422</v>
      </c>
      <c r="Q319" s="11" t="s">
        <v>420</v>
      </c>
      <c r="R319" s="11" t="s">
        <v>107</v>
      </c>
      <c r="S319" s="10" t="s">
        <v>62</v>
      </c>
      <c r="T319" s="81">
        <v>7</v>
      </c>
      <c r="U319" s="10" t="s">
        <v>420</v>
      </c>
      <c r="V319" s="10" t="s">
        <v>450</v>
      </c>
      <c r="X319" s="15">
        <v>5</v>
      </c>
      <c r="Y319" s="10" t="s">
        <v>87</v>
      </c>
      <c r="Z319" s="10" t="s">
        <v>2848</v>
      </c>
      <c r="AA319" s="10" t="s">
        <v>23</v>
      </c>
      <c r="AB319" s="10" t="s">
        <v>149</v>
      </c>
    </row>
    <row r="320" spans="1:28">
      <c r="A320" s="10" t="s">
        <v>803</v>
      </c>
      <c r="B320" s="11" t="s">
        <v>301</v>
      </c>
      <c r="C320" s="11" t="s">
        <v>437</v>
      </c>
      <c r="D320" s="12">
        <v>35</v>
      </c>
      <c r="E320" s="11" t="s">
        <v>452</v>
      </c>
      <c r="F320" s="14" t="str">
        <f>_xlfn.XLOOKUP(E320,Profession!$B$2:$B$15,Profession!$A$2:$A$15,"Not Found")</f>
        <v>P005</v>
      </c>
      <c r="G320" s="11" t="s">
        <v>455</v>
      </c>
      <c r="H320" s="10" t="str">
        <f>_xlfn.XLOOKUP(G320,Region!$B$2:$B$16,Region!$A$2:$A$16,"Not Found")</f>
        <v>R006</v>
      </c>
      <c r="I320" s="10" t="s">
        <v>420</v>
      </c>
      <c r="J320" s="10" t="s">
        <v>420</v>
      </c>
      <c r="K320" s="10" t="s">
        <v>434</v>
      </c>
      <c r="L320" s="10" t="s">
        <v>1058</v>
      </c>
      <c r="M320" s="16" t="s">
        <v>422</v>
      </c>
      <c r="N320" s="10" t="s">
        <v>106</v>
      </c>
      <c r="O320" s="16" t="s">
        <v>436</v>
      </c>
      <c r="P320" s="11" t="s">
        <v>422</v>
      </c>
      <c r="Q320" s="11" t="s">
        <v>435</v>
      </c>
      <c r="R320" s="11" t="s">
        <v>1071</v>
      </c>
      <c r="S320" s="10" t="s">
        <v>62</v>
      </c>
      <c r="T320" s="81">
        <v>6</v>
      </c>
      <c r="U320" s="10" t="s">
        <v>420</v>
      </c>
      <c r="V320" s="10" t="s">
        <v>2277</v>
      </c>
      <c r="X320" s="15">
        <v>8</v>
      </c>
      <c r="Y320" s="10" t="s">
        <v>42</v>
      </c>
      <c r="Z320" s="10" t="s">
        <v>2849</v>
      </c>
      <c r="AA320" s="10" t="s">
        <v>43</v>
      </c>
      <c r="AB320" s="10" t="s">
        <v>46</v>
      </c>
    </row>
    <row r="321" spans="1:28">
      <c r="A321" s="10" t="s">
        <v>804</v>
      </c>
      <c r="B321" s="11" t="s">
        <v>302</v>
      </c>
      <c r="C321" s="11" t="s">
        <v>437</v>
      </c>
      <c r="D321" s="12">
        <v>36</v>
      </c>
      <c r="E321" s="11" t="s">
        <v>452</v>
      </c>
      <c r="F321" s="14" t="str">
        <f>_xlfn.XLOOKUP(E321,Profession!$B$2:$B$15,Profession!$A$2:$A$15,"Not Found")</f>
        <v>P005</v>
      </c>
      <c r="G321" s="11" t="s">
        <v>1115</v>
      </c>
      <c r="H321" s="10" t="str">
        <f>_xlfn.XLOOKUP(G321,Region!$B$2:$B$16,Region!$A$2:$A$16,"Not Found")</f>
        <v>R002</v>
      </c>
      <c r="I321" s="10" t="s">
        <v>420</v>
      </c>
      <c r="J321" s="10" t="s">
        <v>420</v>
      </c>
      <c r="K321" s="10" t="s">
        <v>435</v>
      </c>
      <c r="L321" s="10" t="s">
        <v>1058</v>
      </c>
      <c r="M321" s="16" t="s">
        <v>429</v>
      </c>
      <c r="N321" s="10" t="s">
        <v>64</v>
      </c>
      <c r="O321" s="16" t="s">
        <v>433</v>
      </c>
      <c r="P321" s="11" t="s">
        <v>422</v>
      </c>
      <c r="Q321" s="11" t="s">
        <v>420</v>
      </c>
      <c r="R321" s="11" t="s">
        <v>1072</v>
      </c>
      <c r="S321" s="10" t="s">
        <v>2885</v>
      </c>
      <c r="T321" s="81">
        <v>6</v>
      </c>
      <c r="U321" s="10" t="s">
        <v>2273</v>
      </c>
      <c r="V321" s="10" t="s">
        <v>2277</v>
      </c>
      <c r="X321" s="15">
        <v>3</v>
      </c>
      <c r="Y321" s="10" t="s">
        <v>45</v>
      </c>
      <c r="Z321" s="10" t="s">
        <v>2849</v>
      </c>
      <c r="AA321" s="10" t="s">
        <v>37</v>
      </c>
      <c r="AB321" s="10" t="s">
        <v>149</v>
      </c>
    </row>
    <row r="322" spans="1:28">
      <c r="A322" s="10" t="s">
        <v>805</v>
      </c>
      <c r="B322" s="11" t="s">
        <v>303</v>
      </c>
      <c r="C322" s="11" t="s">
        <v>437</v>
      </c>
      <c r="D322" s="12">
        <v>37</v>
      </c>
      <c r="E322" s="11" t="s">
        <v>442</v>
      </c>
      <c r="F322" s="14" t="str">
        <f>_xlfn.XLOOKUP(E322,Profession!$B$2:$B$15,Profession!$A$2:$A$15,"Not Found")</f>
        <v>P002</v>
      </c>
      <c r="G322" s="11" t="s">
        <v>419</v>
      </c>
      <c r="H322" s="10" t="str">
        <f>_xlfn.XLOOKUP(G322,Region!$B$2:$B$16,Region!$A$2:$A$16,"Not Found")</f>
        <v>R001</v>
      </c>
      <c r="I322" s="10" t="s">
        <v>420</v>
      </c>
      <c r="J322" s="10" t="s">
        <v>420</v>
      </c>
      <c r="K322" s="10" t="s">
        <v>426</v>
      </c>
      <c r="L322" s="10" t="s">
        <v>1058</v>
      </c>
      <c r="M322" s="16" t="s">
        <v>422</v>
      </c>
      <c r="N322" s="10" t="s">
        <v>102</v>
      </c>
      <c r="O322" s="16" t="s">
        <v>426</v>
      </c>
      <c r="P322" s="11" t="s">
        <v>1059</v>
      </c>
      <c r="Q322" s="11" t="s">
        <v>422</v>
      </c>
      <c r="R322" s="11" t="s">
        <v>1062</v>
      </c>
      <c r="S322" s="10" t="s">
        <v>2884</v>
      </c>
      <c r="T322" s="81">
        <v>6.3008333333333297</v>
      </c>
      <c r="U322" s="10" t="s">
        <v>420</v>
      </c>
      <c r="V322" s="10" t="s">
        <v>2277</v>
      </c>
      <c r="X322" s="15">
        <v>4</v>
      </c>
      <c r="Y322" s="10" t="s">
        <v>36</v>
      </c>
      <c r="Z322" s="10" t="s">
        <v>2849</v>
      </c>
      <c r="AA322" s="10" t="s">
        <v>23</v>
      </c>
      <c r="AB322" s="10" t="s">
        <v>2843</v>
      </c>
    </row>
    <row r="323" spans="1:28">
      <c r="A323" s="10" t="s">
        <v>806</v>
      </c>
      <c r="B323" s="11" t="s">
        <v>131</v>
      </c>
      <c r="C323" s="11" t="s">
        <v>437</v>
      </c>
      <c r="D323" s="12">
        <v>38</v>
      </c>
      <c r="E323" s="11" t="s">
        <v>465</v>
      </c>
      <c r="F323" s="14" t="str">
        <f>_xlfn.XLOOKUP(E323,Profession!$B$2:$B$15,Profession!$A$2:$A$15,"Not Found")</f>
        <v>P010</v>
      </c>
      <c r="G323" s="11" t="s">
        <v>108</v>
      </c>
      <c r="H323" s="10" t="str">
        <f>_xlfn.XLOOKUP(G323,Region!$B$2:$B$16,Region!$A$2:$A$16,"Not Found")</f>
        <v>R010</v>
      </c>
      <c r="I323" s="10" t="s">
        <v>420</v>
      </c>
      <c r="J323" s="10" t="s">
        <v>420</v>
      </c>
      <c r="K323" s="10" t="s">
        <v>435</v>
      </c>
      <c r="L323" s="10" t="s">
        <v>1058</v>
      </c>
      <c r="M323" s="16" t="s">
        <v>422</v>
      </c>
      <c r="N323" s="10" t="s">
        <v>138</v>
      </c>
      <c r="O323" s="16" t="s">
        <v>450</v>
      </c>
      <c r="P323" s="11" t="s">
        <v>422</v>
      </c>
      <c r="Q323" s="11" t="s">
        <v>420</v>
      </c>
      <c r="R323" s="11" t="s">
        <v>107</v>
      </c>
      <c r="S323" s="10" t="s">
        <v>62</v>
      </c>
      <c r="T323" s="81">
        <v>7</v>
      </c>
      <c r="U323" s="10" t="s">
        <v>420</v>
      </c>
      <c r="V323" s="10" t="s">
        <v>450</v>
      </c>
      <c r="X323" s="15">
        <v>7</v>
      </c>
      <c r="Y323" s="10" t="s">
        <v>19</v>
      </c>
      <c r="Z323" s="10" t="s">
        <v>2849</v>
      </c>
      <c r="AA323" s="10" t="s">
        <v>23</v>
      </c>
      <c r="AB323" s="10" t="s">
        <v>2841</v>
      </c>
    </row>
    <row r="324" spans="1:28">
      <c r="A324" s="10" t="s">
        <v>807</v>
      </c>
      <c r="B324" s="11" t="s">
        <v>130</v>
      </c>
      <c r="C324" s="11" t="s">
        <v>437</v>
      </c>
      <c r="D324" s="12">
        <v>39</v>
      </c>
      <c r="E324" s="11" t="s">
        <v>458</v>
      </c>
      <c r="F324" s="14" t="str">
        <f>_xlfn.XLOOKUP(E324,Profession!$B$2:$B$15,Profession!$A$2:$A$15,"Not Found")</f>
        <v>P006</v>
      </c>
      <c r="G324" s="11" t="s">
        <v>1115</v>
      </c>
      <c r="H324" s="10" t="str">
        <f>_xlfn.XLOOKUP(G324,Region!$B$2:$B$16,Region!$A$2:$A$16,"Not Found")</f>
        <v>R002</v>
      </c>
      <c r="I324" s="10" t="s">
        <v>420</v>
      </c>
      <c r="J324" s="10" t="s">
        <v>420</v>
      </c>
      <c r="K324" s="10" t="s">
        <v>434</v>
      </c>
      <c r="L324" s="10" t="s">
        <v>1058</v>
      </c>
      <c r="M324" s="16" t="s">
        <v>432</v>
      </c>
      <c r="N324" s="10" t="s">
        <v>64</v>
      </c>
      <c r="O324" s="16" t="s">
        <v>433</v>
      </c>
      <c r="P324" s="11" t="s">
        <v>422</v>
      </c>
      <c r="Q324" s="11" t="s">
        <v>1061</v>
      </c>
      <c r="R324" s="11" t="s">
        <v>1065</v>
      </c>
      <c r="S324" s="10" t="s">
        <v>62</v>
      </c>
      <c r="T324" s="81">
        <v>6</v>
      </c>
      <c r="U324" s="10" t="s">
        <v>2274</v>
      </c>
      <c r="V324" s="10" t="s">
        <v>450</v>
      </c>
      <c r="X324" s="15">
        <v>3</v>
      </c>
      <c r="Y324" s="10" t="s">
        <v>49</v>
      </c>
      <c r="Z324" s="10" t="s">
        <v>2849</v>
      </c>
      <c r="AA324" s="10" t="s">
        <v>37</v>
      </c>
      <c r="AB324" s="10" t="s">
        <v>46</v>
      </c>
    </row>
    <row r="325" spans="1:28">
      <c r="A325" s="10" t="s">
        <v>808</v>
      </c>
      <c r="B325" s="11" t="s">
        <v>304</v>
      </c>
      <c r="C325" s="11" t="s">
        <v>437</v>
      </c>
      <c r="D325" s="12">
        <v>40</v>
      </c>
      <c r="E325" s="11" t="s">
        <v>1054</v>
      </c>
      <c r="F325" s="14" t="str">
        <f>_xlfn.XLOOKUP(E325,Profession!$B$2:$B$15,Profession!$A$2:$A$15,"Not Found")</f>
        <v>P013</v>
      </c>
      <c r="G325" s="11" t="s">
        <v>1110</v>
      </c>
      <c r="H325" s="10" t="str">
        <f>_xlfn.XLOOKUP(G325,Region!$B$2:$B$16,Region!$A$2:$A$16,"Not Found")</f>
        <v>R013</v>
      </c>
      <c r="I325" s="10" t="s">
        <v>420</v>
      </c>
      <c r="J325" s="10" t="s">
        <v>420</v>
      </c>
      <c r="K325" s="10" t="s">
        <v>435</v>
      </c>
      <c r="L325" s="10" t="s">
        <v>1058</v>
      </c>
      <c r="M325" s="16" t="s">
        <v>422</v>
      </c>
      <c r="N325" s="10" t="s">
        <v>138</v>
      </c>
      <c r="O325" s="16" t="s">
        <v>433</v>
      </c>
      <c r="P325" s="11" t="s">
        <v>435</v>
      </c>
      <c r="Q325" s="11" t="s">
        <v>420</v>
      </c>
      <c r="R325" s="11" t="s">
        <v>1067</v>
      </c>
      <c r="S325" s="10" t="s">
        <v>62</v>
      </c>
      <c r="T325" s="81">
        <v>6</v>
      </c>
      <c r="U325" s="10" t="s">
        <v>420</v>
      </c>
      <c r="V325" s="10" t="s">
        <v>450</v>
      </c>
      <c r="X325" s="15">
        <v>6</v>
      </c>
      <c r="Y325" s="10" t="s">
        <v>75</v>
      </c>
      <c r="Z325" s="10" t="s">
        <v>2847</v>
      </c>
      <c r="AA325" s="10" t="s">
        <v>70</v>
      </c>
      <c r="AB325" s="10" t="s">
        <v>149</v>
      </c>
    </row>
    <row r="326" spans="1:28">
      <c r="A326" s="10" t="s">
        <v>809</v>
      </c>
      <c r="B326" s="11" t="s">
        <v>305</v>
      </c>
      <c r="C326" s="11" t="s">
        <v>437</v>
      </c>
      <c r="D326" s="12">
        <v>41</v>
      </c>
      <c r="E326" s="11" t="s">
        <v>446</v>
      </c>
      <c r="F326" s="14" t="str">
        <f>_xlfn.XLOOKUP(E326,Profession!$B$2:$B$15,Profession!$A$2:$A$15,"Not Found")</f>
        <v>P003</v>
      </c>
      <c r="G326" s="11" t="s">
        <v>104</v>
      </c>
      <c r="H326" s="10" t="str">
        <f>_xlfn.XLOOKUP(G326,Region!$B$2:$B$16,Region!$A$2:$A$16,"Not Found")</f>
        <v>R003</v>
      </c>
      <c r="I326" s="10" t="s">
        <v>420</v>
      </c>
      <c r="J326" s="10" t="s">
        <v>420</v>
      </c>
      <c r="K326" s="10" t="s">
        <v>435</v>
      </c>
      <c r="L326" s="10" t="s">
        <v>1058</v>
      </c>
      <c r="M326" s="16" t="s">
        <v>422</v>
      </c>
      <c r="N326" s="10" t="s">
        <v>138</v>
      </c>
      <c r="O326" s="16" t="s">
        <v>433</v>
      </c>
      <c r="P326" s="11" t="s">
        <v>422</v>
      </c>
      <c r="Q326" s="11" t="s">
        <v>420</v>
      </c>
      <c r="R326" s="11" t="s">
        <v>1070</v>
      </c>
      <c r="S326" s="10" t="s">
        <v>62</v>
      </c>
      <c r="T326" s="81">
        <v>8</v>
      </c>
      <c r="U326" s="10" t="s">
        <v>420</v>
      </c>
      <c r="V326" s="10" t="s">
        <v>2277</v>
      </c>
      <c r="X326" s="15">
        <v>5</v>
      </c>
      <c r="Y326" s="10" t="s">
        <v>19</v>
      </c>
      <c r="Z326" s="10" t="s">
        <v>2849</v>
      </c>
      <c r="AA326" s="10" t="s">
        <v>23</v>
      </c>
      <c r="AB326" s="10" t="s">
        <v>28</v>
      </c>
    </row>
    <row r="327" spans="1:28">
      <c r="A327" s="10" t="s">
        <v>810</v>
      </c>
      <c r="B327" s="11" t="s">
        <v>306</v>
      </c>
      <c r="C327" s="11" t="s">
        <v>437</v>
      </c>
      <c r="D327" s="12">
        <v>42</v>
      </c>
      <c r="E327" s="11" t="s">
        <v>1088</v>
      </c>
      <c r="F327" s="14" t="str">
        <f>_xlfn.XLOOKUP(E327,Profession!$B$2:$B$15,Profession!$A$2:$A$15,"Not Found")</f>
        <v>P014</v>
      </c>
      <c r="G327" s="11" t="s">
        <v>1114</v>
      </c>
      <c r="H327" s="10" t="str">
        <f>_xlfn.XLOOKUP(G327,Region!$B$2:$B$16,Region!$A$2:$A$16,"Not Found")</f>
        <v>R014</v>
      </c>
      <c r="I327" s="10" t="s">
        <v>420</v>
      </c>
      <c r="J327" s="10" t="s">
        <v>420</v>
      </c>
      <c r="K327" s="10" t="s">
        <v>435</v>
      </c>
      <c r="L327" s="10" t="s">
        <v>1058</v>
      </c>
      <c r="M327" s="16" t="s">
        <v>422</v>
      </c>
      <c r="N327" s="10" t="s">
        <v>138</v>
      </c>
      <c r="O327" s="16" t="s">
        <v>433</v>
      </c>
      <c r="P327" s="11" t="s">
        <v>422</v>
      </c>
      <c r="Q327" s="11" t="s">
        <v>1061</v>
      </c>
      <c r="R327" s="11" t="s">
        <v>1067</v>
      </c>
      <c r="S327" s="10" t="s">
        <v>62</v>
      </c>
      <c r="T327" s="81">
        <v>6</v>
      </c>
      <c r="U327" s="10" t="s">
        <v>420</v>
      </c>
      <c r="V327" s="10" t="s">
        <v>450</v>
      </c>
      <c r="X327" s="15">
        <v>6</v>
      </c>
      <c r="Y327" s="10" t="s">
        <v>77</v>
      </c>
      <c r="Z327" s="10" t="s">
        <v>2282</v>
      </c>
      <c r="AA327" s="10" t="s">
        <v>23</v>
      </c>
      <c r="AB327" s="10" t="s">
        <v>46</v>
      </c>
    </row>
    <row r="328" spans="1:28">
      <c r="A328" s="10" t="s">
        <v>811</v>
      </c>
      <c r="B328" s="11" t="s">
        <v>161</v>
      </c>
      <c r="C328" s="11" t="s">
        <v>437</v>
      </c>
      <c r="D328" s="12">
        <v>43</v>
      </c>
      <c r="E328" s="11" t="s">
        <v>1088</v>
      </c>
      <c r="F328" s="14" t="str">
        <f>_xlfn.XLOOKUP(E328,Profession!$B$2:$B$15,Profession!$A$2:$A$15,"Not Found")</f>
        <v>P014</v>
      </c>
      <c r="G328" s="11" t="s">
        <v>477</v>
      </c>
      <c r="H328" s="10" t="str">
        <f>_xlfn.XLOOKUP(G328,Region!$B$2:$B$16,Region!$A$2:$A$16,"Not Found")</f>
        <v>R015</v>
      </c>
      <c r="I328" s="10" t="s">
        <v>420</v>
      </c>
      <c r="J328" s="10" t="s">
        <v>420</v>
      </c>
      <c r="K328" s="10" t="s">
        <v>435</v>
      </c>
      <c r="L328" s="10" t="s">
        <v>1058</v>
      </c>
      <c r="M328" s="16" t="s">
        <v>422</v>
      </c>
      <c r="N328" s="10" t="s">
        <v>138</v>
      </c>
      <c r="O328" s="16" t="s">
        <v>433</v>
      </c>
      <c r="P328" s="11" t="s">
        <v>435</v>
      </c>
      <c r="Q328" s="11" t="s">
        <v>1061</v>
      </c>
      <c r="R328" s="11" t="s">
        <v>1068</v>
      </c>
      <c r="S328" s="10" t="s">
        <v>62</v>
      </c>
      <c r="T328" s="81">
        <v>8</v>
      </c>
      <c r="U328" s="10" t="s">
        <v>420</v>
      </c>
      <c r="V328" s="10" t="s">
        <v>450</v>
      </c>
      <c r="X328" s="15">
        <v>6</v>
      </c>
      <c r="Y328" s="10" t="s">
        <v>36</v>
      </c>
      <c r="Z328" s="10" t="s">
        <v>2849</v>
      </c>
      <c r="AA328" s="10" t="s">
        <v>23</v>
      </c>
      <c r="AB328" s="10" t="s">
        <v>2841</v>
      </c>
    </row>
    <row r="329" spans="1:28">
      <c r="A329" s="10" t="s">
        <v>812</v>
      </c>
      <c r="B329" s="11" t="s">
        <v>307</v>
      </c>
      <c r="C329" s="11" t="s">
        <v>437</v>
      </c>
      <c r="D329" s="12">
        <v>20</v>
      </c>
      <c r="E329" s="11" t="s">
        <v>418</v>
      </c>
      <c r="F329" s="14" t="str">
        <f>_xlfn.XLOOKUP(E329,Profession!$B$2:$B$15,Profession!$A$2:$A$15,"Not Found")</f>
        <v>P001</v>
      </c>
      <c r="G329" s="11" t="s">
        <v>419</v>
      </c>
      <c r="H329" s="10" t="str">
        <f>_xlfn.XLOOKUP(G329,Region!$B$2:$B$16,Region!$A$2:$A$16,"Not Found")</f>
        <v>R001</v>
      </c>
      <c r="I329" s="10" t="s">
        <v>420</v>
      </c>
      <c r="J329" s="10" t="s">
        <v>420</v>
      </c>
      <c r="K329" s="10" t="s">
        <v>435</v>
      </c>
      <c r="L329" s="10" t="s">
        <v>1057</v>
      </c>
      <c r="M329" s="16" t="s">
        <v>422</v>
      </c>
      <c r="N329" s="10" t="s">
        <v>26</v>
      </c>
      <c r="O329" s="16" t="s">
        <v>423</v>
      </c>
      <c r="P329" s="11" t="s">
        <v>1059</v>
      </c>
      <c r="Q329" s="11" t="s">
        <v>422</v>
      </c>
      <c r="R329" s="11" t="s">
        <v>1062</v>
      </c>
      <c r="S329" s="10" t="s">
        <v>2884</v>
      </c>
      <c r="T329" s="81">
        <v>7</v>
      </c>
      <c r="U329" s="10" t="s">
        <v>420</v>
      </c>
      <c r="V329" s="10" t="s">
        <v>2278</v>
      </c>
      <c r="X329" s="15">
        <v>3</v>
      </c>
      <c r="Y329" s="10" t="s">
        <v>27</v>
      </c>
      <c r="Z329" s="10" t="s">
        <v>2849</v>
      </c>
      <c r="AA329" s="10" t="s">
        <v>23</v>
      </c>
      <c r="AB329" s="10" t="s">
        <v>24</v>
      </c>
    </row>
    <row r="330" spans="1:28">
      <c r="A330" s="10" t="s">
        <v>813</v>
      </c>
      <c r="B330" s="11" t="s">
        <v>308</v>
      </c>
      <c r="C330" s="11" t="s">
        <v>437</v>
      </c>
      <c r="D330" s="12">
        <v>21</v>
      </c>
      <c r="E330" s="11" t="s">
        <v>465</v>
      </c>
      <c r="F330" s="14" t="str">
        <f>_xlfn.XLOOKUP(E330,Profession!$B$2:$B$15,Profession!$A$2:$A$15,"Not Found")</f>
        <v>P010</v>
      </c>
      <c r="G330" s="11" t="s">
        <v>1115</v>
      </c>
      <c r="H330" s="10" t="str">
        <f>_xlfn.XLOOKUP(G330,Region!$B$2:$B$16,Region!$A$2:$A$16,"Not Found")</f>
        <v>R002</v>
      </c>
      <c r="I330" s="10" t="s">
        <v>420</v>
      </c>
      <c r="J330" s="10" t="s">
        <v>420</v>
      </c>
      <c r="K330" s="10" t="s">
        <v>421</v>
      </c>
      <c r="L330" s="10" t="s">
        <v>1058</v>
      </c>
      <c r="M330" s="16" t="s">
        <v>422</v>
      </c>
      <c r="N330" s="10" t="s">
        <v>138</v>
      </c>
      <c r="O330" s="16" t="s">
        <v>450</v>
      </c>
      <c r="P330" s="11" t="s">
        <v>422</v>
      </c>
      <c r="Q330" s="11" t="s">
        <v>420</v>
      </c>
      <c r="R330" s="11" t="s">
        <v>1065</v>
      </c>
      <c r="S330" s="10" t="s">
        <v>62</v>
      </c>
      <c r="T330" s="81">
        <v>8</v>
      </c>
      <c r="U330" s="10" t="s">
        <v>420</v>
      </c>
      <c r="V330" s="10" t="s">
        <v>450</v>
      </c>
      <c r="X330" s="15">
        <v>4</v>
      </c>
      <c r="Y330" s="10" t="s">
        <v>56</v>
      </c>
      <c r="Z330" s="10" t="s">
        <v>2849</v>
      </c>
      <c r="AA330" s="10" t="s">
        <v>23</v>
      </c>
      <c r="AB330" s="10" t="s">
        <v>2843</v>
      </c>
    </row>
    <row r="331" spans="1:28">
      <c r="A331" s="10" t="s">
        <v>814</v>
      </c>
      <c r="B331" s="11" t="s">
        <v>309</v>
      </c>
      <c r="C331" s="11" t="s">
        <v>437</v>
      </c>
      <c r="D331" s="12">
        <v>22</v>
      </c>
      <c r="E331" s="11" t="s">
        <v>442</v>
      </c>
      <c r="F331" s="14" t="str">
        <f>_xlfn.XLOOKUP(E331,Profession!$B$2:$B$15,Profession!$A$2:$A$15,"Not Found")</f>
        <v>P002</v>
      </c>
      <c r="G331" s="11" t="s">
        <v>419</v>
      </c>
      <c r="H331" s="10" t="str">
        <f>_xlfn.XLOOKUP(G331,Region!$B$2:$B$16,Region!$A$2:$A$16,"Not Found")</f>
        <v>R001</v>
      </c>
      <c r="I331" s="10" t="s">
        <v>420</v>
      </c>
      <c r="J331" s="10" t="s">
        <v>420</v>
      </c>
      <c r="K331" s="10" t="s">
        <v>435</v>
      </c>
      <c r="L331" s="10" t="s">
        <v>1058</v>
      </c>
      <c r="M331" s="16" t="s">
        <v>436</v>
      </c>
      <c r="N331" s="10" t="s">
        <v>138</v>
      </c>
      <c r="O331" s="16" t="s">
        <v>444</v>
      </c>
      <c r="P331" s="11" t="s">
        <v>422</v>
      </c>
      <c r="Q331" s="11" t="s">
        <v>1061</v>
      </c>
      <c r="R331" s="11" t="s">
        <v>1068</v>
      </c>
      <c r="S331" s="10" t="s">
        <v>62</v>
      </c>
      <c r="T331" s="81">
        <v>6</v>
      </c>
      <c r="U331" s="10" t="s">
        <v>420</v>
      </c>
      <c r="V331" s="10" t="s">
        <v>2277</v>
      </c>
      <c r="X331" s="15">
        <v>6</v>
      </c>
      <c r="Y331" s="10" t="s">
        <v>100</v>
      </c>
      <c r="Z331" s="10" t="s">
        <v>2849</v>
      </c>
      <c r="AA331" s="10" t="s">
        <v>37</v>
      </c>
      <c r="AB331" s="10" t="s">
        <v>2844</v>
      </c>
    </row>
    <row r="332" spans="1:28">
      <c r="A332" s="10" t="s">
        <v>815</v>
      </c>
      <c r="B332" s="11" t="s">
        <v>310</v>
      </c>
      <c r="C332" s="11" t="s">
        <v>437</v>
      </c>
      <c r="D332" s="12">
        <v>23</v>
      </c>
      <c r="E332" s="11" t="s">
        <v>462</v>
      </c>
      <c r="F332" s="14" t="str">
        <f>_xlfn.XLOOKUP(E332,Profession!$B$2:$B$15,Profession!$A$2:$A$15,"Not Found")</f>
        <v>P008</v>
      </c>
      <c r="G332" s="11" t="s">
        <v>1112</v>
      </c>
      <c r="H332" s="10" t="str">
        <f>_xlfn.XLOOKUP(G332,Region!$B$2:$B$16,Region!$A$2:$A$16,"Not Found")</f>
        <v>R008</v>
      </c>
      <c r="I332" s="10" t="s">
        <v>420</v>
      </c>
      <c r="J332" s="10" t="s">
        <v>420</v>
      </c>
      <c r="K332" s="10" t="s">
        <v>431</v>
      </c>
      <c r="L332" s="10" t="s">
        <v>1058</v>
      </c>
      <c r="M332" s="16" t="s">
        <v>422</v>
      </c>
      <c r="N332" s="10" t="s">
        <v>138</v>
      </c>
      <c r="O332" s="16" t="s">
        <v>450</v>
      </c>
      <c r="P332" s="11" t="s">
        <v>422</v>
      </c>
      <c r="Q332" s="11" t="s">
        <v>420</v>
      </c>
      <c r="R332" s="11" t="s">
        <v>107</v>
      </c>
      <c r="S332" s="10" t="s">
        <v>62</v>
      </c>
      <c r="T332" s="81">
        <v>7</v>
      </c>
      <c r="U332" s="10" t="s">
        <v>420</v>
      </c>
      <c r="V332" s="10" t="s">
        <v>450</v>
      </c>
      <c r="X332" s="15">
        <v>5</v>
      </c>
      <c r="Y332" s="10" t="s">
        <v>56</v>
      </c>
      <c r="Z332" s="10" t="s">
        <v>2849</v>
      </c>
      <c r="AA332" s="10" t="s">
        <v>23</v>
      </c>
      <c r="AB332" s="10" t="s">
        <v>2843</v>
      </c>
    </row>
    <row r="333" spans="1:28">
      <c r="A333" s="10" t="s">
        <v>816</v>
      </c>
      <c r="B333" s="11" t="s">
        <v>73</v>
      </c>
      <c r="C333" s="11" t="s">
        <v>437</v>
      </c>
      <c r="D333" s="12">
        <v>24</v>
      </c>
      <c r="E333" s="11" t="s">
        <v>473</v>
      </c>
      <c r="F333" s="14" t="str">
        <f>_xlfn.XLOOKUP(E333,Profession!$B$2:$B$15,Profession!$A$2:$A$15,"Not Found")</f>
        <v>P012</v>
      </c>
      <c r="G333" s="11" t="s">
        <v>1113</v>
      </c>
      <c r="H333" s="10" t="str">
        <f>_xlfn.XLOOKUP(G333,Region!$B$2:$B$16,Region!$A$2:$A$16,"Not Found")</f>
        <v>R012</v>
      </c>
      <c r="I333" s="10" t="s">
        <v>423</v>
      </c>
      <c r="J333" s="10" t="s">
        <v>423</v>
      </c>
      <c r="K333" s="10" t="s">
        <v>435</v>
      </c>
      <c r="L333" s="10" t="s">
        <v>1058</v>
      </c>
      <c r="M333" s="16" t="s">
        <v>422</v>
      </c>
      <c r="N333" s="10" t="s">
        <v>138</v>
      </c>
      <c r="O333" s="16" t="s">
        <v>444</v>
      </c>
      <c r="P333" s="11" t="s">
        <v>422</v>
      </c>
      <c r="Q333" s="11" t="s">
        <v>1061</v>
      </c>
      <c r="R333" s="11" t="s">
        <v>107</v>
      </c>
      <c r="S333" s="10" t="s">
        <v>62</v>
      </c>
      <c r="T333" s="81">
        <v>6</v>
      </c>
      <c r="U333" s="10" t="s">
        <v>420</v>
      </c>
      <c r="V333" s="10" t="s">
        <v>2277</v>
      </c>
      <c r="X333" s="15">
        <v>6</v>
      </c>
      <c r="Y333" s="10" t="s">
        <v>22</v>
      </c>
      <c r="Z333" s="10" t="s">
        <v>2846</v>
      </c>
      <c r="AA333" s="10" t="s">
        <v>23</v>
      </c>
      <c r="AB333" s="10" t="s">
        <v>2842</v>
      </c>
    </row>
    <row r="334" spans="1:28">
      <c r="A334" s="10" t="s">
        <v>817</v>
      </c>
      <c r="B334" s="11" t="s">
        <v>311</v>
      </c>
      <c r="C334" s="11" t="s">
        <v>437</v>
      </c>
      <c r="D334" s="12">
        <v>25</v>
      </c>
      <c r="E334" s="11" t="s">
        <v>1108</v>
      </c>
      <c r="F334" s="14" t="str">
        <f>_xlfn.XLOOKUP(E334,Profession!$B$2:$B$15,Profession!$A$2:$A$15,"Not Found")</f>
        <v>P011</v>
      </c>
      <c r="G334" s="11" t="s">
        <v>419</v>
      </c>
      <c r="H334" s="10" t="str">
        <f>_xlfn.XLOOKUP(G334,Region!$B$2:$B$16,Region!$A$2:$A$16,"Not Found")</f>
        <v>R001</v>
      </c>
      <c r="I334" s="10" t="s">
        <v>420</v>
      </c>
      <c r="J334" s="10" t="s">
        <v>420</v>
      </c>
      <c r="K334" s="10" t="s">
        <v>431</v>
      </c>
      <c r="L334" s="10" t="s">
        <v>1058</v>
      </c>
      <c r="M334" s="16" t="s">
        <v>422</v>
      </c>
      <c r="N334" s="10" t="s">
        <v>138</v>
      </c>
      <c r="O334" s="16" t="s">
        <v>444</v>
      </c>
      <c r="P334" s="11" t="s">
        <v>422</v>
      </c>
      <c r="Q334" s="11" t="s">
        <v>420</v>
      </c>
      <c r="R334" s="11" t="s">
        <v>1070</v>
      </c>
      <c r="S334" s="10" t="s">
        <v>62</v>
      </c>
      <c r="T334" s="81">
        <v>6</v>
      </c>
      <c r="U334" s="10" t="s">
        <v>420</v>
      </c>
      <c r="V334" s="10" t="s">
        <v>2277</v>
      </c>
      <c r="X334" s="15">
        <v>5</v>
      </c>
      <c r="Y334" s="10" t="s">
        <v>58</v>
      </c>
      <c r="Z334" s="10" t="s">
        <v>2849</v>
      </c>
      <c r="AA334" s="10" t="s">
        <v>23</v>
      </c>
      <c r="AB334" s="10" t="s">
        <v>2843</v>
      </c>
    </row>
    <row r="335" spans="1:28">
      <c r="A335" s="10" t="s">
        <v>818</v>
      </c>
      <c r="B335" s="11" t="s">
        <v>312</v>
      </c>
      <c r="C335" s="11" t="s">
        <v>437</v>
      </c>
      <c r="D335" s="12">
        <v>26</v>
      </c>
      <c r="E335" s="11" t="s">
        <v>459</v>
      </c>
      <c r="F335" s="14" t="str">
        <f>_xlfn.XLOOKUP(E335,Profession!$B$2:$B$15,Profession!$A$2:$A$15,"Not Found")</f>
        <v>P007</v>
      </c>
      <c r="G335" s="11" t="s">
        <v>419</v>
      </c>
      <c r="H335" s="10" t="str">
        <f>_xlfn.XLOOKUP(G335,Region!$B$2:$B$16,Region!$A$2:$A$16,"Not Found")</f>
        <v>R001</v>
      </c>
      <c r="I335" s="10" t="s">
        <v>420</v>
      </c>
      <c r="J335" s="10" t="s">
        <v>420</v>
      </c>
      <c r="K335" s="10" t="s">
        <v>421</v>
      </c>
      <c r="L335" s="10" t="s">
        <v>1058</v>
      </c>
      <c r="M335" s="16" t="s">
        <v>422</v>
      </c>
      <c r="N335" s="10" t="s">
        <v>19</v>
      </c>
      <c r="O335" s="16" t="s">
        <v>444</v>
      </c>
      <c r="P335" s="11" t="s">
        <v>422</v>
      </c>
      <c r="Q335" s="11" t="s">
        <v>420</v>
      </c>
      <c r="R335" s="11" t="s">
        <v>1070</v>
      </c>
      <c r="S335" s="10" t="s">
        <v>62</v>
      </c>
      <c r="T335" s="81">
        <v>8</v>
      </c>
      <c r="U335" s="10" t="s">
        <v>420</v>
      </c>
      <c r="V335" s="10" t="s">
        <v>450</v>
      </c>
      <c r="X335" s="15">
        <v>4</v>
      </c>
      <c r="Y335" s="10" t="s">
        <v>36</v>
      </c>
      <c r="Z335" s="10" t="s">
        <v>2849</v>
      </c>
      <c r="AA335" s="10" t="s">
        <v>37</v>
      </c>
      <c r="AB335" s="10" t="s">
        <v>24</v>
      </c>
    </row>
    <row r="336" spans="1:28">
      <c r="A336" s="10" t="s">
        <v>819</v>
      </c>
      <c r="B336" s="11" t="s">
        <v>313</v>
      </c>
      <c r="C336" s="11" t="s">
        <v>437</v>
      </c>
      <c r="D336" s="12">
        <v>27</v>
      </c>
      <c r="E336" s="11" t="s">
        <v>418</v>
      </c>
      <c r="F336" s="14" t="str">
        <f>_xlfn.XLOOKUP(E336,Profession!$B$2:$B$15,Profession!$A$2:$A$15,"Not Found")</f>
        <v>P001</v>
      </c>
      <c r="G336" s="11" t="s">
        <v>1115</v>
      </c>
      <c r="H336" s="10" t="str">
        <f>_xlfn.XLOOKUP(G336,Region!$B$2:$B$16,Region!$A$2:$A$16,"Not Found")</f>
        <v>R002</v>
      </c>
      <c r="I336" s="10" t="s">
        <v>420</v>
      </c>
      <c r="J336" s="10" t="s">
        <v>420</v>
      </c>
      <c r="K336" s="10" t="s">
        <v>435</v>
      </c>
      <c r="L336" s="10" t="s">
        <v>1058</v>
      </c>
      <c r="M336" s="16" t="s">
        <v>432</v>
      </c>
      <c r="N336" s="10" t="s">
        <v>138</v>
      </c>
      <c r="O336" s="16" t="s">
        <v>433</v>
      </c>
      <c r="P336" s="11" t="s">
        <v>422</v>
      </c>
      <c r="Q336" s="11" t="s">
        <v>1061</v>
      </c>
      <c r="R336" s="11" t="s">
        <v>1065</v>
      </c>
      <c r="S336" s="10" t="s">
        <v>62</v>
      </c>
      <c r="T336" s="81">
        <v>8</v>
      </c>
      <c r="U336" s="10" t="s">
        <v>420</v>
      </c>
      <c r="V336" s="10" t="s">
        <v>2277</v>
      </c>
      <c r="X336" s="15">
        <v>5</v>
      </c>
      <c r="Y336" s="10" t="s">
        <v>27</v>
      </c>
      <c r="Z336" s="10" t="s">
        <v>2849</v>
      </c>
      <c r="AA336" s="10" t="s">
        <v>23</v>
      </c>
      <c r="AB336" s="10" t="s">
        <v>2841</v>
      </c>
    </row>
    <row r="337" spans="1:28">
      <c r="A337" s="10" t="s">
        <v>820</v>
      </c>
      <c r="B337" s="11" t="s">
        <v>314</v>
      </c>
      <c r="C337" s="11" t="s">
        <v>437</v>
      </c>
      <c r="D337" s="12">
        <v>28</v>
      </c>
      <c r="E337" s="11" t="s">
        <v>452</v>
      </c>
      <c r="F337" s="14" t="str">
        <f>_xlfn.XLOOKUP(E337,Profession!$B$2:$B$15,Profession!$A$2:$A$15,"Not Found")</f>
        <v>P005</v>
      </c>
      <c r="G337" s="11" t="s">
        <v>453</v>
      </c>
      <c r="H337" s="10" t="str">
        <f>_xlfn.XLOOKUP(G337,Region!$B$2:$B$16,Region!$A$2:$A$16,"Not Found")</f>
        <v>R005</v>
      </c>
      <c r="I337" s="10" t="s">
        <v>420</v>
      </c>
      <c r="J337" s="10" t="s">
        <v>420</v>
      </c>
      <c r="K337" s="10" t="s">
        <v>434</v>
      </c>
      <c r="L337" s="10" t="s">
        <v>1058</v>
      </c>
      <c r="M337" s="16" t="s">
        <v>422</v>
      </c>
      <c r="N337" s="10" t="s">
        <v>105</v>
      </c>
      <c r="O337" s="16" t="s">
        <v>433</v>
      </c>
      <c r="P337" s="11" t="s">
        <v>422</v>
      </c>
      <c r="Q337" s="11" t="s">
        <v>434</v>
      </c>
      <c r="R337" s="11" t="s">
        <v>1068</v>
      </c>
      <c r="S337" s="10" t="s">
        <v>62</v>
      </c>
      <c r="T337" s="81">
        <v>7</v>
      </c>
      <c r="U337" s="10" t="s">
        <v>2272</v>
      </c>
      <c r="V337" s="10" t="s">
        <v>450</v>
      </c>
      <c r="X337" s="15">
        <v>5</v>
      </c>
      <c r="Y337" s="10" t="s">
        <v>40</v>
      </c>
      <c r="Z337" s="10" t="s">
        <v>2280</v>
      </c>
      <c r="AA337" s="10" t="s">
        <v>37</v>
      </c>
      <c r="AB337" s="10" t="s">
        <v>24</v>
      </c>
    </row>
    <row r="338" spans="1:28">
      <c r="A338" s="10" t="s">
        <v>821</v>
      </c>
      <c r="B338" s="11" t="s">
        <v>134</v>
      </c>
      <c r="C338" s="11" t="s">
        <v>437</v>
      </c>
      <c r="D338" s="12">
        <v>29</v>
      </c>
      <c r="E338" s="11" t="s">
        <v>465</v>
      </c>
      <c r="F338" s="14" t="str">
        <f>_xlfn.XLOOKUP(E338,Profession!$B$2:$B$15,Profession!$A$2:$A$15,"Not Found")</f>
        <v>P010</v>
      </c>
      <c r="G338" s="11" t="s">
        <v>467</v>
      </c>
      <c r="H338" s="10" t="str">
        <f>_xlfn.XLOOKUP(G338,Region!$B$2:$B$16,Region!$A$2:$A$16,"Not Found")</f>
        <v>R009</v>
      </c>
      <c r="I338" s="10" t="s">
        <v>420</v>
      </c>
      <c r="J338" s="10" t="s">
        <v>420</v>
      </c>
      <c r="K338" s="10" t="s">
        <v>434</v>
      </c>
      <c r="L338" s="10" t="s">
        <v>1058</v>
      </c>
      <c r="M338" s="16" t="s">
        <v>422</v>
      </c>
      <c r="N338" s="10" t="s">
        <v>138</v>
      </c>
      <c r="O338" s="16" t="s">
        <v>444</v>
      </c>
      <c r="P338" s="11" t="s">
        <v>422</v>
      </c>
      <c r="Q338" s="11" t="s">
        <v>420</v>
      </c>
      <c r="R338" s="11" t="s">
        <v>1070</v>
      </c>
      <c r="S338" s="10" t="s">
        <v>62</v>
      </c>
      <c r="T338" s="81">
        <v>6</v>
      </c>
      <c r="U338" s="10" t="s">
        <v>420</v>
      </c>
      <c r="V338" s="10" t="s">
        <v>2277</v>
      </c>
      <c r="X338" s="15">
        <v>4</v>
      </c>
      <c r="Y338" s="10" t="s">
        <v>56</v>
      </c>
      <c r="Z338" s="10" t="s">
        <v>2849</v>
      </c>
      <c r="AA338" s="10" t="s">
        <v>23</v>
      </c>
      <c r="AB338" s="10" t="s">
        <v>2843</v>
      </c>
    </row>
    <row r="339" spans="1:28">
      <c r="A339" s="10" t="s">
        <v>822</v>
      </c>
      <c r="B339" s="11" t="s">
        <v>134</v>
      </c>
      <c r="C339" s="11" t="s">
        <v>437</v>
      </c>
      <c r="D339" s="12">
        <v>30</v>
      </c>
      <c r="E339" s="11" t="s">
        <v>448</v>
      </c>
      <c r="F339" s="14" t="str">
        <f>_xlfn.XLOOKUP(E339,Profession!$B$2:$B$15,Profession!$A$2:$A$15,"Not Found")</f>
        <v>P004</v>
      </c>
      <c r="G339" s="11" t="s">
        <v>1111</v>
      </c>
      <c r="H339" s="10" t="str">
        <f>_xlfn.XLOOKUP(G339,Region!$B$2:$B$16,Region!$A$2:$A$16,"Not Found")</f>
        <v>R004</v>
      </c>
      <c r="I339" s="10" t="s">
        <v>420</v>
      </c>
      <c r="J339" s="10" t="s">
        <v>420</v>
      </c>
      <c r="K339" s="10" t="s">
        <v>431</v>
      </c>
      <c r="L339" s="10" t="s">
        <v>1057</v>
      </c>
      <c r="M339" s="16" t="s">
        <v>432</v>
      </c>
      <c r="N339" s="10" t="s">
        <v>138</v>
      </c>
      <c r="O339" s="16" t="s">
        <v>444</v>
      </c>
      <c r="P339" s="11" t="s">
        <v>422</v>
      </c>
      <c r="Q339" s="11" t="s">
        <v>420</v>
      </c>
      <c r="R339" s="11" t="s">
        <v>1070</v>
      </c>
      <c r="S339" s="10" t="s">
        <v>62</v>
      </c>
      <c r="T339" s="81">
        <v>8</v>
      </c>
      <c r="U339" s="10" t="s">
        <v>420</v>
      </c>
      <c r="V339" s="10" t="s">
        <v>450</v>
      </c>
      <c r="X339" s="15">
        <v>4</v>
      </c>
      <c r="Y339" s="10" t="s">
        <v>56</v>
      </c>
      <c r="Z339" s="10" t="s">
        <v>2849</v>
      </c>
      <c r="AA339" s="10" t="s">
        <v>23</v>
      </c>
      <c r="AB339" s="10" t="s">
        <v>46</v>
      </c>
    </row>
    <row r="340" spans="1:28">
      <c r="A340" s="10" t="s">
        <v>823</v>
      </c>
      <c r="B340" s="11" t="s">
        <v>315</v>
      </c>
      <c r="C340" s="11" t="s">
        <v>437</v>
      </c>
      <c r="D340" s="12">
        <v>31</v>
      </c>
      <c r="E340" s="11" t="s">
        <v>448</v>
      </c>
      <c r="F340" s="14" t="str">
        <f>_xlfn.XLOOKUP(E340,Profession!$B$2:$B$15,Profession!$A$2:$A$15,"Not Found")</f>
        <v>P004</v>
      </c>
      <c r="G340" s="11" t="s">
        <v>1111</v>
      </c>
      <c r="H340" s="10" t="str">
        <f>_xlfn.XLOOKUP(G340,Region!$B$2:$B$16,Region!$A$2:$A$16,"Not Found")</f>
        <v>R004</v>
      </c>
      <c r="I340" s="10" t="s">
        <v>420</v>
      </c>
      <c r="J340" s="10" t="s">
        <v>420</v>
      </c>
      <c r="K340" s="10" t="s">
        <v>431</v>
      </c>
      <c r="L340" s="10" t="s">
        <v>1058</v>
      </c>
      <c r="M340" s="16" t="s">
        <v>432</v>
      </c>
      <c r="N340" s="10" t="s">
        <v>138</v>
      </c>
      <c r="O340" s="16" t="s">
        <v>450</v>
      </c>
      <c r="P340" s="11" t="s">
        <v>422</v>
      </c>
      <c r="Q340" s="11" t="s">
        <v>420</v>
      </c>
      <c r="R340" s="11" t="s">
        <v>107</v>
      </c>
      <c r="S340" s="10" t="s">
        <v>62</v>
      </c>
      <c r="T340" s="81">
        <v>7</v>
      </c>
      <c r="U340" s="10" t="s">
        <v>420</v>
      </c>
      <c r="V340" s="10" t="s">
        <v>450</v>
      </c>
      <c r="X340" s="15">
        <v>4</v>
      </c>
      <c r="Y340" s="10" t="s">
        <v>56</v>
      </c>
      <c r="Z340" s="10" t="s">
        <v>2849</v>
      </c>
      <c r="AA340" s="10" t="s">
        <v>23</v>
      </c>
      <c r="AB340" s="10" t="s">
        <v>46</v>
      </c>
    </row>
    <row r="341" spans="1:28">
      <c r="A341" s="10" t="s">
        <v>824</v>
      </c>
      <c r="B341" s="11" t="s">
        <v>316</v>
      </c>
      <c r="C341" s="11" t="s">
        <v>437</v>
      </c>
      <c r="D341" s="12">
        <v>32</v>
      </c>
      <c r="E341" s="11" t="s">
        <v>465</v>
      </c>
      <c r="F341" s="14" t="str">
        <f>_xlfn.XLOOKUP(E341,Profession!$B$2:$B$15,Profession!$A$2:$A$15,"Not Found")</f>
        <v>P010</v>
      </c>
      <c r="G341" s="11" t="s">
        <v>419</v>
      </c>
      <c r="H341" s="10" t="str">
        <f>_xlfn.XLOOKUP(G341,Region!$B$2:$B$16,Region!$A$2:$A$16,"Not Found")</f>
        <v>R001</v>
      </c>
      <c r="I341" s="10" t="s">
        <v>423</v>
      </c>
      <c r="J341" s="10" t="s">
        <v>423</v>
      </c>
      <c r="K341" s="10" t="s">
        <v>434</v>
      </c>
      <c r="L341" s="10" t="s">
        <v>1058</v>
      </c>
      <c r="M341" s="16" t="s">
        <v>422</v>
      </c>
      <c r="N341" s="10" t="s">
        <v>138</v>
      </c>
      <c r="O341" s="16" t="s">
        <v>444</v>
      </c>
      <c r="P341" s="11" t="s">
        <v>422</v>
      </c>
      <c r="Q341" s="11" t="s">
        <v>420</v>
      </c>
      <c r="R341" s="11" t="s">
        <v>1065</v>
      </c>
      <c r="S341" s="10" t="s">
        <v>62</v>
      </c>
      <c r="T341" s="81">
        <v>8</v>
      </c>
      <c r="U341" s="10" t="s">
        <v>420</v>
      </c>
      <c r="V341" s="10" t="s">
        <v>450</v>
      </c>
      <c r="X341" s="15">
        <v>7</v>
      </c>
      <c r="Y341" s="10" t="s">
        <v>100</v>
      </c>
      <c r="Z341" s="10" t="s">
        <v>2849</v>
      </c>
      <c r="AA341" s="10" t="s">
        <v>23</v>
      </c>
      <c r="AB341" s="10" t="s">
        <v>2843</v>
      </c>
    </row>
    <row r="342" spans="1:28">
      <c r="A342" s="10" t="s">
        <v>825</v>
      </c>
      <c r="B342" s="11" t="s">
        <v>317</v>
      </c>
      <c r="C342" s="11" t="s">
        <v>437</v>
      </c>
      <c r="D342" s="12">
        <v>33</v>
      </c>
      <c r="E342" s="11" t="s">
        <v>462</v>
      </c>
      <c r="F342" s="14" t="str">
        <f>_xlfn.XLOOKUP(E342,Profession!$B$2:$B$15,Profession!$A$2:$A$15,"Not Found")</f>
        <v>P008</v>
      </c>
      <c r="G342" s="11" t="s">
        <v>464</v>
      </c>
      <c r="H342" s="10" t="str">
        <f>_xlfn.XLOOKUP(G342,Region!$B$2:$B$16,Region!$A$2:$A$16,"Not Found")</f>
        <v>R007</v>
      </c>
      <c r="I342" s="10" t="s">
        <v>423</v>
      </c>
      <c r="J342" s="10" t="s">
        <v>423</v>
      </c>
      <c r="K342" s="10" t="s">
        <v>435</v>
      </c>
      <c r="L342" s="10" t="s">
        <v>1058</v>
      </c>
      <c r="M342" s="16" t="s">
        <v>436</v>
      </c>
      <c r="N342" s="10" t="s">
        <v>138</v>
      </c>
      <c r="O342" s="16" t="s">
        <v>450</v>
      </c>
      <c r="P342" s="11" t="s">
        <v>422</v>
      </c>
      <c r="Q342" s="11" t="s">
        <v>420</v>
      </c>
      <c r="R342" s="11" t="s">
        <v>107</v>
      </c>
      <c r="S342" s="10" t="s">
        <v>62</v>
      </c>
      <c r="T342" s="81">
        <v>5</v>
      </c>
      <c r="U342" s="10" t="s">
        <v>2275</v>
      </c>
      <c r="V342" s="10" t="s">
        <v>450</v>
      </c>
      <c r="X342" s="15">
        <v>5</v>
      </c>
      <c r="Y342" s="10" t="s">
        <v>54</v>
      </c>
      <c r="Z342" s="10" t="s">
        <v>2849</v>
      </c>
      <c r="AA342" s="10" t="s">
        <v>23</v>
      </c>
      <c r="AB342" s="10" t="s">
        <v>2844</v>
      </c>
    </row>
    <row r="343" spans="1:28">
      <c r="A343" s="10" t="s">
        <v>826</v>
      </c>
      <c r="B343" s="11" t="s">
        <v>318</v>
      </c>
      <c r="C343" s="11" t="s">
        <v>437</v>
      </c>
      <c r="D343" s="12">
        <v>34</v>
      </c>
      <c r="E343" s="11" t="s">
        <v>473</v>
      </c>
      <c r="F343" s="14" t="str">
        <f>_xlfn.XLOOKUP(E343,Profession!$B$2:$B$15,Profession!$A$2:$A$15,"Not Found")</f>
        <v>P012</v>
      </c>
      <c r="G343" s="11" t="s">
        <v>419</v>
      </c>
      <c r="H343" s="10" t="str">
        <f>_xlfn.XLOOKUP(G343,Region!$B$2:$B$16,Region!$A$2:$A$16,"Not Found")</f>
        <v>R001</v>
      </c>
      <c r="I343" s="10" t="s">
        <v>423</v>
      </c>
      <c r="J343" s="10" t="s">
        <v>423</v>
      </c>
      <c r="K343" s="10" t="s">
        <v>434</v>
      </c>
      <c r="L343" s="10" t="s">
        <v>1058</v>
      </c>
      <c r="M343" s="16" t="s">
        <v>432</v>
      </c>
      <c r="N343" s="10" t="s">
        <v>138</v>
      </c>
      <c r="O343" s="16" t="s">
        <v>444</v>
      </c>
      <c r="P343" s="11" t="s">
        <v>422</v>
      </c>
      <c r="Q343" s="11" t="s">
        <v>420</v>
      </c>
      <c r="R343" s="11" t="s">
        <v>107</v>
      </c>
      <c r="S343" s="10" t="s">
        <v>62</v>
      </c>
      <c r="T343" s="81">
        <v>7</v>
      </c>
      <c r="U343" s="10" t="s">
        <v>420</v>
      </c>
      <c r="V343" s="10" t="s">
        <v>450</v>
      </c>
      <c r="X343" s="15">
        <v>5</v>
      </c>
      <c r="Y343" s="10" t="s">
        <v>87</v>
      </c>
      <c r="Z343" s="10" t="s">
        <v>2848</v>
      </c>
      <c r="AA343" s="10" t="s">
        <v>23</v>
      </c>
      <c r="AB343" s="10" t="s">
        <v>149</v>
      </c>
    </row>
    <row r="344" spans="1:28">
      <c r="A344" s="10" t="s">
        <v>827</v>
      </c>
      <c r="B344" s="11" t="s">
        <v>319</v>
      </c>
      <c r="C344" s="11" t="s">
        <v>437</v>
      </c>
      <c r="D344" s="12">
        <v>35</v>
      </c>
      <c r="E344" s="11" t="s">
        <v>452</v>
      </c>
      <c r="F344" s="14" t="str">
        <f>_xlfn.XLOOKUP(E344,Profession!$B$2:$B$15,Profession!$A$2:$A$15,"Not Found")</f>
        <v>P005</v>
      </c>
      <c r="G344" s="11" t="s">
        <v>455</v>
      </c>
      <c r="H344" s="10" t="str">
        <f>_xlfn.XLOOKUP(G344,Region!$B$2:$B$16,Region!$A$2:$A$16,"Not Found")</f>
        <v>R006</v>
      </c>
      <c r="I344" s="10" t="s">
        <v>420</v>
      </c>
      <c r="J344" s="10" t="s">
        <v>420</v>
      </c>
      <c r="K344" s="10" t="s">
        <v>434</v>
      </c>
      <c r="L344" s="10" t="s">
        <v>1058</v>
      </c>
      <c r="M344" s="16" t="s">
        <v>422</v>
      </c>
      <c r="N344" s="10" t="s">
        <v>106</v>
      </c>
      <c r="O344" s="16" t="s">
        <v>436</v>
      </c>
      <c r="P344" s="11" t="s">
        <v>422</v>
      </c>
      <c r="Q344" s="11" t="s">
        <v>435</v>
      </c>
      <c r="R344" s="11" t="s">
        <v>1071</v>
      </c>
      <c r="S344" s="10" t="s">
        <v>62</v>
      </c>
      <c r="T344" s="81">
        <v>6</v>
      </c>
      <c r="U344" s="10" t="s">
        <v>420</v>
      </c>
      <c r="V344" s="10" t="s">
        <v>2277</v>
      </c>
      <c r="X344" s="15">
        <v>8</v>
      </c>
      <c r="Y344" s="10" t="s">
        <v>42</v>
      </c>
      <c r="Z344" s="10" t="s">
        <v>2849</v>
      </c>
      <c r="AA344" s="10" t="s">
        <v>43</v>
      </c>
      <c r="AB344" s="10" t="s">
        <v>46</v>
      </c>
    </row>
    <row r="345" spans="1:28">
      <c r="A345" s="10" t="s">
        <v>828</v>
      </c>
      <c r="B345" s="11" t="s">
        <v>320</v>
      </c>
      <c r="C345" s="11" t="s">
        <v>437</v>
      </c>
      <c r="D345" s="12">
        <v>36</v>
      </c>
      <c r="E345" s="11" t="s">
        <v>452</v>
      </c>
      <c r="F345" s="14" t="str">
        <f>_xlfn.XLOOKUP(E345,Profession!$B$2:$B$15,Profession!$A$2:$A$15,"Not Found")</f>
        <v>P005</v>
      </c>
      <c r="G345" s="11" t="s">
        <v>1115</v>
      </c>
      <c r="H345" s="10" t="str">
        <f>_xlfn.XLOOKUP(G345,Region!$B$2:$B$16,Region!$A$2:$A$16,"Not Found")</f>
        <v>R002</v>
      </c>
      <c r="I345" s="10" t="s">
        <v>420</v>
      </c>
      <c r="J345" s="10" t="s">
        <v>420</v>
      </c>
      <c r="K345" s="10" t="s">
        <v>435</v>
      </c>
      <c r="L345" s="10" t="s">
        <v>1058</v>
      </c>
      <c r="M345" s="16" t="s">
        <v>429</v>
      </c>
      <c r="N345" s="10" t="s">
        <v>64</v>
      </c>
      <c r="O345" s="16" t="s">
        <v>433</v>
      </c>
      <c r="P345" s="11" t="s">
        <v>422</v>
      </c>
      <c r="Q345" s="11" t="s">
        <v>420</v>
      </c>
      <c r="R345" s="11" t="s">
        <v>1072</v>
      </c>
      <c r="S345" s="10" t="s">
        <v>2885</v>
      </c>
      <c r="T345" s="81">
        <v>6</v>
      </c>
      <c r="U345" s="10" t="s">
        <v>2273</v>
      </c>
      <c r="V345" s="10" t="s">
        <v>2277</v>
      </c>
      <c r="X345" s="15">
        <v>3</v>
      </c>
      <c r="Y345" s="10" t="s">
        <v>45</v>
      </c>
      <c r="Z345" s="10" t="s">
        <v>2849</v>
      </c>
      <c r="AA345" s="10" t="s">
        <v>37</v>
      </c>
      <c r="AB345" s="10" t="s">
        <v>149</v>
      </c>
    </row>
    <row r="346" spans="1:28">
      <c r="A346" s="10" t="s">
        <v>829</v>
      </c>
      <c r="B346" s="11" t="s">
        <v>321</v>
      </c>
      <c r="C346" s="11" t="s">
        <v>437</v>
      </c>
      <c r="D346" s="12">
        <v>37</v>
      </c>
      <c r="E346" s="11" t="s">
        <v>442</v>
      </c>
      <c r="F346" s="14" t="str">
        <f>_xlfn.XLOOKUP(E346,Profession!$B$2:$B$15,Profession!$A$2:$A$15,"Not Found")</f>
        <v>P002</v>
      </c>
      <c r="G346" s="11" t="s">
        <v>419</v>
      </c>
      <c r="H346" s="10" t="str">
        <f>_xlfn.XLOOKUP(G346,Region!$B$2:$B$16,Region!$A$2:$A$16,"Not Found")</f>
        <v>R001</v>
      </c>
      <c r="I346" s="10" t="s">
        <v>420</v>
      </c>
      <c r="J346" s="10" t="s">
        <v>420</v>
      </c>
      <c r="K346" s="10" t="s">
        <v>426</v>
      </c>
      <c r="L346" s="10" t="s">
        <v>1058</v>
      </c>
      <c r="M346" s="16" t="s">
        <v>422</v>
      </c>
      <c r="N346" s="10" t="s">
        <v>102</v>
      </c>
      <c r="O346" s="16" t="s">
        <v>426</v>
      </c>
      <c r="P346" s="11" t="s">
        <v>1059</v>
      </c>
      <c r="Q346" s="11" t="s">
        <v>422</v>
      </c>
      <c r="R346" s="11" t="s">
        <v>1062</v>
      </c>
      <c r="S346" s="10" t="s">
        <v>2884</v>
      </c>
      <c r="T346" s="81">
        <v>6.3008333333333297</v>
      </c>
      <c r="U346" s="10" t="s">
        <v>420</v>
      </c>
      <c r="V346" s="10" t="s">
        <v>2277</v>
      </c>
      <c r="X346" s="15">
        <v>4</v>
      </c>
      <c r="Y346" s="10" t="s">
        <v>36</v>
      </c>
      <c r="Z346" s="10" t="s">
        <v>2849</v>
      </c>
      <c r="AA346" s="10" t="s">
        <v>23</v>
      </c>
      <c r="AB346" s="10" t="s">
        <v>2843</v>
      </c>
    </row>
    <row r="347" spans="1:28">
      <c r="A347" s="10" t="s">
        <v>830</v>
      </c>
      <c r="B347" s="11" t="s">
        <v>172</v>
      </c>
      <c r="C347" s="11" t="s">
        <v>437</v>
      </c>
      <c r="D347" s="12">
        <v>38</v>
      </c>
      <c r="E347" s="11" t="s">
        <v>465</v>
      </c>
      <c r="F347" s="14" t="str">
        <f>_xlfn.XLOOKUP(E347,Profession!$B$2:$B$15,Profession!$A$2:$A$15,"Not Found")</f>
        <v>P010</v>
      </c>
      <c r="G347" s="11" t="s">
        <v>108</v>
      </c>
      <c r="H347" s="10" t="str">
        <f>_xlfn.XLOOKUP(G347,Region!$B$2:$B$16,Region!$A$2:$A$16,"Not Found")</f>
        <v>R010</v>
      </c>
      <c r="I347" s="10" t="s">
        <v>420</v>
      </c>
      <c r="J347" s="10" t="s">
        <v>420</v>
      </c>
      <c r="K347" s="10" t="s">
        <v>435</v>
      </c>
      <c r="L347" s="10" t="s">
        <v>1058</v>
      </c>
      <c r="M347" s="16" t="s">
        <v>422</v>
      </c>
      <c r="N347" s="10" t="s">
        <v>138</v>
      </c>
      <c r="O347" s="16" t="s">
        <v>450</v>
      </c>
      <c r="P347" s="11" t="s">
        <v>422</v>
      </c>
      <c r="Q347" s="11" t="s">
        <v>420</v>
      </c>
      <c r="R347" s="11" t="s">
        <v>107</v>
      </c>
      <c r="S347" s="10" t="s">
        <v>62</v>
      </c>
      <c r="T347" s="81">
        <v>7</v>
      </c>
      <c r="U347" s="10" t="s">
        <v>420</v>
      </c>
      <c r="V347" s="10" t="s">
        <v>450</v>
      </c>
      <c r="X347" s="15">
        <v>7</v>
      </c>
      <c r="Y347" s="10" t="s">
        <v>19</v>
      </c>
      <c r="Z347" s="10" t="s">
        <v>2849</v>
      </c>
      <c r="AA347" s="10" t="s">
        <v>23</v>
      </c>
      <c r="AB347" s="10" t="s">
        <v>2841</v>
      </c>
    </row>
    <row r="348" spans="1:28">
      <c r="A348" s="10" t="s">
        <v>831</v>
      </c>
      <c r="B348" s="11" t="s">
        <v>175</v>
      </c>
      <c r="C348" s="11" t="s">
        <v>437</v>
      </c>
      <c r="D348" s="12">
        <v>39</v>
      </c>
      <c r="E348" s="11" t="s">
        <v>458</v>
      </c>
      <c r="F348" s="14" t="str">
        <f>_xlfn.XLOOKUP(E348,Profession!$B$2:$B$15,Profession!$A$2:$A$15,"Not Found")</f>
        <v>P006</v>
      </c>
      <c r="G348" s="11" t="s">
        <v>1115</v>
      </c>
      <c r="H348" s="10" t="str">
        <f>_xlfn.XLOOKUP(G348,Region!$B$2:$B$16,Region!$A$2:$A$16,"Not Found")</f>
        <v>R002</v>
      </c>
      <c r="I348" s="10" t="s">
        <v>420</v>
      </c>
      <c r="J348" s="10" t="s">
        <v>420</v>
      </c>
      <c r="K348" s="10" t="s">
        <v>434</v>
      </c>
      <c r="L348" s="10" t="s">
        <v>1058</v>
      </c>
      <c r="M348" s="16" t="s">
        <v>432</v>
      </c>
      <c r="N348" s="10" t="s">
        <v>64</v>
      </c>
      <c r="O348" s="16" t="s">
        <v>433</v>
      </c>
      <c r="P348" s="11" t="s">
        <v>422</v>
      </c>
      <c r="Q348" s="11" t="s">
        <v>1061</v>
      </c>
      <c r="R348" s="11" t="s">
        <v>1065</v>
      </c>
      <c r="S348" s="10" t="s">
        <v>62</v>
      </c>
      <c r="T348" s="81">
        <v>6</v>
      </c>
      <c r="U348" s="10" t="s">
        <v>2274</v>
      </c>
      <c r="V348" s="10" t="s">
        <v>450</v>
      </c>
      <c r="X348" s="15">
        <v>3</v>
      </c>
      <c r="Y348" s="10" t="s">
        <v>49</v>
      </c>
      <c r="Z348" s="10" t="s">
        <v>2849</v>
      </c>
      <c r="AA348" s="10" t="s">
        <v>37</v>
      </c>
      <c r="AB348" s="10" t="s">
        <v>46</v>
      </c>
    </row>
    <row r="349" spans="1:28">
      <c r="A349" s="10" t="s">
        <v>832</v>
      </c>
      <c r="B349" s="11" t="s">
        <v>322</v>
      </c>
      <c r="C349" s="11" t="s">
        <v>437</v>
      </c>
      <c r="D349" s="12">
        <v>40</v>
      </c>
      <c r="E349" s="11" t="s">
        <v>1054</v>
      </c>
      <c r="F349" s="14" t="str">
        <f>_xlfn.XLOOKUP(E349,Profession!$B$2:$B$15,Profession!$A$2:$A$15,"Not Found")</f>
        <v>P013</v>
      </c>
      <c r="G349" s="11" t="s">
        <v>1110</v>
      </c>
      <c r="H349" s="10" t="str">
        <f>_xlfn.XLOOKUP(G349,Region!$B$2:$B$16,Region!$A$2:$A$16,"Not Found")</f>
        <v>R013</v>
      </c>
      <c r="I349" s="10" t="s">
        <v>420</v>
      </c>
      <c r="J349" s="10" t="s">
        <v>420</v>
      </c>
      <c r="K349" s="10" t="s">
        <v>435</v>
      </c>
      <c r="L349" s="10" t="s">
        <v>1058</v>
      </c>
      <c r="M349" s="16" t="s">
        <v>422</v>
      </c>
      <c r="N349" s="10" t="s">
        <v>138</v>
      </c>
      <c r="O349" s="16" t="s">
        <v>433</v>
      </c>
      <c r="P349" s="11" t="s">
        <v>435</v>
      </c>
      <c r="Q349" s="11" t="s">
        <v>420</v>
      </c>
      <c r="R349" s="11" t="s">
        <v>1067</v>
      </c>
      <c r="S349" s="10" t="s">
        <v>62</v>
      </c>
      <c r="T349" s="81">
        <v>6</v>
      </c>
      <c r="U349" s="10" t="s">
        <v>420</v>
      </c>
      <c r="V349" s="10" t="s">
        <v>450</v>
      </c>
      <c r="X349" s="15">
        <v>6</v>
      </c>
      <c r="Y349" s="10" t="s">
        <v>75</v>
      </c>
      <c r="Z349" s="10" t="s">
        <v>2847</v>
      </c>
      <c r="AA349" s="10" t="s">
        <v>70</v>
      </c>
      <c r="AB349" s="10" t="s">
        <v>149</v>
      </c>
    </row>
    <row r="350" spans="1:28">
      <c r="A350" s="10" t="s">
        <v>833</v>
      </c>
      <c r="B350" s="11" t="s">
        <v>101</v>
      </c>
      <c r="C350" s="11" t="s">
        <v>437</v>
      </c>
      <c r="D350" s="12">
        <v>41</v>
      </c>
      <c r="E350" s="11" t="s">
        <v>446</v>
      </c>
      <c r="F350" s="14" t="str">
        <f>_xlfn.XLOOKUP(E350,Profession!$B$2:$B$15,Profession!$A$2:$A$15,"Not Found")</f>
        <v>P003</v>
      </c>
      <c r="G350" s="11" t="s">
        <v>104</v>
      </c>
      <c r="H350" s="10" t="str">
        <f>_xlfn.XLOOKUP(G350,Region!$B$2:$B$16,Region!$A$2:$A$16,"Not Found")</f>
        <v>R003</v>
      </c>
      <c r="I350" s="10" t="s">
        <v>420</v>
      </c>
      <c r="J350" s="10" t="s">
        <v>420</v>
      </c>
      <c r="K350" s="10" t="s">
        <v>435</v>
      </c>
      <c r="L350" s="10" t="s">
        <v>1058</v>
      </c>
      <c r="M350" s="16" t="s">
        <v>422</v>
      </c>
      <c r="N350" s="10" t="s">
        <v>138</v>
      </c>
      <c r="O350" s="16" t="s">
        <v>433</v>
      </c>
      <c r="P350" s="11" t="s">
        <v>422</v>
      </c>
      <c r="Q350" s="11" t="s">
        <v>420</v>
      </c>
      <c r="R350" s="11" t="s">
        <v>1070</v>
      </c>
      <c r="S350" s="10" t="s">
        <v>62</v>
      </c>
      <c r="T350" s="81">
        <v>8</v>
      </c>
      <c r="U350" s="10" t="s">
        <v>420</v>
      </c>
      <c r="V350" s="10" t="s">
        <v>2277</v>
      </c>
      <c r="X350" s="15">
        <v>5</v>
      </c>
      <c r="Y350" s="10" t="s">
        <v>19</v>
      </c>
      <c r="Z350" s="10" t="s">
        <v>2849</v>
      </c>
      <c r="AA350" s="10" t="s">
        <v>23</v>
      </c>
      <c r="AB350" s="10" t="s">
        <v>28</v>
      </c>
    </row>
    <row r="351" spans="1:28">
      <c r="A351" s="10" t="s">
        <v>834</v>
      </c>
      <c r="B351" s="11" t="s">
        <v>323</v>
      </c>
      <c r="C351" s="11" t="s">
        <v>437</v>
      </c>
      <c r="D351" s="12">
        <v>42</v>
      </c>
      <c r="E351" s="11" t="s">
        <v>1088</v>
      </c>
      <c r="F351" s="14" t="str">
        <f>_xlfn.XLOOKUP(E351,Profession!$B$2:$B$15,Profession!$A$2:$A$15,"Not Found")</f>
        <v>P014</v>
      </c>
      <c r="G351" s="11" t="s">
        <v>1114</v>
      </c>
      <c r="H351" s="10" t="str">
        <f>_xlfn.XLOOKUP(G351,Region!$B$2:$B$16,Region!$A$2:$A$16,"Not Found")</f>
        <v>R014</v>
      </c>
      <c r="I351" s="10" t="s">
        <v>420</v>
      </c>
      <c r="J351" s="10" t="s">
        <v>420</v>
      </c>
      <c r="K351" s="10" t="s">
        <v>435</v>
      </c>
      <c r="L351" s="10" t="s">
        <v>1058</v>
      </c>
      <c r="M351" s="16" t="s">
        <v>422</v>
      </c>
      <c r="N351" s="10" t="s">
        <v>138</v>
      </c>
      <c r="O351" s="16" t="s">
        <v>433</v>
      </c>
      <c r="P351" s="11" t="s">
        <v>422</v>
      </c>
      <c r="Q351" s="11" t="s">
        <v>1061</v>
      </c>
      <c r="R351" s="11" t="s">
        <v>1067</v>
      </c>
      <c r="S351" s="10" t="s">
        <v>62</v>
      </c>
      <c r="T351" s="81">
        <v>6</v>
      </c>
      <c r="U351" s="10" t="s">
        <v>420</v>
      </c>
      <c r="V351" s="10" t="s">
        <v>450</v>
      </c>
      <c r="X351" s="15">
        <v>6</v>
      </c>
      <c r="Y351" s="10" t="s">
        <v>77</v>
      </c>
      <c r="Z351" s="10" t="s">
        <v>2282</v>
      </c>
      <c r="AA351" s="10" t="s">
        <v>23</v>
      </c>
      <c r="AB351" s="10" t="s">
        <v>46</v>
      </c>
    </row>
    <row r="352" spans="1:28">
      <c r="A352" s="10" t="s">
        <v>835</v>
      </c>
      <c r="B352" s="11" t="s">
        <v>177</v>
      </c>
      <c r="C352" s="11" t="s">
        <v>437</v>
      </c>
      <c r="D352" s="12">
        <v>43</v>
      </c>
      <c r="E352" s="11" t="s">
        <v>1088</v>
      </c>
      <c r="F352" s="14" t="str">
        <f>_xlfn.XLOOKUP(E352,Profession!$B$2:$B$15,Profession!$A$2:$A$15,"Not Found")</f>
        <v>P014</v>
      </c>
      <c r="G352" s="11" t="s">
        <v>477</v>
      </c>
      <c r="H352" s="10" t="str">
        <f>_xlfn.XLOOKUP(G352,Region!$B$2:$B$16,Region!$A$2:$A$16,"Not Found")</f>
        <v>R015</v>
      </c>
      <c r="I352" s="10" t="s">
        <v>420</v>
      </c>
      <c r="J352" s="10" t="s">
        <v>420</v>
      </c>
      <c r="K352" s="10" t="s">
        <v>435</v>
      </c>
      <c r="L352" s="10" t="s">
        <v>1058</v>
      </c>
      <c r="M352" s="16" t="s">
        <v>422</v>
      </c>
      <c r="N352" s="10" t="s">
        <v>138</v>
      </c>
      <c r="O352" s="16" t="s">
        <v>433</v>
      </c>
      <c r="P352" s="11" t="s">
        <v>435</v>
      </c>
      <c r="Q352" s="11" t="s">
        <v>1061</v>
      </c>
      <c r="R352" s="11" t="s">
        <v>1068</v>
      </c>
      <c r="S352" s="10" t="s">
        <v>62</v>
      </c>
      <c r="T352" s="81">
        <v>8</v>
      </c>
      <c r="U352" s="10" t="s">
        <v>420</v>
      </c>
      <c r="V352" s="10" t="s">
        <v>450</v>
      </c>
      <c r="X352" s="15">
        <v>6</v>
      </c>
      <c r="Y352" s="10" t="s">
        <v>36</v>
      </c>
      <c r="Z352" s="10" t="s">
        <v>2849</v>
      </c>
      <c r="AA352" s="10" t="s">
        <v>23</v>
      </c>
      <c r="AB352" s="10" t="s">
        <v>2841</v>
      </c>
    </row>
    <row r="353" spans="1:28">
      <c r="A353" s="10" t="s">
        <v>836</v>
      </c>
      <c r="B353" s="11" t="s">
        <v>136</v>
      </c>
      <c r="C353" s="11" t="s">
        <v>437</v>
      </c>
      <c r="D353" s="12">
        <v>20</v>
      </c>
      <c r="E353" s="11" t="s">
        <v>418</v>
      </c>
      <c r="F353" s="14" t="str">
        <f>_xlfn.XLOOKUP(E353,Profession!$B$2:$B$15,Profession!$A$2:$A$15,"Not Found")</f>
        <v>P001</v>
      </c>
      <c r="G353" s="11" t="s">
        <v>419</v>
      </c>
      <c r="H353" s="10" t="str">
        <f>_xlfn.XLOOKUP(G353,Region!$B$2:$B$16,Region!$A$2:$A$16,"Not Found")</f>
        <v>R001</v>
      </c>
      <c r="I353" s="10" t="s">
        <v>420</v>
      </c>
      <c r="J353" s="10" t="s">
        <v>420</v>
      </c>
      <c r="K353" s="10" t="s">
        <v>435</v>
      </c>
      <c r="L353" s="10" t="s">
        <v>1057</v>
      </c>
      <c r="M353" s="16" t="s">
        <v>422</v>
      </c>
      <c r="N353" s="10" t="s">
        <v>26</v>
      </c>
      <c r="O353" s="16" t="s">
        <v>423</v>
      </c>
      <c r="P353" s="11" t="s">
        <v>1059</v>
      </c>
      <c r="Q353" s="11" t="s">
        <v>422</v>
      </c>
      <c r="R353" s="11" t="s">
        <v>1062</v>
      </c>
      <c r="S353" s="10" t="s">
        <v>2884</v>
      </c>
      <c r="T353" s="81">
        <v>7</v>
      </c>
      <c r="U353" s="10" t="s">
        <v>420</v>
      </c>
      <c r="V353" s="10" t="s">
        <v>2278</v>
      </c>
      <c r="X353" s="15">
        <v>3</v>
      </c>
      <c r="Y353" s="10" t="s">
        <v>27</v>
      </c>
      <c r="Z353" s="10" t="s">
        <v>2849</v>
      </c>
      <c r="AA353" s="10" t="s">
        <v>23</v>
      </c>
      <c r="AB353" s="10" t="s">
        <v>24</v>
      </c>
    </row>
    <row r="354" spans="1:28">
      <c r="A354" s="10" t="s">
        <v>837</v>
      </c>
      <c r="B354" s="11" t="s">
        <v>324</v>
      </c>
      <c r="C354" s="11" t="s">
        <v>437</v>
      </c>
      <c r="D354" s="12">
        <v>21</v>
      </c>
      <c r="E354" s="11" t="s">
        <v>465</v>
      </c>
      <c r="F354" s="14" t="str">
        <f>_xlfn.XLOOKUP(E354,Profession!$B$2:$B$15,Profession!$A$2:$A$15,"Not Found")</f>
        <v>P010</v>
      </c>
      <c r="G354" s="11" t="s">
        <v>1115</v>
      </c>
      <c r="H354" s="10" t="str">
        <f>_xlfn.XLOOKUP(G354,Region!$B$2:$B$16,Region!$A$2:$A$16,"Not Found")</f>
        <v>R002</v>
      </c>
      <c r="I354" s="10" t="s">
        <v>420</v>
      </c>
      <c r="J354" s="10" t="s">
        <v>420</v>
      </c>
      <c r="K354" s="10" t="s">
        <v>421</v>
      </c>
      <c r="L354" s="10" t="s">
        <v>1058</v>
      </c>
      <c r="M354" s="16" t="s">
        <v>422</v>
      </c>
      <c r="N354" s="10" t="s">
        <v>138</v>
      </c>
      <c r="O354" s="16" t="s">
        <v>450</v>
      </c>
      <c r="P354" s="11" t="s">
        <v>422</v>
      </c>
      <c r="Q354" s="11" t="s">
        <v>420</v>
      </c>
      <c r="R354" s="11" t="s">
        <v>1065</v>
      </c>
      <c r="S354" s="10" t="s">
        <v>62</v>
      </c>
      <c r="T354" s="81">
        <v>8</v>
      </c>
      <c r="U354" s="10" t="s">
        <v>420</v>
      </c>
      <c r="V354" s="10" t="s">
        <v>450</v>
      </c>
      <c r="X354" s="15">
        <v>4</v>
      </c>
      <c r="Y354" s="10" t="s">
        <v>56</v>
      </c>
      <c r="Z354" s="10" t="s">
        <v>2849</v>
      </c>
      <c r="AA354" s="10" t="s">
        <v>23</v>
      </c>
      <c r="AB354" s="10" t="s">
        <v>2843</v>
      </c>
    </row>
    <row r="355" spans="1:28">
      <c r="A355" s="10" t="s">
        <v>838</v>
      </c>
      <c r="B355" s="11" t="s">
        <v>116</v>
      </c>
      <c r="C355" s="11" t="s">
        <v>437</v>
      </c>
      <c r="D355" s="12">
        <v>22</v>
      </c>
      <c r="E355" s="11" t="s">
        <v>442</v>
      </c>
      <c r="F355" s="14" t="str">
        <f>_xlfn.XLOOKUP(E355,Profession!$B$2:$B$15,Profession!$A$2:$A$15,"Not Found")</f>
        <v>P002</v>
      </c>
      <c r="G355" s="11" t="s">
        <v>419</v>
      </c>
      <c r="H355" s="10" t="str">
        <f>_xlfn.XLOOKUP(G355,Region!$B$2:$B$16,Region!$A$2:$A$16,"Not Found")</f>
        <v>R001</v>
      </c>
      <c r="I355" s="10" t="s">
        <v>420</v>
      </c>
      <c r="J355" s="10" t="s">
        <v>420</v>
      </c>
      <c r="K355" s="10" t="s">
        <v>435</v>
      </c>
      <c r="L355" s="10" t="s">
        <v>1058</v>
      </c>
      <c r="M355" s="16" t="s">
        <v>436</v>
      </c>
      <c r="N355" s="10" t="s">
        <v>138</v>
      </c>
      <c r="O355" s="16" t="s">
        <v>444</v>
      </c>
      <c r="P355" s="11" t="s">
        <v>422</v>
      </c>
      <c r="Q355" s="11" t="s">
        <v>1061</v>
      </c>
      <c r="R355" s="11" t="s">
        <v>1068</v>
      </c>
      <c r="S355" s="10" t="s">
        <v>62</v>
      </c>
      <c r="T355" s="81">
        <v>6</v>
      </c>
      <c r="U355" s="10" t="s">
        <v>420</v>
      </c>
      <c r="V355" s="10" t="s">
        <v>2277</v>
      </c>
      <c r="X355" s="15">
        <v>6</v>
      </c>
      <c r="Y355" s="10" t="s">
        <v>100</v>
      </c>
      <c r="Z355" s="10" t="s">
        <v>2849</v>
      </c>
      <c r="AA355" s="10" t="s">
        <v>37</v>
      </c>
      <c r="AB355" s="10" t="s">
        <v>2844</v>
      </c>
    </row>
    <row r="356" spans="1:28">
      <c r="A356" s="10" t="s">
        <v>839</v>
      </c>
      <c r="B356" s="11" t="s">
        <v>182</v>
      </c>
      <c r="C356" s="11" t="s">
        <v>437</v>
      </c>
      <c r="D356" s="12">
        <v>23</v>
      </c>
      <c r="E356" s="11" t="s">
        <v>462</v>
      </c>
      <c r="F356" s="14" t="str">
        <f>_xlfn.XLOOKUP(E356,Profession!$B$2:$B$15,Profession!$A$2:$A$15,"Not Found")</f>
        <v>P008</v>
      </c>
      <c r="G356" s="11" t="s">
        <v>1112</v>
      </c>
      <c r="H356" s="10" t="str">
        <f>_xlfn.XLOOKUP(G356,Region!$B$2:$B$16,Region!$A$2:$A$16,"Not Found")</f>
        <v>R008</v>
      </c>
      <c r="I356" s="10" t="s">
        <v>420</v>
      </c>
      <c r="J356" s="10" t="s">
        <v>420</v>
      </c>
      <c r="K356" s="10" t="s">
        <v>431</v>
      </c>
      <c r="L356" s="10" t="s">
        <v>1058</v>
      </c>
      <c r="M356" s="16" t="s">
        <v>422</v>
      </c>
      <c r="N356" s="10" t="s">
        <v>138</v>
      </c>
      <c r="O356" s="16" t="s">
        <v>450</v>
      </c>
      <c r="P356" s="11" t="s">
        <v>422</v>
      </c>
      <c r="Q356" s="11" t="s">
        <v>420</v>
      </c>
      <c r="R356" s="11" t="s">
        <v>107</v>
      </c>
      <c r="S356" s="10" t="s">
        <v>62</v>
      </c>
      <c r="T356" s="81">
        <v>7</v>
      </c>
      <c r="U356" s="10" t="s">
        <v>420</v>
      </c>
      <c r="V356" s="10" t="s">
        <v>450</v>
      </c>
      <c r="X356" s="15">
        <v>5</v>
      </c>
      <c r="Y356" s="10" t="s">
        <v>56</v>
      </c>
      <c r="Z356" s="10" t="s">
        <v>2849</v>
      </c>
      <c r="AA356" s="10" t="s">
        <v>23</v>
      </c>
      <c r="AB356" s="10" t="s">
        <v>2843</v>
      </c>
    </row>
    <row r="357" spans="1:28">
      <c r="A357" s="10" t="s">
        <v>840</v>
      </c>
      <c r="B357" s="11" t="s">
        <v>122</v>
      </c>
      <c r="C357" s="11" t="s">
        <v>437</v>
      </c>
      <c r="D357" s="12">
        <v>24</v>
      </c>
      <c r="E357" s="11" t="s">
        <v>473</v>
      </c>
      <c r="F357" s="14" t="str">
        <f>_xlfn.XLOOKUP(E357,Profession!$B$2:$B$15,Profession!$A$2:$A$15,"Not Found")</f>
        <v>P012</v>
      </c>
      <c r="G357" s="11" t="s">
        <v>1113</v>
      </c>
      <c r="H357" s="10" t="str">
        <f>_xlfn.XLOOKUP(G357,Region!$B$2:$B$16,Region!$A$2:$A$16,"Not Found")</f>
        <v>R012</v>
      </c>
      <c r="I357" s="10" t="s">
        <v>423</v>
      </c>
      <c r="J357" s="10" t="s">
        <v>423</v>
      </c>
      <c r="K357" s="10" t="s">
        <v>435</v>
      </c>
      <c r="L357" s="10" t="s">
        <v>1058</v>
      </c>
      <c r="M357" s="16" t="s">
        <v>422</v>
      </c>
      <c r="N357" s="10" t="s">
        <v>138</v>
      </c>
      <c r="O357" s="16" t="s">
        <v>444</v>
      </c>
      <c r="P357" s="11" t="s">
        <v>422</v>
      </c>
      <c r="Q357" s="11" t="s">
        <v>1061</v>
      </c>
      <c r="R357" s="11" t="s">
        <v>107</v>
      </c>
      <c r="S357" s="10" t="s">
        <v>62</v>
      </c>
      <c r="T357" s="81">
        <v>6</v>
      </c>
      <c r="U357" s="10" t="s">
        <v>420</v>
      </c>
      <c r="V357" s="10" t="s">
        <v>2277</v>
      </c>
      <c r="X357" s="15">
        <v>6</v>
      </c>
      <c r="Y357" s="10" t="s">
        <v>22</v>
      </c>
      <c r="Z357" s="10" t="s">
        <v>2846</v>
      </c>
      <c r="AA357" s="10" t="s">
        <v>23</v>
      </c>
      <c r="AB357" s="10" t="s">
        <v>2842</v>
      </c>
    </row>
    <row r="358" spans="1:28">
      <c r="A358" s="10" t="s">
        <v>841</v>
      </c>
      <c r="B358" s="11" t="s">
        <v>325</v>
      </c>
      <c r="C358" s="11" t="s">
        <v>437</v>
      </c>
      <c r="D358" s="12">
        <v>25</v>
      </c>
      <c r="E358" s="11" t="s">
        <v>1108</v>
      </c>
      <c r="F358" s="14" t="str">
        <f>_xlfn.XLOOKUP(E358,Profession!$B$2:$B$15,Profession!$A$2:$A$15,"Not Found")</f>
        <v>P011</v>
      </c>
      <c r="G358" s="11" t="s">
        <v>419</v>
      </c>
      <c r="H358" s="10" t="str">
        <f>_xlfn.XLOOKUP(G358,Region!$B$2:$B$16,Region!$A$2:$A$16,"Not Found")</f>
        <v>R001</v>
      </c>
      <c r="I358" s="10" t="s">
        <v>420</v>
      </c>
      <c r="J358" s="10" t="s">
        <v>420</v>
      </c>
      <c r="K358" s="10" t="s">
        <v>431</v>
      </c>
      <c r="L358" s="10" t="s">
        <v>1058</v>
      </c>
      <c r="M358" s="16" t="s">
        <v>422</v>
      </c>
      <c r="N358" s="10" t="s">
        <v>138</v>
      </c>
      <c r="O358" s="16" t="s">
        <v>444</v>
      </c>
      <c r="P358" s="11" t="s">
        <v>422</v>
      </c>
      <c r="Q358" s="11" t="s">
        <v>420</v>
      </c>
      <c r="R358" s="11" t="s">
        <v>1070</v>
      </c>
      <c r="S358" s="10" t="s">
        <v>62</v>
      </c>
      <c r="T358" s="81">
        <v>6</v>
      </c>
      <c r="U358" s="10" t="s">
        <v>420</v>
      </c>
      <c r="V358" s="10" t="s">
        <v>2277</v>
      </c>
      <c r="X358" s="15">
        <v>5</v>
      </c>
      <c r="Y358" s="10" t="s">
        <v>58</v>
      </c>
      <c r="Z358" s="10" t="s">
        <v>2849</v>
      </c>
      <c r="AA358" s="10" t="s">
        <v>23</v>
      </c>
      <c r="AB358" s="10" t="s">
        <v>2843</v>
      </c>
    </row>
    <row r="359" spans="1:28">
      <c r="A359" s="10" t="s">
        <v>842</v>
      </c>
      <c r="B359" s="11" t="s">
        <v>326</v>
      </c>
      <c r="C359" s="11" t="s">
        <v>437</v>
      </c>
      <c r="D359" s="12">
        <v>26</v>
      </c>
      <c r="E359" s="11" t="s">
        <v>459</v>
      </c>
      <c r="F359" s="14" t="str">
        <f>_xlfn.XLOOKUP(E359,Profession!$B$2:$B$15,Profession!$A$2:$A$15,"Not Found")</f>
        <v>P007</v>
      </c>
      <c r="G359" s="11" t="s">
        <v>419</v>
      </c>
      <c r="H359" s="10" t="str">
        <f>_xlfn.XLOOKUP(G359,Region!$B$2:$B$16,Region!$A$2:$A$16,"Not Found")</f>
        <v>R001</v>
      </c>
      <c r="I359" s="10" t="s">
        <v>420</v>
      </c>
      <c r="J359" s="10" t="s">
        <v>420</v>
      </c>
      <c r="K359" s="10" t="s">
        <v>421</v>
      </c>
      <c r="L359" s="10" t="s">
        <v>1058</v>
      </c>
      <c r="M359" s="16" t="s">
        <v>422</v>
      </c>
      <c r="N359" s="10" t="s">
        <v>19</v>
      </c>
      <c r="O359" s="16" t="s">
        <v>444</v>
      </c>
      <c r="P359" s="11" t="s">
        <v>422</v>
      </c>
      <c r="Q359" s="11" t="s">
        <v>420</v>
      </c>
      <c r="R359" s="11" t="s">
        <v>1070</v>
      </c>
      <c r="S359" s="10" t="s">
        <v>62</v>
      </c>
      <c r="T359" s="81">
        <v>8</v>
      </c>
      <c r="U359" s="10" t="s">
        <v>420</v>
      </c>
      <c r="V359" s="10" t="s">
        <v>450</v>
      </c>
      <c r="X359" s="15">
        <v>4</v>
      </c>
      <c r="Y359" s="10" t="s">
        <v>36</v>
      </c>
      <c r="Z359" s="10" t="s">
        <v>2849</v>
      </c>
      <c r="AA359" s="10" t="s">
        <v>37</v>
      </c>
      <c r="AB359" s="10" t="s">
        <v>24</v>
      </c>
    </row>
    <row r="360" spans="1:28">
      <c r="A360" s="10" t="s">
        <v>843</v>
      </c>
      <c r="B360" s="11" t="s">
        <v>327</v>
      </c>
      <c r="C360" s="11" t="s">
        <v>437</v>
      </c>
      <c r="D360" s="12">
        <v>27</v>
      </c>
      <c r="E360" s="11" t="s">
        <v>418</v>
      </c>
      <c r="F360" s="14" t="str">
        <f>_xlfn.XLOOKUP(E360,Profession!$B$2:$B$15,Profession!$A$2:$A$15,"Not Found")</f>
        <v>P001</v>
      </c>
      <c r="G360" s="11" t="s">
        <v>1115</v>
      </c>
      <c r="H360" s="10" t="str">
        <f>_xlfn.XLOOKUP(G360,Region!$B$2:$B$16,Region!$A$2:$A$16,"Not Found")</f>
        <v>R002</v>
      </c>
      <c r="I360" s="10" t="s">
        <v>420</v>
      </c>
      <c r="J360" s="10" t="s">
        <v>420</v>
      </c>
      <c r="K360" s="10" t="s">
        <v>435</v>
      </c>
      <c r="L360" s="10" t="s">
        <v>1058</v>
      </c>
      <c r="M360" s="16" t="s">
        <v>432</v>
      </c>
      <c r="N360" s="10" t="s">
        <v>138</v>
      </c>
      <c r="O360" s="16" t="s">
        <v>433</v>
      </c>
      <c r="P360" s="11" t="s">
        <v>422</v>
      </c>
      <c r="Q360" s="11" t="s">
        <v>1061</v>
      </c>
      <c r="R360" s="11" t="s">
        <v>1065</v>
      </c>
      <c r="S360" s="10" t="s">
        <v>62</v>
      </c>
      <c r="T360" s="81">
        <v>8</v>
      </c>
      <c r="U360" s="10" t="s">
        <v>420</v>
      </c>
      <c r="V360" s="10" t="s">
        <v>2277</v>
      </c>
      <c r="X360" s="15">
        <v>5</v>
      </c>
      <c r="Y360" s="10" t="s">
        <v>27</v>
      </c>
      <c r="Z360" s="10" t="s">
        <v>2849</v>
      </c>
      <c r="AA360" s="10" t="s">
        <v>23</v>
      </c>
      <c r="AB360" s="10" t="s">
        <v>2841</v>
      </c>
    </row>
    <row r="361" spans="1:28">
      <c r="A361" s="10" t="s">
        <v>844</v>
      </c>
      <c r="B361" s="11" t="s">
        <v>328</v>
      </c>
      <c r="C361" s="11" t="s">
        <v>437</v>
      </c>
      <c r="D361" s="12">
        <v>28</v>
      </c>
      <c r="E361" s="11" t="s">
        <v>452</v>
      </c>
      <c r="F361" s="14" t="str">
        <f>_xlfn.XLOOKUP(E361,Profession!$B$2:$B$15,Profession!$A$2:$A$15,"Not Found")</f>
        <v>P005</v>
      </c>
      <c r="G361" s="11" t="s">
        <v>453</v>
      </c>
      <c r="H361" s="10" t="str">
        <f>_xlfn.XLOOKUP(G361,Region!$B$2:$B$16,Region!$A$2:$A$16,"Not Found")</f>
        <v>R005</v>
      </c>
      <c r="I361" s="10" t="s">
        <v>420</v>
      </c>
      <c r="J361" s="10" t="s">
        <v>420</v>
      </c>
      <c r="K361" s="10" t="s">
        <v>434</v>
      </c>
      <c r="L361" s="10" t="s">
        <v>1058</v>
      </c>
      <c r="M361" s="16" t="s">
        <v>422</v>
      </c>
      <c r="N361" s="10" t="s">
        <v>105</v>
      </c>
      <c r="O361" s="16" t="s">
        <v>433</v>
      </c>
      <c r="P361" s="11" t="s">
        <v>422</v>
      </c>
      <c r="Q361" s="11" t="s">
        <v>434</v>
      </c>
      <c r="R361" s="11" t="s">
        <v>1068</v>
      </c>
      <c r="S361" s="10" t="s">
        <v>62</v>
      </c>
      <c r="T361" s="81">
        <v>7</v>
      </c>
      <c r="U361" s="10" t="s">
        <v>2272</v>
      </c>
      <c r="V361" s="10" t="s">
        <v>450</v>
      </c>
      <c r="X361" s="15">
        <v>5</v>
      </c>
      <c r="Y361" s="10" t="s">
        <v>40</v>
      </c>
      <c r="Z361" s="10" t="s">
        <v>2280</v>
      </c>
      <c r="AA361" s="10" t="s">
        <v>37</v>
      </c>
      <c r="AB361" s="10" t="s">
        <v>24</v>
      </c>
    </row>
    <row r="362" spans="1:28">
      <c r="A362" s="10" t="s">
        <v>845</v>
      </c>
      <c r="B362" s="11" t="s">
        <v>329</v>
      </c>
      <c r="C362" s="11" t="s">
        <v>437</v>
      </c>
      <c r="D362" s="12">
        <v>29</v>
      </c>
      <c r="E362" s="11" t="s">
        <v>465</v>
      </c>
      <c r="F362" s="14" t="str">
        <f>_xlfn.XLOOKUP(E362,Profession!$B$2:$B$15,Profession!$A$2:$A$15,"Not Found")</f>
        <v>P010</v>
      </c>
      <c r="G362" s="11" t="s">
        <v>467</v>
      </c>
      <c r="H362" s="10" t="str">
        <f>_xlfn.XLOOKUP(G362,Region!$B$2:$B$16,Region!$A$2:$A$16,"Not Found")</f>
        <v>R009</v>
      </c>
      <c r="I362" s="10" t="s">
        <v>420</v>
      </c>
      <c r="J362" s="10" t="s">
        <v>420</v>
      </c>
      <c r="K362" s="10" t="s">
        <v>434</v>
      </c>
      <c r="L362" s="10" t="s">
        <v>1058</v>
      </c>
      <c r="M362" s="16" t="s">
        <v>422</v>
      </c>
      <c r="N362" s="10" t="s">
        <v>138</v>
      </c>
      <c r="O362" s="16" t="s">
        <v>444</v>
      </c>
      <c r="P362" s="11" t="s">
        <v>422</v>
      </c>
      <c r="Q362" s="11" t="s">
        <v>420</v>
      </c>
      <c r="R362" s="11" t="s">
        <v>1070</v>
      </c>
      <c r="S362" s="10" t="s">
        <v>62</v>
      </c>
      <c r="T362" s="81">
        <v>6</v>
      </c>
      <c r="U362" s="10" t="s">
        <v>420</v>
      </c>
      <c r="V362" s="10" t="s">
        <v>2277</v>
      </c>
      <c r="X362" s="15">
        <v>4</v>
      </c>
      <c r="Y362" s="10" t="s">
        <v>56</v>
      </c>
      <c r="Z362" s="10" t="s">
        <v>2849</v>
      </c>
      <c r="AA362" s="10" t="s">
        <v>23</v>
      </c>
      <c r="AB362" s="10" t="s">
        <v>2843</v>
      </c>
    </row>
    <row r="363" spans="1:28">
      <c r="A363" s="10" t="s">
        <v>846</v>
      </c>
      <c r="B363" s="11" t="s">
        <v>330</v>
      </c>
      <c r="C363" s="11" t="s">
        <v>437</v>
      </c>
      <c r="D363" s="12">
        <v>30</v>
      </c>
      <c r="E363" s="11" t="s">
        <v>448</v>
      </c>
      <c r="F363" s="14" t="str">
        <f>_xlfn.XLOOKUP(E363,Profession!$B$2:$B$15,Profession!$A$2:$A$15,"Not Found")</f>
        <v>P004</v>
      </c>
      <c r="G363" s="11" t="s">
        <v>1111</v>
      </c>
      <c r="H363" s="10" t="str">
        <f>_xlfn.XLOOKUP(G363,Region!$B$2:$B$16,Region!$A$2:$A$16,"Not Found")</f>
        <v>R004</v>
      </c>
      <c r="I363" s="10" t="s">
        <v>420</v>
      </c>
      <c r="J363" s="10" t="s">
        <v>420</v>
      </c>
      <c r="K363" s="10" t="s">
        <v>431</v>
      </c>
      <c r="L363" s="10" t="s">
        <v>1057</v>
      </c>
      <c r="M363" s="16" t="s">
        <v>432</v>
      </c>
      <c r="N363" s="10" t="s">
        <v>138</v>
      </c>
      <c r="O363" s="16" t="s">
        <v>444</v>
      </c>
      <c r="P363" s="11" t="s">
        <v>422</v>
      </c>
      <c r="Q363" s="11" t="s">
        <v>420</v>
      </c>
      <c r="R363" s="11" t="s">
        <v>1070</v>
      </c>
      <c r="S363" s="10" t="s">
        <v>62</v>
      </c>
      <c r="T363" s="81">
        <v>8</v>
      </c>
      <c r="U363" s="10" t="s">
        <v>420</v>
      </c>
      <c r="V363" s="10" t="s">
        <v>450</v>
      </c>
      <c r="X363" s="15">
        <v>4</v>
      </c>
      <c r="Y363" s="10" t="s">
        <v>56</v>
      </c>
      <c r="Z363" s="10" t="s">
        <v>2849</v>
      </c>
      <c r="AA363" s="10" t="s">
        <v>23</v>
      </c>
      <c r="AB363" s="10" t="s">
        <v>46</v>
      </c>
    </row>
    <row r="364" spans="1:28">
      <c r="A364" s="10" t="s">
        <v>847</v>
      </c>
      <c r="B364" s="11" t="s">
        <v>331</v>
      </c>
      <c r="C364" s="11" t="s">
        <v>437</v>
      </c>
      <c r="D364" s="12">
        <v>31</v>
      </c>
      <c r="E364" s="11" t="s">
        <v>448</v>
      </c>
      <c r="F364" s="14" t="str">
        <f>_xlfn.XLOOKUP(E364,Profession!$B$2:$B$15,Profession!$A$2:$A$15,"Not Found")</f>
        <v>P004</v>
      </c>
      <c r="G364" s="11" t="s">
        <v>1111</v>
      </c>
      <c r="H364" s="10" t="str">
        <f>_xlfn.XLOOKUP(G364,Region!$B$2:$B$16,Region!$A$2:$A$16,"Not Found")</f>
        <v>R004</v>
      </c>
      <c r="I364" s="10" t="s">
        <v>420</v>
      </c>
      <c r="J364" s="10" t="s">
        <v>420</v>
      </c>
      <c r="K364" s="10" t="s">
        <v>431</v>
      </c>
      <c r="L364" s="10" t="s">
        <v>1058</v>
      </c>
      <c r="M364" s="16" t="s">
        <v>432</v>
      </c>
      <c r="N364" s="10" t="s">
        <v>138</v>
      </c>
      <c r="O364" s="16" t="s">
        <v>450</v>
      </c>
      <c r="P364" s="11" t="s">
        <v>422</v>
      </c>
      <c r="Q364" s="11" t="s">
        <v>420</v>
      </c>
      <c r="R364" s="11" t="s">
        <v>107</v>
      </c>
      <c r="S364" s="10" t="s">
        <v>62</v>
      </c>
      <c r="T364" s="81">
        <v>7</v>
      </c>
      <c r="U364" s="10" t="s">
        <v>420</v>
      </c>
      <c r="V364" s="10" t="s">
        <v>450</v>
      </c>
      <c r="X364" s="15">
        <v>4</v>
      </c>
      <c r="Y364" s="10" t="s">
        <v>56</v>
      </c>
      <c r="Z364" s="10" t="s">
        <v>2849</v>
      </c>
      <c r="AA364" s="10" t="s">
        <v>23</v>
      </c>
      <c r="AB364" s="10" t="s">
        <v>46</v>
      </c>
    </row>
    <row r="365" spans="1:28">
      <c r="A365" s="10" t="s">
        <v>848</v>
      </c>
      <c r="B365" s="11" t="s">
        <v>332</v>
      </c>
      <c r="C365" s="11" t="s">
        <v>437</v>
      </c>
      <c r="D365" s="12">
        <v>32</v>
      </c>
      <c r="E365" s="11" t="s">
        <v>465</v>
      </c>
      <c r="F365" s="14" t="str">
        <f>_xlfn.XLOOKUP(E365,Profession!$B$2:$B$15,Profession!$A$2:$A$15,"Not Found")</f>
        <v>P010</v>
      </c>
      <c r="G365" s="11" t="s">
        <v>419</v>
      </c>
      <c r="H365" s="10" t="str">
        <f>_xlfn.XLOOKUP(G365,Region!$B$2:$B$16,Region!$A$2:$A$16,"Not Found")</f>
        <v>R001</v>
      </c>
      <c r="I365" s="10" t="s">
        <v>423</v>
      </c>
      <c r="J365" s="10" t="s">
        <v>423</v>
      </c>
      <c r="K365" s="10" t="s">
        <v>434</v>
      </c>
      <c r="L365" s="10" t="s">
        <v>1058</v>
      </c>
      <c r="M365" s="16" t="s">
        <v>422</v>
      </c>
      <c r="N365" s="10" t="s">
        <v>138</v>
      </c>
      <c r="O365" s="16" t="s">
        <v>444</v>
      </c>
      <c r="P365" s="11" t="s">
        <v>422</v>
      </c>
      <c r="Q365" s="11" t="s">
        <v>420</v>
      </c>
      <c r="R365" s="11" t="s">
        <v>1065</v>
      </c>
      <c r="S365" s="10" t="s">
        <v>62</v>
      </c>
      <c r="T365" s="81">
        <v>8</v>
      </c>
      <c r="U365" s="10" t="s">
        <v>420</v>
      </c>
      <c r="V365" s="10" t="s">
        <v>450</v>
      </c>
      <c r="X365" s="15">
        <v>7</v>
      </c>
      <c r="Y365" s="10" t="s">
        <v>100</v>
      </c>
      <c r="Z365" s="10" t="s">
        <v>2849</v>
      </c>
      <c r="AA365" s="10" t="s">
        <v>23</v>
      </c>
      <c r="AB365" s="10" t="s">
        <v>2843</v>
      </c>
    </row>
    <row r="366" spans="1:28">
      <c r="A366" s="10" t="s">
        <v>849</v>
      </c>
      <c r="B366" s="11" t="s">
        <v>333</v>
      </c>
      <c r="C366" s="11" t="s">
        <v>437</v>
      </c>
      <c r="D366" s="12">
        <v>33</v>
      </c>
      <c r="E366" s="11" t="s">
        <v>462</v>
      </c>
      <c r="F366" s="14" t="str">
        <f>_xlfn.XLOOKUP(E366,Profession!$B$2:$B$15,Profession!$A$2:$A$15,"Not Found")</f>
        <v>P008</v>
      </c>
      <c r="G366" s="11" t="s">
        <v>464</v>
      </c>
      <c r="H366" s="10" t="str">
        <f>_xlfn.XLOOKUP(G366,Region!$B$2:$B$16,Region!$A$2:$A$16,"Not Found")</f>
        <v>R007</v>
      </c>
      <c r="I366" s="10" t="s">
        <v>423</v>
      </c>
      <c r="J366" s="10" t="s">
        <v>423</v>
      </c>
      <c r="K366" s="10" t="s">
        <v>435</v>
      </c>
      <c r="L366" s="10" t="s">
        <v>1058</v>
      </c>
      <c r="M366" s="16" t="s">
        <v>436</v>
      </c>
      <c r="N366" s="10" t="s">
        <v>138</v>
      </c>
      <c r="O366" s="16" t="s">
        <v>450</v>
      </c>
      <c r="P366" s="11" t="s">
        <v>422</v>
      </c>
      <c r="Q366" s="11" t="s">
        <v>420</v>
      </c>
      <c r="R366" s="11" t="s">
        <v>107</v>
      </c>
      <c r="S366" s="10" t="s">
        <v>62</v>
      </c>
      <c r="T366" s="81">
        <v>5</v>
      </c>
      <c r="U366" s="10" t="s">
        <v>2275</v>
      </c>
      <c r="V366" s="10" t="s">
        <v>450</v>
      </c>
      <c r="X366" s="15">
        <v>5</v>
      </c>
      <c r="Y366" s="10" t="s">
        <v>54</v>
      </c>
      <c r="Z366" s="10" t="s">
        <v>2849</v>
      </c>
      <c r="AA366" s="10" t="s">
        <v>23</v>
      </c>
      <c r="AB366" s="10" t="s">
        <v>2844</v>
      </c>
    </row>
    <row r="367" spans="1:28">
      <c r="A367" s="10" t="s">
        <v>850</v>
      </c>
      <c r="B367" s="11" t="s">
        <v>334</v>
      </c>
      <c r="C367" s="11" t="s">
        <v>437</v>
      </c>
      <c r="D367" s="12">
        <v>34</v>
      </c>
      <c r="E367" s="11" t="s">
        <v>473</v>
      </c>
      <c r="F367" s="14" t="str">
        <f>_xlfn.XLOOKUP(E367,Profession!$B$2:$B$15,Profession!$A$2:$A$15,"Not Found")</f>
        <v>P012</v>
      </c>
      <c r="G367" s="11" t="s">
        <v>419</v>
      </c>
      <c r="H367" s="10" t="str">
        <f>_xlfn.XLOOKUP(G367,Region!$B$2:$B$16,Region!$A$2:$A$16,"Not Found")</f>
        <v>R001</v>
      </c>
      <c r="I367" s="10" t="s">
        <v>423</v>
      </c>
      <c r="J367" s="10" t="s">
        <v>423</v>
      </c>
      <c r="K367" s="10" t="s">
        <v>434</v>
      </c>
      <c r="L367" s="10" t="s">
        <v>1058</v>
      </c>
      <c r="M367" s="16" t="s">
        <v>432</v>
      </c>
      <c r="N367" s="10" t="s">
        <v>138</v>
      </c>
      <c r="O367" s="16" t="s">
        <v>444</v>
      </c>
      <c r="P367" s="11" t="s">
        <v>422</v>
      </c>
      <c r="Q367" s="11" t="s">
        <v>420</v>
      </c>
      <c r="R367" s="11" t="s">
        <v>107</v>
      </c>
      <c r="S367" s="10" t="s">
        <v>62</v>
      </c>
      <c r="T367" s="81">
        <v>7</v>
      </c>
      <c r="U367" s="10" t="s">
        <v>420</v>
      </c>
      <c r="V367" s="10" t="s">
        <v>450</v>
      </c>
      <c r="X367" s="15">
        <v>5</v>
      </c>
      <c r="Y367" s="10" t="s">
        <v>87</v>
      </c>
      <c r="Z367" s="10" t="s">
        <v>2848</v>
      </c>
      <c r="AA367" s="10" t="s">
        <v>23</v>
      </c>
      <c r="AB367" s="10" t="s">
        <v>149</v>
      </c>
    </row>
    <row r="368" spans="1:28">
      <c r="A368" s="10" t="s">
        <v>851</v>
      </c>
      <c r="B368" s="11" t="s">
        <v>335</v>
      </c>
      <c r="C368" s="11" t="s">
        <v>437</v>
      </c>
      <c r="D368" s="12">
        <v>35</v>
      </c>
      <c r="E368" s="11" t="s">
        <v>452</v>
      </c>
      <c r="F368" s="14" t="str">
        <f>_xlfn.XLOOKUP(E368,Profession!$B$2:$B$15,Profession!$A$2:$A$15,"Not Found")</f>
        <v>P005</v>
      </c>
      <c r="G368" s="11" t="s">
        <v>455</v>
      </c>
      <c r="H368" s="10" t="str">
        <f>_xlfn.XLOOKUP(G368,Region!$B$2:$B$16,Region!$A$2:$A$16,"Not Found")</f>
        <v>R006</v>
      </c>
      <c r="I368" s="10" t="s">
        <v>420</v>
      </c>
      <c r="J368" s="10" t="s">
        <v>420</v>
      </c>
      <c r="K368" s="10" t="s">
        <v>434</v>
      </c>
      <c r="L368" s="10" t="s">
        <v>1058</v>
      </c>
      <c r="M368" s="16" t="s">
        <v>422</v>
      </c>
      <c r="N368" s="10" t="s">
        <v>106</v>
      </c>
      <c r="O368" s="16" t="s">
        <v>436</v>
      </c>
      <c r="P368" s="11" t="s">
        <v>422</v>
      </c>
      <c r="Q368" s="11" t="s">
        <v>435</v>
      </c>
      <c r="R368" s="11" t="s">
        <v>1071</v>
      </c>
      <c r="S368" s="10" t="s">
        <v>62</v>
      </c>
      <c r="T368" s="81">
        <v>6</v>
      </c>
      <c r="U368" s="10" t="s">
        <v>420</v>
      </c>
      <c r="V368" s="10" t="s">
        <v>2277</v>
      </c>
      <c r="X368" s="15">
        <v>8</v>
      </c>
      <c r="Y368" s="10" t="s">
        <v>42</v>
      </c>
      <c r="Z368" s="10" t="s">
        <v>2849</v>
      </c>
      <c r="AA368" s="10" t="s">
        <v>43</v>
      </c>
      <c r="AB368" s="10" t="s">
        <v>46</v>
      </c>
    </row>
    <row r="369" spans="1:28">
      <c r="A369" s="10" t="s">
        <v>852</v>
      </c>
      <c r="B369" s="11" t="s">
        <v>336</v>
      </c>
      <c r="C369" s="11" t="s">
        <v>437</v>
      </c>
      <c r="D369" s="12">
        <v>36</v>
      </c>
      <c r="E369" s="11" t="s">
        <v>452</v>
      </c>
      <c r="F369" s="14" t="str">
        <f>_xlfn.XLOOKUP(E369,Profession!$B$2:$B$15,Profession!$A$2:$A$15,"Not Found")</f>
        <v>P005</v>
      </c>
      <c r="G369" s="11" t="s">
        <v>1115</v>
      </c>
      <c r="H369" s="10" t="str">
        <f>_xlfn.XLOOKUP(G369,Region!$B$2:$B$16,Region!$A$2:$A$16,"Not Found")</f>
        <v>R002</v>
      </c>
      <c r="I369" s="10" t="s">
        <v>420</v>
      </c>
      <c r="J369" s="10" t="s">
        <v>420</v>
      </c>
      <c r="K369" s="10" t="s">
        <v>435</v>
      </c>
      <c r="L369" s="10" t="s">
        <v>1058</v>
      </c>
      <c r="M369" s="16" t="s">
        <v>429</v>
      </c>
      <c r="N369" s="10" t="s">
        <v>64</v>
      </c>
      <c r="O369" s="16" t="s">
        <v>433</v>
      </c>
      <c r="P369" s="11" t="s">
        <v>422</v>
      </c>
      <c r="Q369" s="11" t="s">
        <v>420</v>
      </c>
      <c r="R369" s="11" t="s">
        <v>1072</v>
      </c>
      <c r="S369" s="10" t="s">
        <v>2885</v>
      </c>
      <c r="T369" s="81">
        <v>6</v>
      </c>
      <c r="U369" s="10" t="s">
        <v>2273</v>
      </c>
      <c r="V369" s="10" t="s">
        <v>2277</v>
      </c>
      <c r="X369" s="15">
        <v>3</v>
      </c>
      <c r="Y369" s="10" t="s">
        <v>45</v>
      </c>
      <c r="Z369" s="10" t="s">
        <v>2849</v>
      </c>
      <c r="AA369" s="10" t="s">
        <v>37</v>
      </c>
      <c r="AB369" s="10" t="s">
        <v>149</v>
      </c>
    </row>
    <row r="370" spans="1:28">
      <c r="A370" s="10" t="s">
        <v>853</v>
      </c>
      <c r="B370" s="11" t="s">
        <v>191</v>
      </c>
      <c r="C370" s="11" t="s">
        <v>437</v>
      </c>
      <c r="D370" s="12">
        <v>37</v>
      </c>
      <c r="E370" s="11" t="s">
        <v>442</v>
      </c>
      <c r="F370" s="14" t="str">
        <f>_xlfn.XLOOKUP(E370,Profession!$B$2:$B$15,Profession!$A$2:$A$15,"Not Found")</f>
        <v>P002</v>
      </c>
      <c r="G370" s="11" t="s">
        <v>419</v>
      </c>
      <c r="H370" s="10" t="str">
        <f>_xlfn.XLOOKUP(G370,Region!$B$2:$B$16,Region!$A$2:$A$16,"Not Found")</f>
        <v>R001</v>
      </c>
      <c r="I370" s="10" t="s">
        <v>420</v>
      </c>
      <c r="J370" s="10" t="s">
        <v>420</v>
      </c>
      <c r="K370" s="10" t="s">
        <v>426</v>
      </c>
      <c r="L370" s="10" t="s">
        <v>1058</v>
      </c>
      <c r="M370" s="16" t="s">
        <v>422</v>
      </c>
      <c r="N370" s="10" t="s">
        <v>102</v>
      </c>
      <c r="O370" s="16" t="s">
        <v>426</v>
      </c>
      <c r="P370" s="11" t="s">
        <v>1059</v>
      </c>
      <c r="Q370" s="11" t="s">
        <v>422</v>
      </c>
      <c r="R370" s="11" t="s">
        <v>1062</v>
      </c>
      <c r="S370" s="10" t="s">
        <v>2884</v>
      </c>
      <c r="T370" s="81">
        <v>6.3008333333333297</v>
      </c>
      <c r="U370" s="10" t="s">
        <v>420</v>
      </c>
      <c r="V370" s="10" t="s">
        <v>2277</v>
      </c>
      <c r="X370" s="15">
        <v>4</v>
      </c>
      <c r="Y370" s="10" t="s">
        <v>36</v>
      </c>
      <c r="Z370" s="10" t="s">
        <v>2849</v>
      </c>
      <c r="AA370" s="10" t="s">
        <v>23</v>
      </c>
      <c r="AB370" s="10" t="s">
        <v>2843</v>
      </c>
    </row>
    <row r="371" spans="1:28">
      <c r="A371" s="10" t="s">
        <v>854</v>
      </c>
      <c r="B371" s="11" t="s">
        <v>192</v>
      </c>
      <c r="C371" s="11" t="s">
        <v>437</v>
      </c>
      <c r="D371" s="12">
        <v>38</v>
      </c>
      <c r="E371" s="11" t="s">
        <v>465</v>
      </c>
      <c r="F371" s="14" t="str">
        <f>_xlfn.XLOOKUP(E371,Profession!$B$2:$B$15,Profession!$A$2:$A$15,"Not Found")</f>
        <v>P010</v>
      </c>
      <c r="G371" s="11" t="s">
        <v>108</v>
      </c>
      <c r="H371" s="10" t="str">
        <f>_xlfn.XLOOKUP(G371,Region!$B$2:$B$16,Region!$A$2:$A$16,"Not Found")</f>
        <v>R010</v>
      </c>
      <c r="I371" s="10" t="s">
        <v>420</v>
      </c>
      <c r="J371" s="10" t="s">
        <v>420</v>
      </c>
      <c r="K371" s="10" t="s">
        <v>435</v>
      </c>
      <c r="L371" s="10" t="s">
        <v>1058</v>
      </c>
      <c r="M371" s="16" t="s">
        <v>422</v>
      </c>
      <c r="N371" s="10" t="s">
        <v>138</v>
      </c>
      <c r="O371" s="16" t="s">
        <v>450</v>
      </c>
      <c r="P371" s="11" t="s">
        <v>422</v>
      </c>
      <c r="Q371" s="11" t="s">
        <v>420</v>
      </c>
      <c r="R371" s="11" t="s">
        <v>107</v>
      </c>
      <c r="S371" s="10" t="s">
        <v>62</v>
      </c>
      <c r="T371" s="81">
        <v>7</v>
      </c>
      <c r="U371" s="10" t="s">
        <v>420</v>
      </c>
      <c r="V371" s="10" t="s">
        <v>450</v>
      </c>
      <c r="X371" s="15">
        <v>7</v>
      </c>
      <c r="Y371" s="10" t="s">
        <v>19</v>
      </c>
      <c r="Z371" s="10" t="s">
        <v>2849</v>
      </c>
      <c r="AA371" s="10" t="s">
        <v>23</v>
      </c>
      <c r="AB371" s="10" t="s">
        <v>2841</v>
      </c>
    </row>
    <row r="372" spans="1:28">
      <c r="A372" s="10" t="s">
        <v>855</v>
      </c>
      <c r="B372" s="11" t="s">
        <v>337</v>
      </c>
      <c r="C372" s="11" t="s">
        <v>437</v>
      </c>
      <c r="D372" s="12">
        <v>39</v>
      </c>
      <c r="E372" s="11" t="s">
        <v>458</v>
      </c>
      <c r="F372" s="14" t="str">
        <f>_xlfn.XLOOKUP(E372,Profession!$B$2:$B$15,Profession!$A$2:$A$15,"Not Found")</f>
        <v>P006</v>
      </c>
      <c r="G372" s="11" t="s">
        <v>1115</v>
      </c>
      <c r="H372" s="10" t="str">
        <f>_xlfn.XLOOKUP(G372,Region!$B$2:$B$16,Region!$A$2:$A$16,"Not Found")</f>
        <v>R002</v>
      </c>
      <c r="I372" s="10" t="s">
        <v>420</v>
      </c>
      <c r="J372" s="10" t="s">
        <v>420</v>
      </c>
      <c r="K372" s="10" t="s">
        <v>434</v>
      </c>
      <c r="L372" s="10" t="s">
        <v>1058</v>
      </c>
      <c r="M372" s="16" t="s">
        <v>432</v>
      </c>
      <c r="N372" s="10" t="s">
        <v>64</v>
      </c>
      <c r="O372" s="16" t="s">
        <v>433</v>
      </c>
      <c r="P372" s="11" t="s">
        <v>422</v>
      </c>
      <c r="Q372" s="11" t="s">
        <v>1061</v>
      </c>
      <c r="R372" s="11" t="s">
        <v>1065</v>
      </c>
      <c r="S372" s="10" t="s">
        <v>62</v>
      </c>
      <c r="T372" s="81">
        <v>6</v>
      </c>
      <c r="U372" s="10" t="s">
        <v>2274</v>
      </c>
      <c r="V372" s="10" t="s">
        <v>450</v>
      </c>
      <c r="X372" s="15">
        <v>3</v>
      </c>
      <c r="Y372" s="10" t="s">
        <v>49</v>
      </c>
      <c r="Z372" s="10" t="s">
        <v>2849</v>
      </c>
      <c r="AA372" s="10" t="s">
        <v>37</v>
      </c>
      <c r="AB372" s="10" t="s">
        <v>46</v>
      </c>
    </row>
    <row r="373" spans="1:28">
      <c r="A373" s="10" t="s">
        <v>856</v>
      </c>
      <c r="B373" s="11" t="s">
        <v>338</v>
      </c>
      <c r="C373" s="11" t="s">
        <v>437</v>
      </c>
      <c r="D373" s="12">
        <v>40</v>
      </c>
      <c r="E373" s="11" t="s">
        <v>1054</v>
      </c>
      <c r="F373" s="14" t="str">
        <f>_xlfn.XLOOKUP(E373,Profession!$B$2:$B$15,Profession!$A$2:$A$15,"Not Found")</f>
        <v>P013</v>
      </c>
      <c r="G373" s="11" t="s">
        <v>1110</v>
      </c>
      <c r="H373" s="10" t="str">
        <f>_xlfn.XLOOKUP(G373,Region!$B$2:$B$16,Region!$A$2:$A$16,"Not Found")</f>
        <v>R013</v>
      </c>
      <c r="I373" s="10" t="s">
        <v>420</v>
      </c>
      <c r="J373" s="10" t="s">
        <v>420</v>
      </c>
      <c r="K373" s="10" t="s">
        <v>435</v>
      </c>
      <c r="L373" s="10" t="s">
        <v>1058</v>
      </c>
      <c r="M373" s="16" t="s">
        <v>422</v>
      </c>
      <c r="N373" s="10" t="s">
        <v>138</v>
      </c>
      <c r="O373" s="16" t="s">
        <v>433</v>
      </c>
      <c r="P373" s="11" t="s">
        <v>435</v>
      </c>
      <c r="Q373" s="11" t="s">
        <v>420</v>
      </c>
      <c r="R373" s="11" t="s">
        <v>1067</v>
      </c>
      <c r="S373" s="10" t="s">
        <v>62</v>
      </c>
      <c r="T373" s="81">
        <v>6</v>
      </c>
      <c r="U373" s="10" t="s">
        <v>420</v>
      </c>
      <c r="V373" s="10" t="s">
        <v>450</v>
      </c>
      <c r="X373" s="15">
        <v>6</v>
      </c>
      <c r="Y373" s="10" t="s">
        <v>75</v>
      </c>
      <c r="Z373" s="10" t="s">
        <v>2847</v>
      </c>
      <c r="AA373" s="10" t="s">
        <v>70</v>
      </c>
      <c r="AB373" s="10" t="s">
        <v>149</v>
      </c>
    </row>
    <row r="374" spans="1:28">
      <c r="A374" s="10" t="s">
        <v>857</v>
      </c>
      <c r="B374" s="11" t="s">
        <v>18</v>
      </c>
      <c r="C374" s="11" t="s">
        <v>417</v>
      </c>
      <c r="D374" s="12">
        <v>41</v>
      </c>
      <c r="E374" s="11" t="s">
        <v>446</v>
      </c>
      <c r="F374" s="14" t="str">
        <f>_xlfn.XLOOKUP(E374,Profession!$B$2:$B$15,Profession!$A$2:$A$15,"Not Found")</f>
        <v>P003</v>
      </c>
      <c r="G374" s="11" t="s">
        <v>104</v>
      </c>
      <c r="H374" s="10" t="str">
        <f>_xlfn.XLOOKUP(G374,Region!$B$2:$B$16,Region!$A$2:$A$16,"Not Found")</f>
        <v>R003</v>
      </c>
      <c r="I374" s="10" t="s">
        <v>420</v>
      </c>
      <c r="J374" s="10" t="s">
        <v>420</v>
      </c>
      <c r="K374" s="10" t="s">
        <v>435</v>
      </c>
      <c r="L374" s="10" t="s">
        <v>1058</v>
      </c>
      <c r="M374" s="16" t="s">
        <v>422</v>
      </c>
      <c r="N374" s="10" t="s">
        <v>138</v>
      </c>
      <c r="O374" s="16" t="s">
        <v>433</v>
      </c>
      <c r="P374" s="11" t="s">
        <v>422</v>
      </c>
      <c r="Q374" s="11" t="s">
        <v>420</v>
      </c>
      <c r="R374" s="11" t="s">
        <v>1070</v>
      </c>
      <c r="S374" s="10" t="s">
        <v>62</v>
      </c>
      <c r="T374" s="81">
        <v>8</v>
      </c>
      <c r="U374" s="10" t="s">
        <v>420</v>
      </c>
      <c r="V374" s="10" t="s">
        <v>2277</v>
      </c>
      <c r="X374" s="15">
        <v>5</v>
      </c>
      <c r="Y374" s="10" t="s">
        <v>19</v>
      </c>
      <c r="Z374" s="10" t="s">
        <v>2849</v>
      </c>
      <c r="AA374" s="10" t="s">
        <v>23</v>
      </c>
      <c r="AB374" s="10" t="s">
        <v>28</v>
      </c>
    </row>
    <row r="375" spans="1:28">
      <c r="A375" s="10" t="s">
        <v>858</v>
      </c>
      <c r="B375" s="11" t="s">
        <v>339</v>
      </c>
      <c r="C375" s="11" t="s">
        <v>417</v>
      </c>
      <c r="D375" s="12">
        <v>42</v>
      </c>
      <c r="E375" s="11" t="s">
        <v>1088</v>
      </c>
      <c r="F375" s="14" t="str">
        <f>_xlfn.XLOOKUP(E375,Profession!$B$2:$B$15,Profession!$A$2:$A$15,"Not Found")</f>
        <v>P014</v>
      </c>
      <c r="G375" s="11" t="s">
        <v>1114</v>
      </c>
      <c r="H375" s="10" t="str">
        <f>_xlfn.XLOOKUP(G375,Region!$B$2:$B$16,Region!$A$2:$A$16,"Not Found")</f>
        <v>R014</v>
      </c>
      <c r="I375" s="10" t="s">
        <v>420</v>
      </c>
      <c r="J375" s="10" t="s">
        <v>420</v>
      </c>
      <c r="K375" s="10" t="s">
        <v>435</v>
      </c>
      <c r="L375" s="10" t="s">
        <v>1058</v>
      </c>
      <c r="M375" s="16" t="s">
        <v>422</v>
      </c>
      <c r="N375" s="10" t="s">
        <v>138</v>
      </c>
      <c r="O375" s="16" t="s">
        <v>433</v>
      </c>
      <c r="P375" s="11" t="s">
        <v>422</v>
      </c>
      <c r="Q375" s="11" t="s">
        <v>1061</v>
      </c>
      <c r="R375" s="11" t="s">
        <v>1067</v>
      </c>
      <c r="S375" s="10" t="s">
        <v>62</v>
      </c>
      <c r="T375" s="81">
        <v>6</v>
      </c>
      <c r="U375" s="10" t="s">
        <v>420</v>
      </c>
      <c r="V375" s="10" t="s">
        <v>450</v>
      </c>
      <c r="X375" s="15">
        <v>6</v>
      </c>
      <c r="Y375" s="10" t="s">
        <v>77</v>
      </c>
      <c r="Z375" s="10" t="s">
        <v>2282</v>
      </c>
      <c r="AA375" s="10" t="s">
        <v>23</v>
      </c>
      <c r="AB375" s="10" t="s">
        <v>46</v>
      </c>
    </row>
    <row r="376" spans="1:28">
      <c r="A376" s="10" t="s">
        <v>859</v>
      </c>
      <c r="B376" s="11" t="s">
        <v>340</v>
      </c>
      <c r="C376" s="11" t="s">
        <v>417</v>
      </c>
      <c r="D376" s="12">
        <v>43</v>
      </c>
      <c r="E376" s="11" t="s">
        <v>1088</v>
      </c>
      <c r="F376" s="14" t="str">
        <f>_xlfn.XLOOKUP(E376,Profession!$B$2:$B$15,Profession!$A$2:$A$15,"Not Found")</f>
        <v>P014</v>
      </c>
      <c r="G376" s="11" t="s">
        <v>477</v>
      </c>
      <c r="H376" s="10" t="str">
        <f>_xlfn.XLOOKUP(G376,Region!$B$2:$B$16,Region!$A$2:$A$16,"Not Found")</f>
        <v>R015</v>
      </c>
      <c r="I376" s="10" t="s">
        <v>420</v>
      </c>
      <c r="J376" s="10" t="s">
        <v>420</v>
      </c>
      <c r="K376" s="10" t="s">
        <v>435</v>
      </c>
      <c r="L376" s="10" t="s">
        <v>1058</v>
      </c>
      <c r="M376" s="16" t="s">
        <v>422</v>
      </c>
      <c r="N376" s="10" t="s">
        <v>138</v>
      </c>
      <c r="O376" s="16" t="s">
        <v>433</v>
      </c>
      <c r="P376" s="11" t="s">
        <v>435</v>
      </c>
      <c r="Q376" s="11" t="s">
        <v>1061</v>
      </c>
      <c r="R376" s="11" t="s">
        <v>1068</v>
      </c>
      <c r="S376" s="10" t="s">
        <v>62</v>
      </c>
      <c r="T376" s="81">
        <v>8</v>
      </c>
      <c r="U376" s="10" t="s">
        <v>420</v>
      </c>
      <c r="V376" s="10" t="s">
        <v>450</v>
      </c>
      <c r="X376" s="15">
        <v>6</v>
      </c>
      <c r="Y376" s="10" t="s">
        <v>36</v>
      </c>
      <c r="Z376" s="10" t="s">
        <v>2849</v>
      </c>
      <c r="AA376" s="10" t="s">
        <v>23</v>
      </c>
      <c r="AB376" s="10" t="s">
        <v>2841</v>
      </c>
    </row>
    <row r="377" spans="1:28">
      <c r="A377" s="10" t="s">
        <v>860</v>
      </c>
      <c r="B377" s="11" t="s">
        <v>204</v>
      </c>
      <c r="C377" s="11" t="s">
        <v>417</v>
      </c>
      <c r="D377" s="12">
        <v>20</v>
      </c>
      <c r="E377" s="11" t="s">
        <v>418</v>
      </c>
      <c r="F377" s="14" t="str">
        <f>_xlfn.XLOOKUP(E377,Profession!$B$2:$B$15,Profession!$A$2:$A$15,"Not Found")</f>
        <v>P001</v>
      </c>
      <c r="G377" s="11" t="s">
        <v>419</v>
      </c>
      <c r="H377" s="10" t="str">
        <f>_xlfn.XLOOKUP(G377,Region!$B$2:$B$16,Region!$A$2:$A$16,"Not Found")</f>
        <v>R001</v>
      </c>
      <c r="I377" s="10" t="s">
        <v>420</v>
      </c>
      <c r="J377" s="10" t="s">
        <v>420</v>
      </c>
      <c r="K377" s="10" t="s">
        <v>435</v>
      </c>
      <c r="L377" s="10" t="s">
        <v>1057</v>
      </c>
      <c r="M377" s="16" t="s">
        <v>422</v>
      </c>
      <c r="N377" s="10" t="s">
        <v>26</v>
      </c>
      <c r="O377" s="16" t="s">
        <v>423</v>
      </c>
      <c r="P377" s="11" t="s">
        <v>1059</v>
      </c>
      <c r="Q377" s="11" t="s">
        <v>422</v>
      </c>
      <c r="R377" s="11" t="s">
        <v>1062</v>
      </c>
      <c r="S377" s="10" t="s">
        <v>2884</v>
      </c>
      <c r="T377" s="81">
        <v>7</v>
      </c>
      <c r="U377" s="10" t="s">
        <v>420</v>
      </c>
      <c r="V377" s="10" t="s">
        <v>2278</v>
      </c>
      <c r="X377" s="15">
        <v>3</v>
      </c>
      <c r="Y377" s="10" t="s">
        <v>27</v>
      </c>
      <c r="Z377" s="10" t="s">
        <v>2849</v>
      </c>
      <c r="AA377" s="10" t="s">
        <v>23</v>
      </c>
      <c r="AB377" s="10" t="s">
        <v>24</v>
      </c>
    </row>
    <row r="378" spans="1:28">
      <c r="A378" s="10" t="s">
        <v>861</v>
      </c>
      <c r="B378" s="11" t="s">
        <v>341</v>
      </c>
      <c r="C378" s="11" t="s">
        <v>417</v>
      </c>
      <c r="D378" s="12">
        <v>21</v>
      </c>
      <c r="E378" s="11" t="s">
        <v>465</v>
      </c>
      <c r="F378" s="14" t="str">
        <f>_xlfn.XLOOKUP(E378,Profession!$B$2:$B$15,Profession!$A$2:$A$15,"Not Found")</f>
        <v>P010</v>
      </c>
      <c r="G378" s="11" t="s">
        <v>1115</v>
      </c>
      <c r="H378" s="10" t="str">
        <f>_xlfn.XLOOKUP(G378,Region!$B$2:$B$16,Region!$A$2:$A$16,"Not Found")</f>
        <v>R002</v>
      </c>
      <c r="I378" s="10" t="s">
        <v>420</v>
      </c>
      <c r="J378" s="10" t="s">
        <v>420</v>
      </c>
      <c r="K378" s="10" t="s">
        <v>421</v>
      </c>
      <c r="L378" s="10" t="s">
        <v>1058</v>
      </c>
      <c r="M378" s="16" t="s">
        <v>422</v>
      </c>
      <c r="N378" s="10" t="s">
        <v>138</v>
      </c>
      <c r="O378" s="16" t="s">
        <v>450</v>
      </c>
      <c r="P378" s="11" t="s">
        <v>422</v>
      </c>
      <c r="Q378" s="11" t="s">
        <v>420</v>
      </c>
      <c r="R378" s="11" t="s">
        <v>1065</v>
      </c>
      <c r="S378" s="10" t="s">
        <v>62</v>
      </c>
      <c r="T378" s="81">
        <v>8</v>
      </c>
      <c r="U378" s="10" t="s">
        <v>420</v>
      </c>
      <c r="V378" s="10" t="s">
        <v>450</v>
      </c>
      <c r="X378" s="15">
        <v>4</v>
      </c>
      <c r="Y378" s="10" t="s">
        <v>56</v>
      </c>
      <c r="Z378" s="10" t="s">
        <v>2849</v>
      </c>
      <c r="AA378" s="10" t="s">
        <v>23</v>
      </c>
      <c r="AB378" s="10" t="s">
        <v>2843</v>
      </c>
    </row>
    <row r="379" spans="1:28">
      <c r="A379" s="10" t="s">
        <v>862</v>
      </c>
      <c r="B379" s="11" t="s">
        <v>342</v>
      </c>
      <c r="C379" s="11" t="s">
        <v>417</v>
      </c>
      <c r="D379" s="12">
        <v>22</v>
      </c>
      <c r="E379" s="11" t="s">
        <v>442</v>
      </c>
      <c r="F379" s="14" t="str">
        <f>_xlfn.XLOOKUP(E379,Profession!$B$2:$B$15,Profession!$A$2:$A$15,"Not Found")</f>
        <v>P002</v>
      </c>
      <c r="G379" s="11" t="s">
        <v>419</v>
      </c>
      <c r="H379" s="10" t="str">
        <f>_xlfn.XLOOKUP(G379,Region!$B$2:$B$16,Region!$A$2:$A$16,"Not Found")</f>
        <v>R001</v>
      </c>
      <c r="I379" s="10" t="s">
        <v>420</v>
      </c>
      <c r="J379" s="10" t="s">
        <v>420</v>
      </c>
      <c r="K379" s="10" t="s">
        <v>435</v>
      </c>
      <c r="L379" s="10" t="s">
        <v>1058</v>
      </c>
      <c r="M379" s="16" t="s">
        <v>436</v>
      </c>
      <c r="N379" s="10" t="s">
        <v>138</v>
      </c>
      <c r="O379" s="16" t="s">
        <v>444</v>
      </c>
      <c r="P379" s="11" t="s">
        <v>422</v>
      </c>
      <c r="Q379" s="11" t="s">
        <v>1061</v>
      </c>
      <c r="R379" s="11" t="s">
        <v>1068</v>
      </c>
      <c r="S379" s="10" t="s">
        <v>62</v>
      </c>
      <c r="T379" s="81">
        <v>6</v>
      </c>
      <c r="U379" s="10" t="s">
        <v>420</v>
      </c>
      <c r="V379" s="10" t="s">
        <v>2277</v>
      </c>
      <c r="X379" s="15">
        <v>6</v>
      </c>
      <c r="Y379" s="10" t="s">
        <v>100</v>
      </c>
      <c r="Z379" s="10" t="s">
        <v>2849</v>
      </c>
      <c r="AA379" s="10" t="s">
        <v>37</v>
      </c>
      <c r="AB379" s="10" t="s">
        <v>2844</v>
      </c>
    </row>
    <row r="380" spans="1:28">
      <c r="A380" s="10" t="s">
        <v>863</v>
      </c>
      <c r="B380" s="11" t="s">
        <v>343</v>
      </c>
      <c r="C380" s="11" t="s">
        <v>417</v>
      </c>
      <c r="D380" s="12">
        <v>23</v>
      </c>
      <c r="E380" s="11" t="s">
        <v>462</v>
      </c>
      <c r="F380" s="14" t="str">
        <f>_xlfn.XLOOKUP(E380,Profession!$B$2:$B$15,Profession!$A$2:$A$15,"Not Found")</f>
        <v>P008</v>
      </c>
      <c r="G380" s="11" t="s">
        <v>1112</v>
      </c>
      <c r="H380" s="10" t="str">
        <f>_xlfn.XLOOKUP(G380,Region!$B$2:$B$16,Region!$A$2:$A$16,"Not Found")</f>
        <v>R008</v>
      </c>
      <c r="I380" s="10" t="s">
        <v>420</v>
      </c>
      <c r="J380" s="10" t="s">
        <v>420</v>
      </c>
      <c r="K380" s="10" t="s">
        <v>431</v>
      </c>
      <c r="L380" s="10" t="s">
        <v>1058</v>
      </c>
      <c r="M380" s="16" t="s">
        <v>422</v>
      </c>
      <c r="N380" s="10" t="s">
        <v>138</v>
      </c>
      <c r="O380" s="16" t="s">
        <v>450</v>
      </c>
      <c r="P380" s="11" t="s">
        <v>422</v>
      </c>
      <c r="Q380" s="11" t="s">
        <v>420</v>
      </c>
      <c r="R380" s="11" t="s">
        <v>107</v>
      </c>
      <c r="S380" s="10" t="s">
        <v>62</v>
      </c>
      <c r="T380" s="81">
        <v>7</v>
      </c>
      <c r="U380" s="10" t="s">
        <v>420</v>
      </c>
      <c r="V380" s="10" t="s">
        <v>450</v>
      </c>
      <c r="X380" s="15">
        <v>5</v>
      </c>
      <c r="Y380" s="10" t="s">
        <v>56</v>
      </c>
      <c r="Z380" s="10" t="s">
        <v>2849</v>
      </c>
      <c r="AA380" s="10" t="s">
        <v>23</v>
      </c>
      <c r="AB380" s="10" t="s">
        <v>2843</v>
      </c>
    </row>
    <row r="381" spans="1:28">
      <c r="A381" s="10" t="s">
        <v>864</v>
      </c>
      <c r="B381" s="11" t="s">
        <v>344</v>
      </c>
      <c r="C381" s="11" t="s">
        <v>417</v>
      </c>
      <c r="D381" s="12">
        <v>24</v>
      </c>
      <c r="E381" s="11" t="s">
        <v>473</v>
      </c>
      <c r="F381" s="14" t="str">
        <f>_xlfn.XLOOKUP(E381,Profession!$B$2:$B$15,Profession!$A$2:$A$15,"Not Found")</f>
        <v>P012</v>
      </c>
      <c r="G381" s="11" t="s">
        <v>1113</v>
      </c>
      <c r="H381" s="10" t="str">
        <f>_xlfn.XLOOKUP(G381,Region!$B$2:$B$16,Region!$A$2:$A$16,"Not Found")</f>
        <v>R012</v>
      </c>
      <c r="I381" s="10" t="s">
        <v>423</v>
      </c>
      <c r="J381" s="10" t="s">
        <v>423</v>
      </c>
      <c r="K381" s="10" t="s">
        <v>435</v>
      </c>
      <c r="L381" s="10" t="s">
        <v>1058</v>
      </c>
      <c r="M381" s="16" t="s">
        <v>422</v>
      </c>
      <c r="N381" s="10" t="s">
        <v>138</v>
      </c>
      <c r="O381" s="16" t="s">
        <v>444</v>
      </c>
      <c r="P381" s="11" t="s">
        <v>422</v>
      </c>
      <c r="Q381" s="11" t="s">
        <v>1061</v>
      </c>
      <c r="R381" s="11" t="s">
        <v>107</v>
      </c>
      <c r="S381" s="10" t="s">
        <v>62</v>
      </c>
      <c r="T381" s="81">
        <v>6</v>
      </c>
      <c r="U381" s="10" t="s">
        <v>420</v>
      </c>
      <c r="V381" s="10" t="s">
        <v>2277</v>
      </c>
      <c r="X381" s="15">
        <v>6</v>
      </c>
      <c r="Y381" s="10" t="s">
        <v>22</v>
      </c>
      <c r="Z381" s="10" t="s">
        <v>2846</v>
      </c>
      <c r="AA381" s="10" t="s">
        <v>23</v>
      </c>
      <c r="AB381" s="10" t="s">
        <v>2842</v>
      </c>
    </row>
    <row r="382" spans="1:28">
      <c r="A382" s="10" t="s">
        <v>865</v>
      </c>
      <c r="B382" s="11" t="s">
        <v>207</v>
      </c>
      <c r="C382" s="11" t="s">
        <v>417</v>
      </c>
      <c r="D382" s="12">
        <v>25</v>
      </c>
      <c r="E382" s="11" t="s">
        <v>1108</v>
      </c>
      <c r="F382" s="14" t="str">
        <f>_xlfn.XLOOKUP(E382,Profession!$B$2:$B$15,Profession!$A$2:$A$15,"Not Found")</f>
        <v>P011</v>
      </c>
      <c r="G382" s="11" t="s">
        <v>419</v>
      </c>
      <c r="H382" s="10" t="str">
        <f>_xlfn.XLOOKUP(G382,Region!$B$2:$B$16,Region!$A$2:$A$16,"Not Found")</f>
        <v>R001</v>
      </c>
      <c r="I382" s="10" t="s">
        <v>420</v>
      </c>
      <c r="J382" s="10" t="s">
        <v>420</v>
      </c>
      <c r="K382" s="10" t="s">
        <v>431</v>
      </c>
      <c r="L382" s="10" t="s">
        <v>1058</v>
      </c>
      <c r="M382" s="16" t="s">
        <v>422</v>
      </c>
      <c r="N382" s="10" t="s">
        <v>138</v>
      </c>
      <c r="O382" s="16" t="s">
        <v>444</v>
      </c>
      <c r="P382" s="11" t="s">
        <v>422</v>
      </c>
      <c r="Q382" s="11" t="s">
        <v>420</v>
      </c>
      <c r="R382" s="11" t="s">
        <v>1070</v>
      </c>
      <c r="S382" s="10" t="s">
        <v>62</v>
      </c>
      <c r="T382" s="81">
        <v>6</v>
      </c>
      <c r="U382" s="10" t="s">
        <v>420</v>
      </c>
      <c r="V382" s="10" t="s">
        <v>2277</v>
      </c>
      <c r="X382" s="15">
        <v>5</v>
      </c>
      <c r="Y382" s="10" t="s">
        <v>58</v>
      </c>
      <c r="Z382" s="10" t="s">
        <v>2849</v>
      </c>
      <c r="AA382" s="10" t="s">
        <v>23</v>
      </c>
      <c r="AB382" s="10" t="s">
        <v>2843</v>
      </c>
    </row>
    <row r="383" spans="1:28">
      <c r="A383" s="10" t="s">
        <v>866</v>
      </c>
      <c r="B383" s="11" t="s">
        <v>345</v>
      </c>
      <c r="C383" s="11" t="s">
        <v>417</v>
      </c>
      <c r="D383" s="12">
        <v>26</v>
      </c>
      <c r="E383" s="11" t="s">
        <v>459</v>
      </c>
      <c r="F383" s="14" t="str">
        <f>_xlfn.XLOOKUP(E383,Profession!$B$2:$B$15,Profession!$A$2:$A$15,"Not Found")</f>
        <v>P007</v>
      </c>
      <c r="G383" s="11" t="s">
        <v>419</v>
      </c>
      <c r="H383" s="10" t="str">
        <f>_xlfn.XLOOKUP(G383,Region!$B$2:$B$16,Region!$A$2:$A$16,"Not Found")</f>
        <v>R001</v>
      </c>
      <c r="I383" s="10" t="s">
        <v>420</v>
      </c>
      <c r="J383" s="10" t="s">
        <v>420</v>
      </c>
      <c r="K383" s="10" t="s">
        <v>421</v>
      </c>
      <c r="L383" s="10" t="s">
        <v>1058</v>
      </c>
      <c r="M383" s="16" t="s">
        <v>422</v>
      </c>
      <c r="N383" s="10" t="s">
        <v>19</v>
      </c>
      <c r="O383" s="16" t="s">
        <v>444</v>
      </c>
      <c r="P383" s="11" t="s">
        <v>422</v>
      </c>
      <c r="Q383" s="11" t="s">
        <v>420</v>
      </c>
      <c r="R383" s="11" t="s">
        <v>1070</v>
      </c>
      <c r="S383" s="10" t="s">
        <v>62</v>
      </c>
      <c r="T383" s="81">
        <v>8</v>
      </c>
      <c r="U383" s="10" t="s">
        <v>420</v>
      </c>
      <c r="V383" s="10" t="s">
        <v>450</v>
      </c>
      <c r="X383" s="15">
        <v>4</v>
      </c>
      <c r="Y383" s="10" t="s">
        <v>36</v>
      </c>
      <c r="Z383" s="10" t="s">
        <v>2849</v>
      </c>
      <c r="AA383" s="10" t="s">
        <v>37</v>
      </c>
      <c r="AB383" s="10" t="s">
        <v>24</v>
      </c>
    </row>
    <row r="384" spans="1:28">
      <c r="A384" s="10" t="s">
        <v>867</v>
      </c>
      <c r="B384" s="11" t="s">
        <v>209</v>
      </c>
      <c r="C384" s="11" t="s">
        <v>417</v>
      </c>
      <c r="D384" s="12">
        <v>27</v>
      </c>
      <c r="E384" s="11" t="s">
        <v>418</v>
      </c>
      <c r="F384" s="14" t="str">
        <f>_xlfn.XLOOKUP(E384,Profession!$B$2:$B$15,Profession!$A$2:$A$15,"Not Found")</f>
        <v>P001</v>
      </c>
      <c r="G384" s="11" t="s">
        <v>1115</v>
      </c>
      <c r="H384" s="10" t="str">
        <f>_xlfn.XLOOKUP(G384,Region!$B$2:$B$16,Region!$A$2:$A$16,"Not Found")</f>
        <v>R002</v>
      </c>
      <c r="I384" s="10" t="s">
        <v>420</v>
      </c>
      <c r="J384" s="10" t="s">
        <v>420</v>
      </c>
      <c r="K384" s="10" t="s">
        <v>435</v>
      </c>
      <c r="L384" s="10" t="s">
        <v>1058</v>
      </c>
      <c r="M384" s="16" t="s">
        <v>432</v>
      </c>
      <c r="N384" s="10" t="s">
        <v>138</v>
      </c>
      <c r="O384" s="16" t="s">
        <v>433</v>
      </c>
      <c r="P384" s="11" t="s">
        <v>422</v>
      </c>
      <c r="Q384" s="11" t="s">
        <v>1061</v>
      </c>
      <c r="R384" s="11" t="s">
        <v>1065</v>
      </c>
      <c r="S384" s="10" t="s">
        <v>62</v>
      </c>
      <c r="T384" s="81">
        <v>8</v>
      </c>
      <c r="U384" s="10" t="s">
        <v>420</v>
      </c>
      <c r="V384" s="10" t="s">
        <v>2277</v>
      </c>
      <c r="X384" s="15">
        <v>5</v>
      </c>
      <c r="Y384" s="10" t="s">
        <v>27</v>
      </c>
      <c r="Z384" s="10" t="s">
        <v>2849</v>
      </c>
      <c r="AA384" s="10" t="s">
        <v>23</v>
      </c>
      <c r="AB384" s="10" t="s">
        <v>2841</v>
      </c>
    </row>
    <row r="385" spans="1:28">
      <c r="A385" s="10" t="s">
        <v>868</v>
      </c>
      <c r="B385" s="11" t="s">
        <v>346</v>
      </c>
      <c r="C385" s="11" t="s">
        <v>417</v>
      </c>
      <c r="D385" s="12">
        <v>28</v>
      </c>
      <c r="E385" s="11" t="s">
        <v>452</v>
      </c>
      <c r="F385" s="14" t="str">
        <f>_xlfn.XLOOKUP(E385,Profession!$B$2:$B$15,Profession!$A$2:$A$15,"Not Found")</f>
        <v>P005</v>
      </c>
      <c r="G385" s="11" t="s">
        <v>453</v>
      </c>
      <c r="H385" s="10" t="str">
        <f>_xlfn.XLOOKUP(G385,Region!$B$2:$B$16,Region!$A$2:$A$16,"Not Found")</f>
        <v>R005</v>
      </c>
      <c r="I385" s="10" t="s">
        <v>420</v>
      </c>
      <c r="J385" s="10" t="s">
        <v>420</v>
      </c>
      <c r="K385" s="10" t="s">
        <v>434</v>
      </c>
      <c r="L385" s="10" t="s">
        <v>1058</v>
      </c>
      <c r="M385" s="16" t="s">
        <v>422</v>
      </c>
      <c r="N385" s="10" t="s">
        <v>105</v>
      </c>
      <c r="O385" s="16" t="s">
        <v>433</v>
      </c>
      <c r="P385" s="11" t="s">
        <v>422</v>
      </c>
      <c r="Q385" s="11" t="s">
        <v>434</v>
      </c>
      <c r="R385" s="11" t="s">
        <v>1068</v>
      </c>
      <c r="S385" s="10" t="s">
        <v>62</v>
      </c>
      <c r="T385" s="81">
        <v>7</v>
      </c>
      <c r="U385" s="10" t="s">
        <v>2272</v>
      </c>
      <c r="V385" s="10" t="s">
        <v>450</v>
      </c>
      <c r="X385" s="15">
        <v>5</v>
      </c>
      <c r="Y385" s="10" t="s">
        <v>40</v>
      </c>
      <c r="Z385" s="10" t="s">
        <v>2280</v>
      </c>
      <c r="AA385" s="10" t="s">
        <v>37</v>
      </c>
      <c r="AB385" s="10" t="s">
        <v>24</v>
      </c>
    </row>
    <row r="386" spans="1:28">
      <c r="A386" s="10" t="s">
        <v>869</v>
      </c>
      <c r="B386" s="11" t="s">
        <v>347</v>
      </c>
      <c r="C386" s="11" t="s">
        <v>417</v>
      </c>
      <c r="D386" s="12">
        <v>29</v>
      </c>
      <c r="E386" s="11" t="s">
        <v>465</v>
      </c>
      <c r="F386" s="14" t="str">
        <f>_xlfn.XLOOKUP(E386,Profession!$B$2:$B$15,Profession!$A$2:$A$15,"Not Found")</f>
        <v>P010</v>
      </c>
      <c r="G386" s="11" t="s">
        <v>467</v>
      </c>
      <c r="H386" s="10" t="str">
        <f>_xlfn.XLOOKUP(G386,Region!$B$2:$B$16,Region!$A$2:$A$16,"Not Found")</f>
        <v>R009</v>
      </c>
      <c r="I386" s="10" t="s">
        <v>420</v>
      </c>
      <c r="J386" s="10" t="s">
        <v>420</v>
      </c>
      <c r="K386" s="10" t="s">
        <v>434</v>
      </c>
      <c r="L386" s="10" t="s">
        <v>1058</v>
      </c>
      <c r="M386" s="16" t="s">
        <v>422</v>
      </c>
      <c r="N386" s="10" t="s">
        <v>138</v>
      </c>
      <c r="O386" s="16" t="s">
        <v>444</v>
      </c>
      <c r="P386" s="11" t="s">
        <v>422</v>
      </c>
      <c r="Q386" s="11" t="s">
        <v>420</v>
      </c>
      <c r="R386" s="11" t="s">
        <v>1070</v>
      </c>
      <c r="S386" s="10" t="s">
        <v>62</v>
      </c>
      <c r="T386" s="81">
        <v>6</v>
      </c>
      <c r="U386" s="10" t="s">
        <v>420</v>
      </c>
      <c r="V386" s="10" t="s">
        <v>2277</v>
      </c>
      <c r="X386" s="15">
        <v>4</v>
      </c>
      <c r="Y386" s="10" t="s">
        <v>56</v>
      </c>
      <c r="Z386" s="10" t="s">
        <v>2849</v>
      </c>
      <c r="AA386" s="10" t="s">
        <v>23</v>
      </c>
      <c r="AB386" s="10" t="s">
        <v>2843</v>
      </c>
    </row>
    <row r="387" spans="1:28">
      <c r="A387" s="10" t="s">
        <v>870</v>
      </c>
      <c r="B387" s="11" t="s">
        <v>348</v>
      </c>
      <c r="C387" s="11" t="s">
        <v>417</v>
      </c>
      <c r="D387" s="12">
        <v>30</v>
      </c>
      <c r="E387" s="11" t="s">
        <v>448</v>
      </c>
      <c r="F387" s="14" t="str">
        <f>_xlfn.XLOOKUP(E387,Profession!$B$2:$B$15,Profession!$A$2:$A$15,"Not Found")</f>
        <v>P004</v>
      </c>
      <c r="G387" s="11" t="s">
        <v>1111</v>
      </c>
      <c r="H387" s="10" t="str">
        <f>_xlfn.XLOOKUP(G387,Region!$B$2:$B$16,Region!$A$2:$A$16,"Not Found")</f>
        <v>R004</v>
      </c>
      <c r="I387" s="10" t="s">
        <v>420</v>
      </c>
      <c r="J387" s="10" t="s">
        <v>420</v>
      </c>
      <c r="K387" s="10" t="s">
        <v>431</v>
      </c>
      <c r="L387" s="10" t="s">
        <v>1057</v>
      </c>
      <c r="M387" s="16" t="s">
        <v>432</v>
      </c>
      <c r="N387" s="10" t="s">
        <v>138</v>
      </c>
      <c r="O387" s="16" t="s">
        <v>444</v>
      </c>
      <c r="P387" s="11" t="s">
        <v>422</v>
      </c>
      <c r="Q387" s="11" t="s">
        <v>420</v>
      </c>
      <c r="R387" s="11" t="s">
        <v>1070</v>
      </c>
      <c r="S387" s="10" t="s">
        <v>62</v>
      </c>
      <c r="T387" s="81">
        <v>8</v>
      </c>
      <c r="U387" s="10" t="s">
        <v>420</v>
      </c>
      <c r="V387" s="10" t="s">
        <v>450</v>
      </c>
      <c r="X387" s="15">
        <v>4</v>
      </c>
      <c r="Y387" s="10" t="s">
        <v>56</v>
      </c>
      <c r="Z387" s="10" t="s">
        <v>2849</v>
      </c>
      <c r="AA387" s="10" t="s">
        <v>23</v>
      </c>
      <c r="AB387" s="10" t="s">
        <v>46</v>
      </c>
    </row>
    <row r="388" spans="1:28">
      <c r="A388" s="10" t="s">
        <v>871</v>
      </c>
      <c r="B388" s="11" t="s">
        <v>349</v>
      </c>
      <c r="C388" s="11" t="s">
        <v>417</v>
      </c>
      <c r="D388" s="12">
        <v>31</v>
      </c>
      <c r="E388" s="11" t="s">
        <v>448</v>
      </c>
      <c r="F388" s="14" t="str">
        <f>_xlfn.XLOOKUP(E388,Profession!$B$2:$B$15,Profession!$A$2:$A$15,"Not Found")</f>
        <v>P004</v>
      </c>
      <c r="G388" s="11" t="s">
        <v>1111</v>
      </c>
      <c r="H388" s="10" t="str">
        <f>_xlfn.XLOOKUP(G388,Region!$B$2:$B$16,Region!$A$2:$A$16,"Not Found")</f>
        <v>R004</v>
      </c>
      <c r="I388" s="10" t="s">
        <v>420</v>
      </c>
      <c r="J388" s="10" t="s">
        <v>420</v>
      </c>
      <c r="K388" s="10" t="s">
        <v>431</v>
      </c>
      <c r="L388" s="10" t="s">
        <v>1058</v>
      </c>
      <c r="M388" s="16" t="s">
        <v>432</v>
      </c>
      <c r="N388" s="10" t="s">
        <v>138</v>
      </c>
      <c r="O388" s="16" t="s">
        <v>450</v>
      </c>
      <c r="P388" s="11" t="s">
        <v>422</v>
      </c>
      <c r="Q388" s="11" t="s">
        <v>420</v>
      </c>
      <c r="R388" s="11" t="s">
        <v>107</v>
      </c>
      <c r="S388" s="10" t="s">
        <v>62</v>
      </c>
      <c r="T388" s="81">
        <v>7</v>
      </c>
      <c r="U388" s="10" t="s">
        <v>420</v>
      </c>
      <c r="V388" s="10" t="s">
        <v>450</v>
      </c>
      <c r="X388" s="15">
        <v>4</v>
      </c>
      <c r="Y388" s="10" t="s">
        <v>56</v>
      </c>
      <c r="Z388" s="10" t="s">
        <v>2849</v>
      </c>
      <c r="AA388" s="10" t="s">
        <v>23</v>
      </c>
      <c r="AB388" s="10" t="s">
        <v>46</v>
      </c>
    </row>
    <row r="389" spans="1:28">
      <c r="A389" s="10" t="s">
        <v>872</v>
      </c>
      <c r="B389" s="11" t="s">
        <v>350</v>
      </c>
      <c r="C389" s="11" t="s">
        <v>417</v>
      </c>
      <c r="D389" s="12">
        <v>32</v>
      </c>
      <c r="E389" s="11" t="s">
        <v>465</v>
      </c>
      <c r="F389" s="14" t="str">
        <f>_xlfn.XLOOKUP(E389,Profession!$B$2:$B$15,Profession!$A$2:$A$15,"Not Found")</f>
        <v>P010</v>
      </c>
      <c r="G389" s="11" t="s">
        <v>419</v>
      </c>
      <c r="H389" s="10" t="str">
        <f>_xlfn.XLOOKUP(G389,Region!$B$2:$B$16,Region!$A$2:$A$16,"Not Found")</f>
        <v>R001</v>
      </c>
      <c r="I389" s="10" t="s">
        <v>423</v>
      </c>
      <c r="J389" s="10" t="s">
        <v>423</v>
      </c>
      <c r="K389" s="10" t="s">
        <v>434</v>
      </c>
      <c r="L389" s="10" t="s">
        <v>1058</v>
      </c>
      <c r="M389" s="16" t="s">
        <v>422</v>
      </c>
      <c r="N389" s="10" t="s">
        <v>138</v>
      </c>
      <c r="O389" s="16" t="s">
        <v>444</v>
      </c>
      <c r="P389" s="11" t="s">
        <v>422</v>
      </c>
      <c r="Q389" s="11" t="s">
        <v>420</v>
      </c>
      <c r="R389" s="11" t="s">
        <v>1065</v>
      </c>
      <c r="S389" s="10" t="s">
        <v>62</v>
      </c>
      <c r="T389" s="81">
        <v>8</v>
      </c>
      <c r="U389" s="10" t="s">
        <v>420</v>
      </c>
      <c r="V389" s="10" t="s">
        <v>450</v>
      </c>
      <c r="X389" s="15">
        <v>7</v>
      </c>
      <c r="Y389" s="10" t="s">
        <v>100</v>
      </c>
      <c r="Z389" s="10" t="s">
        <v>2849</v>
      </c>
      <c r="AA389" s="10" t="s">
        <v>23</v>
      </c>
      <c r="AB389" s="10" t="s">
        <v>2843</v>
      </c>
    </row>
    <row r="390" spans="1:28">
      <c r="A390" s="10" t="s">
        <v>873</v>
      </c>
      <c r="B390" s="11" t="s">
        <v>351</v>
      </c>
      <c r="C390" s="11" t="s">
        <v>417</v>
      </c>
      <c r="D390" s="12">
        <v>33</v>
      </c>
      <c r="E390" s="11" t="s">
        <v>462</v>
      </c>
      <c r="F390" s="14" t="str">
        <f>_xlfn.XLOOKUP(E390,Profession!$B$2:$B$15,Profession!$A$2:$A$15,"Not Found")</f>
        <v>P008</v>
      </c>
      <c r="G390" s="11" t="s">
        <v>464</v>
      </c>
      <c r="H390" s="10" t="str">
        <f>_xlfn.XLOOKUP(G390,Region!$B$2:$B$16,Region!$A$2:$A$16,"Not Found")</f>
        <v>R007</v>
      </c>
      <c r="I390" s="10" t="s">
        <v>423</v>
      </c>
      <c r="J390" s="10" t="s">
        <v>423</v>
      </c>
      <c r="K390" s="10" t="s">
        <v>435</v>
      </c>
      <c r="L390" s="10" t="s">
        <v>1058</v>
      </c>
      <c r="M390" s="16" t="s">
        <v>436</v>
      </c>
      <c r="N390" s="10" t="s">
        <v>138</v>
      </c>
      <c r="O390" s="16" t="s">
        <v>450</v>
      </c>
      <c r="P390" s="11" t="s">
        <v>422</v>
      </c>
      <c r="Q390" s="11" t="s">
        <v>420</v>
      </c>
      <c r="R390" s="11" t="s">
        <v>107</v>
      </c>
      <c r="S390" s="10" t="s">
        <v>62</v>
      </c>
      <c r="T390" s="81">
        <v>5</v>
      </c>
      <c r="U390" s="10" t="s">
        <v>2275</v>
      </c>
      <c r="V390" s="10" t="s">
        <v>450</v>
      </c>
      <c r="X390" s="15">
        <v>5</v>
      </c>
      <c r="Y390" s="10" t="s">
        <v>54</v>
      </c>
      <c r="Z390" s="10" t="s">
        <v>2849</v>
      </c>
      <c r="AA390" s="10" t="s">
        <v>23</v>
      </c>
      <c r="AB390" s="10" t="s">
        <v>2844</v>
      </c>
    </row>
    <row r="391" spans="1:28">
      <c r="A391" s="10" t="s">
        <v>874</v>
      </c>
      <c r="B391" s="11" t="s">
        <v>216</v>
      </c>
      <c r="C391" s="11" t="s">
        <v>417</v>
      </c>
      <c r="D391" s="12">
        <v>34</v>
      </c>
      <c r="E391" s="11" t="s">
        <v>473</v>
      </c>
      <c r="F391" s="14" t="str">
        <f>_xlfn.XLOOKUP(E391,Profession!$B$2:$B$15,Profession!$A$2:$A$15,"Not Found")</f>
        <v>P012</v>
      </c>
      <c r="G391" s="11" t="s">
        <v>419</v>
      </c>
      <c r="H391" s="10" t="str">
        <f>_xlfn.XLOOKUP(G391,Region!$B$2:$B$16,Region!$A$2:$A$16,"Not Found")</f>
        <v>R001</v>
      </c>
      <c r="I391" s="10" t="s">
        <v>423</v>
      </c>
      <c r="J391" s="10" t="s">
        <v>423</v>
      </c>
      <c r="K391" s="10" t="s">
        <v>434</v>
      </c>
      <c r="L391" s="10" t="s">
        <v>1058</v>
      </c>
      <c r="M391" s="16" t="s">
        <v>432</v>
      </c>
      <c r="N391" s="10" t="s">
        <v>138</v>
      </c>
      <c r="O391" s="16" t="s">
        <v>444</v>
      </c>
      <c r="P391" s="11" t="s">
        <v>422</v>
      </c>
      <c r="Q391" s="11" t="s">
        <v>420</v>
      </c>
      <c r="R391" s="11" t="s">
        <v>107</v>
      </c>
      <c r="S391" s="10" t="s">
        <v>62</v>
      </c>
      <c r="T391" s="81">
        <v>7</v>
      </c>
      <c r="U391" s="10" t="s">
        <v>420</v>
      </c>
      <c r="V391" s="10" t="s">
        <v>450</v>
      </c>
      <c r="X391" s="15">
        <v>5</v>
      </c>
      <c r="Y391" s="10" t="s">
        <v>87</v>
      </c>
      <c r="Z391" s="10" t="s">
        <v>2848</v>
      </c>
      <c r="AA391" s="10" t="s">
        <v>23</v>
      </c>
      <c r="AB391" s="10" t="s">
        <v>149</v>
      </c>
    </row>
    <row r="392" spans="1:28">
      <c r="A392" s="10" t="s">
        <v>875</v>
      </c>
      <c r="B392" s="11" t="s">
        <v>352</v>
      </c>
      <c r="C392" s="11" t="s">
        <v>417</v>
      </c>
      <c r="D392" s="12">
        <v>35</v>
      </c>
      <c r="E392" s="11" t="s">
        <v>452</v>
      </c>
      <c r="F392" s="14" t="str">
        <f>_xlfn.XLOOKUP(E392,Profession!$B$2:$B$15,Profession!$A$2:$A$15,"Not Found")</f>
        <v>P005</v>
      </c>
      <c r="G392" s="11" t="s">
        <v>455</v>
      </c>
      <c r="H392" s="10" t="str">
        <f>_xlfn.XLOOKUP(G392,Region!$B$2:$B$16,Region!$A$2:$A$16,"Not Found")</f>
        <v>R006</v>
      </c>
      <c r="I392" s="10" t="s">
        <v>420</v>
      </c>
      <c r="J392" s="10" t="s">
        <v>420</v>
      </c>
      <c r="K392" s="10" t="s">
        <v>434</v>
      </c>
      <c r="L392" s="10" t="s">
        <v>1058</v>
      </c>
      <c r="M392" s="16" t="s">
        <v>422</v>
      </c>
      <c r="N392" s="10" t="s">
        <v>106</v>
      </c>
      <c r="O392" s="16" t="s">
        <v>436</v>
      </c>
      <c r="P392" s="11" t="s">
        <v>422</v>
      </c>
      <c r="Q392" s="11" t="s">
        <v>435</v>
      </c>
      <c r="R392" s="11" t="s">
        <v>1071</v>
      </c>
      <c r="S392" s="10" t="s">
        <v>62</v>
      </c>
      <c r="T392" s="81">
        <v>6</v>
      </c>
      <c r="U392" s="10" t="s">
        <v>420</v>
      </c>
      <c r="V392" s="10" t="s">
        <v>2277</v>
      </c>
      <c r="X392" s="15">
        <v>8</v>
      </c>
      <c r="Y392" s="10" t="s">
        <v>42</v>
      </c>
      <c r="Z392" s="10" t="s">
        <v>2849</v>
      </c>
      <c r="AA392" s="10" t="s">
        <v>43</v>
      </c>
      <c r="AB392" s="10" t="s">
        <v>46</v>
      </c>
    </row>
    <row r="393" spans="1:28">
      <c r="A393" s="10" t="s">
        <v>876</v>
      </c>
      <c r="B393" s="11" t="s">
        <v>353</v>
      </c>
      <c r="C393" s="11" t="s">
        <v>417</v>
      </c>
      <c r="D393" s="12">
        <v>36</v>
      </c>
      <c r="E393" s="11" t="s">
        <v>452</v>
      </c>
      <c r="F393" s="14" t="str">
        <f>_xlfn.XLOOKUP(E393,Profession!$B$2:$B$15,Profession!$A$2:$A$15,"Not Found")</f>
        <v>P005</v>
      </c>
      <c r="G393" s="11" t="s">
        <v>1115</v>
      </c>
      <c r="H393" s="10" t="str">
        <f>_xlfn.XLOOKUP(G393,Region!$B$2:$B$16,Region!$A$2:$A$16,"Not Found")</f>
        <v>R002</v>
      </c>
      <c r="I393" s="10" t="s">
        <v>420</v>
      </c>
      <c r="J393" s="10" t="s">
        <v>420</v>
      </c>
      <c r="K393" s="10" t="s">
        <v>435</v>
      </c>
      <c r="L393" s="10" t="s">
        <v>1058</v>
      </c>
      <c r="M393" s="16" t="s">
        <v>429</v>
      </c>
      <c r="N393" s="10" t="s">
        <v>64</v>
      </c>
      <c r="O393" s="16" t="s">
        <v>433</v>
      </c>
      <c r="P393" s="11" t="s">
        <v>422</v>
      </c>
      <c r="Q393" s="11" t="s">
        <v>420</v>
      </c>
      <c r="R393" s="11" t="s">
        <v>1072</v>
      </c>
      <c r="S393" s="10" t="s">
        <v>2885</v>
      </c>
      <c r="T393" s="81">
        <v>6</v>
      </c>
      <c r="U393" s="10" t="s">
        <v>2273</v>
      </c>
      <c r="V393" s="10" t="s">
        <v>2277</v>
      </c>
      <c r="X393" s="15">
        <v>3</v>
      </c>
      <c r="Y393" s="10" t="s">
        <v>45</v>
      </c>
      <c r="Z393" s="10" t="s">
        <v>2849</v>
      </c>
      <c r="AA393" s="10" t="s">
        <v>37</v>
      </c>
      <c r="AB393" s="10" t="s">
        <v>149</v>
      </c>
    </row>
    <row r="394" spans="1:28">
      <c r="A394" s="10" t="s">
        <v>877</v>
      </c>
      <c r="B394" s="11" t="s">
        <v>354</v>
      </c>
      <c r="C394" s="11" t="s">
        <v>417</v>
      </c>
      <c r="D394" s="12">
        <v>37</v>
      </c>
      <c r="E394" s="11" t="s">
        <v>442</v>
      </c>
      <c r="F394" s="14" t="str">
        <f>_xlfn.XLOOKUP(E394,Profession!$B$2:$B$15,Profession!$A$2:$A$15,"Not Found")</f>
        <v>P002</v>
      </c>
      <c r="G394" s="11" t="s">
        <v>419</v>
      </c>
      <c r="H394" s="10" t="str">
        <f>_xlfn.XLOOKUP(G394,Region!$B$2:$B$16,Region!$A$2:$A$16,"Not Found")</f>
        <v>R001</v>
      </c>
      <c r="I394" s="10" t="s">
        <v>420</v>
      </c>
      <c r="J394" s="10" t="s">
        <v>420</v>
      </c>
      <c r="K394" s="10" t="s">
        <v>426</v>
      </c>
      <c r="L394" s="10" t="s">
        <v>1058</v>
      </c>
      <c r="M394" s="16" t="s">
        <v>422</v>
      </c>
      <c r="N394" s="10" t="s">
        <v>102</v>
      </c>
      <c r="O394" s="16" t="s">
        <v>426</v>
      </c>
      <c r="P394" s="11" t="s">
        <v>1059</v>
      </c>
      <c r="Q394" s="11" t="s">
        <v>422</v>
      </c>
      <c r="R394" s="11" t="s">
        <v>1062</v>
      </c>
      <c r="S394" s="10" t="s">
        <v>2884</v>
      </c>
      <c r="T394" s="81">
        <v>6.3008333333333297</v>
      </c>
      <c r="U394" s="10" t="s">
        <v>420</v>
      </c>
      <c r="V394" s="10" t="s">
        <v>2277</v>
      </c>
      <c r="X394" s="15">
        <v>4</v>
      </c>
      <c r="Y394" s="10" t="s">
        <v>36</v>
      </c>
      <c r="Z394" s="10" t="s">
        <v>2849</v>
      </c>
      <c r="AA394" s="10" t="s">
        <v>23</v>
      </c>
      <c r="AB394" s="10" t="s">
        <v>2843</v>
      </c>
    </row>
    <row r="395" spans="1:28">
      <c r="A395" s="10" t="s">
        <v>878</v>
      </c>
      <c r="B395" s="11" t="s">
        <v>355</v>
      </c>
      <c r="C395" s="11" t="s">
        <v>417</v>
      </c>
      <c r="D395" s="12">
        <v>38</v>
      </c>
      <c r="E395" s="11" t="s">
        <v>465</v>
      </c>
      <c r="F395" s="14" t="str">
        <f>_xlfn.XLOOKUP(E395,Profession!$B$2:$B$15,Profession!$A$2:$A$15,"Not Found")</f>
        <v>P010</v>
      </c>
      <c r="G395" s="11" t="s">
        <v>108</v>
      </c>
      <c r="H395" s="10" t="str">
        <f>_xlfn.XLOOKUP(G395,Region!$B$2:$B$16,Region!$A$2:$A$16,"Not Found")</f>
        <v>R010</v>
      </c>
      <c r="I395" s="10" t="s">
        <v>420</v>
      </c>
      <c r="J395" s="10" t="s">
        <v>420</v>
      </c>
      <c r="K395" s="10" t="s">
        <v>435</v>
      </c>
      <c r="L395" s="10" t="s">
        <v>1058</v>
      </c>
      <c r="M395" s="16" t="s">
        <v>422</v>
      </c>
      <c r="N395" s="10" t="s">
        <v>138</v>
      </c>
      <c r="O395" s="16" t="s">
        <v>450</v>
      </c>
      <c r="P395" s="11" t="s">
        <v>422</v>
      </c>
      <c r="Q395" s="11" t="s">
        <v>420</v>
      </c>
      <c r="R395" s="11" t="s">
        <v>107</v>
      </c>
      <c r="S395" s="10" t="s">
        <v>62</v>
      </c>
      <c r="T395" s="81">
        <v>7</v>
      </c>
      <c r="U395" s="10" t="s">
        <v>420</v>
      </c>
      <c r="V395" s="10" t="s">
        <v>450</v>
      </c>
      <c r="X395" s="15">
        <v>7</v>
      </c>
      <c r="Y395" s="10" t="s">
        <v>19</v>
      </c>
      <c r="Z395" s="10" t="s">
        <v>2849</v>
      </c>
      <c r="AA395" s="10" t="s">
        <v>23</v>
      </c>
      <c r="AB395" s="10" t="s">
        <v>2841</v>
      </c>
    </row>
    <row r="396" spans="1:28">
      <c r="A396" s="10" t="s">
        <v>879</v>
      </c>
      <c r="B396" s="11" t="s">
        <v>219</v>
      </c>
      <c r="C396" s="11" t="s">
        <v>417</v>
      </c>
      <c r="D396" s="12">
        <v>39</v>
      </c>
      <c r="E396" s="11" t="s">
        <v>458</v>
      </c>
      <c r="F396" s="14" t="str">
        <f>_xlfn.XLOOKUP(E396,Profession!$B$2:$B$15,Profession!$A$2:$A$15,"Not Found")</f>
        <v>P006</v>
      </c>
      <c r="G396" s="11" t="s">
        <v>1115</v>
      </c>
      <c r="H396" s="10" t="str">
        <f>_xlfn.XLOOKUP(G396,Region!$B$2:$B$16,Region!$A$2:$A$16,"Not Found")</f>
        <v>R002</v>
      </c>
      <c r="I396" s="10" t="s">
        <v>420</v>
      </c>
      <c r="J396" s="10" t="s">
        <v>420</v>
      </c>
      <c r="K396" s="10" t="s">
        <v>434</v>
      </c>
      <c r="L396" s="10" t="s">
        <v>1058</v>
      </c>
      <c r="M396" s="16" t="s">
        <v>432</v>
      </c>
      <c r="N396" s="10" t="s">
        <v>64</v>
      </c>
      <c r="O396" s="16" t="s">
        <v>433</v>
      </c>
      <c r="P396" s="11" t="s">
        <v>422</v>
      </c>
      <c r="Q396" s="11" t="s">
        <v>1061</v>
      </c>
      <c r="R396" s="11" t="s">
        <v>1065</v>
      </c>
      <c r="S396" s="10" t="s">
        <v>62</v>
      </c>
      <c r="T396" s="81">
        <v>6</v>
      </c>
      <c r="U396" s="10" t="s">
        <v>2274</v>
      </c>
      <c r="V396" s="10" t="s">
        <v>450</v>
      </c>
      <c r="X396" s="15">
        <v>3</v>
      </c>
      <c r="Y396" s="10" t="s">
        <v>49</v>
      </c>
      <c r="Z396" s="10" t="s">
        <v>2849</v>
      </c>
      <c r="AA396" s="10" t="s">
        <v>37</v>
      </c>
      <c r="AB396" s="10" t="s">
        <v>46</v>
      </c>
    </row>
    <row r="397" spans="1:28">
      <c r="A397" s="10" t="s">
        <v>880</v>
      </c>
      <c r="B397" s="11" t="s">
        <v>55</v>
      </c>
      <c r="C397" s="11" t="s">
        <v>417</v>
      </c>
      <c r="D397" s="12">
        <v>40</v>
      </c>
      <c r="E397" s="11" t="s">
        <v>1054</v>
      </c>
      <c r="F397" s="14" t="str">
        <f>_xlfn.XLOOKUP(E397,Profession!$B$2:$B$15,Profession!$A$2:$A$15,"Not Found")</f>
        <v>P013</v>
      </c>
      <c r="G397" s="11" t="s">
        <v>1110</v>
      </c>
      <c r="H397" s="10" t="str">
        <f>_xlfn.XLOOKUP(G397,Region!$B$2:$B$16,Region!$A$2:$A$16,"Not Found")</f>
        <v>R013</v>
      </c>
      <c r="I397" s="10" t="s">
        <v>420</v>
      </c>
      <c r="J397" s="10" t="s">
        <v>420</v>
      </c>
      <c r="K397" s="10" t="s">
        <v>435</v>
      </c>
      <c r="L397" s="10" t="s">
        <v>1058</v>
      </c>
      <c r="M397" s="16" t="s">
        <v>422</v>
      </c>
      <c r="N397" s="10" t="s">
        <v>138</v>
      </c>
      <c r="O397" s="16" t="s">
        <v>433</v>
      </c>
      <c r="P397" s="11" t="s">
        <v>435</v>
      </c>
      <c r="Q397" s="11" t="s">
        <v>420</v>
      </c>
      <c r="R397" s="11" t="s">
        <v>1067</v>
      </c>
      <c r="S397" s="10" t="s">
        <v>62</v>
      </c>
      <c r="T397" s="81">
        <v>6</v>
      </c>
      <c r="U397" s="10" t="s">
        <v>420</v>
      </c>
      <c r="V397" s="10" t="s">
        <v>450</v>
      </c>
      <c r="X397" s="15">
        <v>6</v>
      </c>
      <c r="Y397" s="10" t="s">
        <v>75</v>
      </c>
      <c r="Z397" s="10" t="s">
        <v>2847</v>
      </c>
      <c r="AA397" s="10" t="s">
        <v>70</v>
      </c>
      <c r="AB397" s="10" t="s">
        <v>149</v>
      </c>
    </row>
    <row r="398" spans="1:28">
      <c r="A398" s="10" t="s">
        <v>881</v>
      </c>
      <c r="B398" s="11" t="s">
        <v>220</v>
      </c>
      <c r="C398" s="11" t="s">
        <v>417</v>
      </c>
      <c r="D398" s="12">
        <v>41</v>
      </c>
      <c r="E398" s="11" t="s">
        <v>446</v>
      </c>
      <c r="F398" s="14" t="str">
        <f>_xlfn.XLOOKUP(E398,Profession!$B$2:$B$15,Profession!$A$2:$A$15,"Not Found")</f>
        <v>P003</v>
      </c>
      <c r="G398" s="11" t="s">
        <v>104</v>
      </c>
      <c r="H398" s="10" t="str">
        <f>_xlfn.XLOOKUP(G398,Region!$B$2:$B$16,Region!$A$2:$A$16,"Not Found")</f>
        <v>R003</v>
      </c>
      <c r="I398" s="10" t="s">
        <v>420</v>
      </c>
      <c r="J398" s="10" t="s">
        <v>420</v>
      </c>
      <c r="K398" s="10" t="s">
        <v>435</v>
      </c>
      <c r="L398" s="10" t="s">
        <v>1058</v>
      </c>
      <c r="M398" s="16" t="s">
        <v>422</v>
      </c>
      <c r="N398" s="10" t="s">
        <v>138</v>
      </c>
      <c r="O398" s="16" t="s">
        <v>433</v>
      </c>
      <c r="P398" s="11" t="s">
        <v>422</v>
      </c>
      <c r="Q398" s="11" t="s">
        <v>420</v>
      </c>
      <c r="R398" s="11" t="s">
        <v>1070</v>
      </c>
      <c r="S398" s="10" t="s">
        <v>62</v>
      </c>
      <c r="T398" s="81">
        <v>8</v>
      </c>
      <c r="U398" s="10" t="s">
        <v>420</v>
      </c>
      <c r="V398" s="10" t="s">
        <v>2277</v>
      </c>
      <c r="X398" s="15">
        <v>5</v>
      </c>
      <c r="Y398" s="10" t="s">
        <v>19</v>
      </c>
      <c r="Z398" s="10" t="s">
        <v>2849</v>
      </c>
      <c r="AA398" s="10" t="s">
        <v>23</v>
      </c>
      <c r="AB398" s="10" t="s">
        <v>28</v>
      </c>
    </row>
    <row r="399" spans="1:28">
      <c r="A399" s="10" t="s">
        <v>882</v>
      </c>
      <c r="B399" s="11" t="s">
        <v>356</v>
      </c>
      <c r="C399" s="11" t="s">
        <v>417</v>
      </c>
      <c r="D399" s="12">
        <v>42</v>
      </c>
      <c r="E399" s="11" t="s">
        <v>1088</v>
      </c>
      <c r="F399" s="14" t="str">
        <f>_xlfn.XLOOKUP(E399,Profession!$B$2:$B$15,Profession!$A$2:$A$15,"Not Found")</f>
        <v>P014</v>
      </c>
      <c r="G399" s="11" t="s">
        <v>1114</v>
      </c>
      <c r="H399" s="10" t="str">
        <f>_xlfn.XLOOKUP(G399,Region!$B$2:$B$16,Region!$A$2:$A$16,"Not Found")</f>
        <v>R014</v>
      </c>
      <c r="I399" s="10" t="s">
        <v>420</v>
      </c>
      <c r="J399" s="10" t="s">
        <v>420</v>
      </c>
      <c r="K399" s="10" t="s">
        <v>435</v>
      </c>
      <c r="L399" s="10" t="s">
        <v>1058</v>
      </c>
      <c r="M399" s="16" t="s">
        <v>422</v>
      </c>
      <c r="N399" s="10" t="s">
        <v>138</v>
      </c>
      <c r="O399" s="16" t="s">
        <v>433</v>
      </c>
      <c r="P399" s="11" t="s">
        <v>422</v>
      </c>
      <c r="Q399" s="11" t="s">
        <v>1061</v>
      </c>
      <c r="R399" s="11" t="s">
        <v>1067</v>
      </c>
      <c r="S399" s="10" t="s">
        <v>62</v>
      </c>
      <c r="T399" s="81">
        <v>6</v>
      </c>
      <c r="U399" s="10" t="s">
        <v>420</v>
      </c>
      <c r="V399" s="10" t="s">
        <v>450</v>
      </c>
      <c r="X399" s="15">
        <v>6</v>
      </c>
      <c r="Y399" s="10" t="s">
        <v>77</v>
      </c>
      <c r="Z399" s="10" t="s">
        <v>2282</v>
      </c>
      <c r="AA399" s="10" t="s">
        <v>23</v>
      </c>
      <c r="AB399" s="10" t="s">
        <v>46</v>
      </c>
    </row>
    <row r="400" spans="1:28">
      <c r="A400" s="10" t="s">
        <v>883</v>
      </c>
      <c r="B400" s="11" t="s">
        <v>221</v>
      </c>
      <c r="C400" s="11" t="s">
        <v>417</v>
      </c>
      <c r="D400" s="12">
        <v>43</v>
      </c>
      <c r="E400" s="11" t="s">
        <v>1088</v>
      </c>
      <c r="F400" s="14" t="str">
        <f>_xlfn.XLOOKUP(E400,Profession!$B$2:$B$15,Profession!$A$2:$A$15,"Not Found")</f>
        <v>P014</v>
      </c>
      <c r="G400" s="11" t="s">
        <v>477</v>
      </c>
      <c r="H400" s="10" t="str">
        <f>_xlfn.XLOOKUP(G400,Region!$B$2:$B$16,Region!$A$2:$A$16,"Not Found")</f>
        <v>R015</v>
      </c>
      <c r="I400" s="10" t="s">
        <v>420</v>
      </c>
      <c r="J400" s="10" t="s">
        <v>420</v>
      </c>
      <c r="K400" s="10" t="s">
        <v>435</v>
      </c>
      <c r="L400" s="10" t="s">
        <v>1058</v>
      </c>
      <c r="M400" s="16" t="s">
        <v>422</v>
      </c>
      <c r="N400" s="10" t="s">
        <v>138</v>
      </c>
      <c r="O400" s="16" t="s">
        <v>433</v>
      </c>
      <c r="P400" s="11" t="s">
        <v>435</v>
      </c>
      <c r="Q400" s="11" t="s">
        <v>1061</v>
      </c>
      <c r="R400" s="11" t="s">
        <v>1068</v>
      </c>
      <c r="S400" s="10" t="s">
        <v>62</v>
      </c>
      <c r="T400" s="81">
        <v>8</v>
      </c>
      <c r="U400" s="10" t="s">
        <v>420</v>
      </c>
      <c r="V400" s="10" t="s">
        <v>450</v>
      </c>
      <c r="X400" s="15">
        <v>6</v>
      </c>
      <c r="Y400" s="10" t="s">
        <v>36</v>
      </c>
      <c r="Z400" s="10" t="s">
        <v>2849</v>
      </c>
      <c r="AA400" s="10" t="s">
        <v>23</v>
      </c>
      <c r="AB400" s="10" t="s">
        <v>2841</v>
      </c>
    </row>
    <row r="401" spans="1:28">
      <c r="A401" s="10" t="s">
        <v>884</v>
      </c>
      <c r="B401" s="11" t="s">
        <v>357</v>
      </c>
      <c r="C401" s="11" t="s">
        <v>417</v>
      </c>
      <c r="D401" s="12">
        <v>20</v>
      </c>
      <c r="E401" s="11" t="s">
        <v>418</v>
      </c>
      <c r="F401" s="14" t="str">
        <f>_xlfn.XLOOKUP(E401,Profession!$B$2:$B$15,Profession!$A$2:$A$15,"Not Found")</f>
        <v>P001</v>
      </c>
      <c r="G401" s="11" t="s">
        <v>419</v>
      </c>
      <c r="H401" s="10" t="str">
        <f>_xlfn.XLOOKUP(G401,Region!$B$2:$B$16,Region!$A$2:$A$16,"Not Found")</f>
        <v>R001</v>
      </c>
      <c r="I401" s="10" t="s">
        <v>420</v>
      </c>
      <c r="J401" s="10" t="s">
        <v>420</v>
      </c>
      <c r="K401" s="10" t="s">
        <v>435</v>
      </c>
      <c r="L401" s="10" t="s">
        <v>1057</v>
      </c>
      <c r="M401" s="16" t="s">
        <v>422</v>
      </c>
      <c r="N401" s="10" t="s">
        <v>26</v>
      </c>
      <c r="O401" s="16" t="s">
        <v>423</v>
      </c>
      <c r="P401" s="11" t="s">
        <v>1059</v>
      </c>
      <c r="Q401" s="11" t="s">
        <v>422</v>
      </c>
      <c r="R401" s="11" t="s">
        <v>1062</v>
      </c>
      <c r="S401" s="10" t="s">
        <v>2884</v>
      </c>
      <c r="T401" s="81">
        <v>7</v>
      </c>
      <c r="U401" s="10" t="s">
        <v>420</v>
      </c>
      <c r="V401" s="10" t="s">
        <v>2278</v>
      </c>
      <c r="X401" s="15">
        <v>3</v>
      </c>
      <c r="Y401" s="10" t="s">
        <v>27</v>
      </c>
      <c r="Z401" s="10" t="s">
        <v>2849</v>
      </c>
      <c r="AA401" s="10" t="s">
        <v>23</v>
      </c>
      <c r="AB401" s="10" t="s">
        <v>24</v>
      </c>
    </row>
    <row r="402" spans="1:28">
      <c r="A402" s="10" t="s">
        <v>885</v>
      </c>
      <c r="B402" s="11" t="s">
        <v>224</v>
      </c>
      <c r="C402" s="11" t="s">
        <v>417</v>
      </c>
      <c r="D402" s="12">
        <v>21</v>
      </c>
      <c r="E402" s="11" t="s">
        <v>465</v>
      </c>
      <c r="F402" s="14" t="str">
        <f>_xlfn.XLOOKUP(E402,Profession!$B$2:$B$15,Profession!$A$2:$A$15,"Not Found")</f>
        <v>P010</v>
      </c>
      <c r="G402" s="11" t="s">
        <v>1115</v>
      </c>
      <c r="H402" s="10" t="str">
        <f>_xlfn.XLOOKUP(G402,Region!$B$2:$B$16,Region!$A$2:$A$16,"Not Found")</f>
        <v>R002</v>
      </c>
      <c r="I402" s="10" t="s">
        <v>420</v>
      </c>
      <c r="J402" s="10" t="s">
        <v>420</v>
      </c>
      <c r="K402" s="10" t="s">
        <v>421</v>
      </c>
      <c r="L402" s="10" t="s">
        <v>1058</v>
      </c>
      <c r="M402" s="16" t="s">
        <v>422</v>
      </c>
      <c r="N402" s="10" t="s">
        <v>138</v>
      </c>
      <c r="O402" s="16" t="s">
        <v>450</v>
      </c>
      <c r="P402" s="11" t="s">
        <v>422</v>
      </c>
      <c r="Q402" s="11" t="s">
        <v>420</v>
      </c>
      <c r="R402" s="11" t="s">
        <v>1065</v>
      </c>
      <c r="S402" s="10" t="s">
        <v>62</v>
      </c>
      <c r="T402" s="81">
        <v>8</v>
      </c>
      <c r="U402" s="10" t="s">
        <v>420</v>
      </c>
      <c r="V402" s="10" t="s">
        <v>450</v>
      </c>
      <c r="X402" s="15">
        <v>4</v>
      </c>
      <c r="Y402" s="10" t="s">
        <v>56</v>
      </c>
      <c r="Z402" s="10" t="s">
        <v>2849</v>
      </c>
      <c r="AA402" s="10" t="s">
        <v>23</v>
      </c>
      <c r="AB402" s="10" t="s">
        <v>2843</v>
      </c>
    </row>
    <row r="403" spans="1:28">
      <c r="A403" s="10" t="s">
        <v>886</v>
      </c>
      <c r="B403" s="11" t="s">
        <v>358</v>
      </c>
      <c r="C403" s="11" t="s">
        <v>417</v>
      </c>
      <c r="D403" s="12">
        <v>22</v>
      </c>
      <c r="E403" s="11" t="s">
        <v>442</v>
      </c>
      <c r="F403" s="14" t="str">
        <f>_xlfn.XLOOKUP(E403,Profession!$B$2:$B$15,Profession!$A$2:$A$15,"Not Found")</f>
        <v>P002</v>
      </c>
      <c r="G403" s="11" t="s">
        <v>419</v>
      </c>
      <c r="H403" s="10" t="str">
        <f>_xlfn.XLOOKUP(G403,Region!$B$2:$B$16,Region!$A$2:$A$16,"Not Found")</f>
        <v>R001</v>
      </c>
      <c r="I403" s="10" t="s">
        <v>420</v>
      </c>
      <c r="J403" s="10" t="s">
        <v>420</v>
      </c>
      <c r="K403" s="10" t="s">
        <v>435</v>
      </c>
      <c r="L403" s="10" t="s">
        <v>1058</v>
      </c>
      <c r="M403" s="16" t="s">
        <v>436</v>
      </c>
      <c r="N403" s="10" t="s">
        <v>138</v>
      </c>
      <c r="O403" s="16" t="s">
        <v>444</v>
      </c>
      <c r="P403" s="11" t="s">
        <v>422</v>
      </c>
      <c r="Q403" s="11" t="s">
        <v>1061</v>
      </c>
      <c r="R403" s="11" t="s">
        <v>1068</v>
      </c>
      <c r="S403" s="10" t="s">
        <v>62</v>
      </c>
      <c r="T403" s="81">
        <v>6</v>
      </c>
      <c r="U403" s="10" t="s">
        <v>420</v>
      </c>
      <c r="V403" s="10" t="s">
        <v>2277</v>
      </c>
      <c r="X403" s="15">
        <v>6</v>
      </c>
      <c r="Y403" s="10" t="s">
        <v>100</v>
      </c>
      <c r="Z403" s="10" t="s">
        <v>2849</v>
      </c>
      <c r="AA403" s="10" t="s">
        <v>37</v>
      </c>
      <c r="AB403" s="10" t="s">
        <v>2844</v>
      </c>
    </row>
    <row r="404" spans="1:28">
      <c r="A404" s="10" t="s">
        <v>887</v>
      </c>
      <c r="B404" s="11" t="s">
        <v>359</v>
      </c>
      <c r="C404" s="11" t="s">
        <v>417</v>
      </c>
      <c r="D404" s="12">
        <v>23</v>
      </c>
      <c r="E404" s="11" t="s">
        <v>462</v>
      </c>
      <c r="F404" s="14" t="str">
        <f>_xlfn.XLOOKUP(E404,Profession!$B$2:$B$15,Profession!$A$2:$A$15,"Not Found")</f>
        <v>P008</v>
      </c>
      <c r="G404" s="11" t="s">
        <v>1112</v>
      </c>
      <c r="H404" s="10" t="str">
        <f>_xlfn.XLOOKUP(G404,Region!$B$2:$B$16,Region!$A$2:$A$16,"Not Found")</f>
        <v>R008</v>
      </c>
      <c r="I404" s="10" t="s">
        <v>420</v>
      </c>
      <c r="J404" s="10" t="s">
        <v>420</v>
      </c>
      <c r="K404" s="10" t="s">
        <v>431</v>
      </c>
      <c r="L404" s="10" t="s">
        <v>1058</v>
      </c>
      <c r="M404" s="16" t="s">
        <v>422</v>
      </c>
      <c r="N404" s="10" t="s">
        <v>138</v>
      </c>
      <c r="O404" s="16" t="s">
        <v>450</v>
      </c>
      <c r="P404" s="11" t="s">
        <v>422</v>
      </c>
      <c r="Q404" s="11" t="s">
        <v>420</v>
      </c>
      <c r="R404" s="11" t="s">
        <v>107</v>
      </c>
      <c r="S404" s="10" t="s">
        <v>62</v>
      </c>
      <c r="T404" s="81">
        <v>7</v>
      </c>
      <c r="U404" s="10" t="s">
        <v>420</v>
      </c>
      <c r="V404" s="10" t="s">
        <v>450</v>
      </c>
      <c r="X404" s="15">
        <v>5</v>
      </c>
      <c r="Y404" s="10" t="s">
        <v>56</v>
      </c>
      <c r="Z404" s="10" t="s">
        <v>2849</v>
      </c>
      <c r="AA404" s="10" t="s">
        <v>23</v>
      </c>
      <c r="AB404" s="10" t="s">
        <v>2843</v>
      </c>
    </row>
    <row r="405" spans="1:28">
      <c r="A405" s="10" t="s">
        <v>888</v>
      </c>
      <c r="B405" s="11" t="s">
        <v>360</v>
      </c>
      <c r="C405" s="11" t="s">
        <v>417</v>
      </c>
      <c r="D405" s="12">
        <v>24</v>
      </c>
      <c r="E405" s="11" t="s">
        <v>473</v>
      </c>
      <c r="F405" s="14" t="str">
        <f>_xlfn.XLOOKUP(E405,Profession!$B$2:$B$15,Profession!$A$2:$A$15,"Not Found")</f>
        <v>P012</v>
      </c>
      <c r="G405" s="11" t="s">
        <v>1113</v>
      </c>
      <c r="H405" s="10" t="str">
        <f>_xlfn.XLOOKUP(G405,Region!$B$2:$B$16,Region!$A$2:$A$16,"Not Found")</f>
        <v>R012</v>
      </c>
      <c r="I405" s="10" t="s">
        <v>423</v>
      </c>
      <c r="J405" s="10" t="s">
        <v>423</v>
      </c>
      <c r="K405" s="10" t="s">
        <v>435</v>
      </c>
      <c r="L405" s="10" t="s">
        <v>1058</v>
      </c>
      <c r="M405" s="16" t="s">
        <v>422</v>
      </c>
      <c r="N405" s="10" t="s">
        <v>138</v>
      </c>
      <c r="O405" s="16" t="s">
        <v>444</v>
      </c>
      <c r="P405" s="11" t="s">
        <v>422</v>
      </c>
      <c r="Q405" s="11" t="s">
        <v>1061</v>
      </c>
      <c r="R405" s="11" t="s">
        <v>107</v>
      </c>
      <c r="S405" s="10" t="s">
        <v>62</v>
      </c>
      <c r="T405" s="81">
        <v>6</v>
      </c>
      <c r="U405" s="10" t="s">
        <v>420</v>
      </c>
      <c r="V405" s="10" t="s">
        <v>2277</v>
      </c>
      <c r="X405" s="15">
        <v>6</v>
      </c>
      <c r="Y405" s="10" t="s">
        <v>22</v>
      </c>
      <c r="Z405" s="10" t="s">
        <v>2846</v>
      </c>
      <c r="AA405" s="10" t="s">
        <v>23</v>
      </c>
      <c r="AB405" s="10" t="s">
        <v>2842</v>
      </c>
    </row>
    <row r="406" spans="1:28">
      <c r="A406" s="10" t="s">
        <v>889</v>
      </c>
      <c r="B406" s="11" t="s">
        <v>361</v>
      </c>
      <c r="C406" s="11" t="s">
        <v>417</v>
      </c>
      <c r="D406" s="12">
        <v>25</v>
      </c>
      <c r="E406" s="11" t="s">
        <v>1108</v>
      </c>
      <c r="F406" s="14" t="str">
        <f>_xlfn.XLOOKUP(E406,Profession!$B$2:$B$15,Profession!$A$2:$A$15,"Not Found")</f>
        <v>P011</v>
      </c>
      <c r="G406" s="11" t="s">
        <v>419</v>
      </c>
      <c r="H406" s="10" t="str">
        <f>_xlfn.XLOOKUP(G406,Region!$B$2:$B$16,Region!$A$2:$A$16,"Not Found")</f>
        <v>R001</v>
      </c>
      <c r="I406" s="10" t="s">
        <v>420</v>
      </c>
      <c r="J406" s="10" t="s">
        <v>420</v>
      </c>
      <c r="K406" s="10" t="s">
        <v>431</v>
      </c>
      <c r="L406" s="10" t="s">
        <v>1058</v>
      </c>
      <c r="M406" s="16" t="s">
        <v>422</v>
      </c>
      <c r="N406" s="10" t="s">
        <v>138</v>
      </c>
      <c r="O406" s="16" t="s">
        <v>444</v>
      </c>
      <c r="P406" s="11" t="s">
        <v>422</v>
      </c>
      <c r="Q406" s="11" t="s">
        <v>420</v>
      </c>
      <c r="R406" s="11" t="s">
        <v>1070</v>
      </c>
      <c r="S406" s="10" t="s">
        <v>62</v>
      </c>
      <c r="T406" s="81">
        <v>6</v>
      </c>
      <c r="U406" s="10" t="s">
        <v>420</v>
      </c>
      <c r="V406" s="10" t="s">
        <v>2277</v>
      </c>
      <c r="X406" s="15">
        <v>5</v>
      </c>
      <c r="Y406" s="10" t="s">
        <v>58</v>
      </c>
      <c r="Z406" s="10" t="s">
        <v>2849</v>
      </c>
      <c r="AA406" s="10" t="s">
        <v>23</v>
      </c>
      <c r="AB406" s="10" t="s">
        <v>2843</v>
      </c>
    </row>
    <row r="407" spans="1:28">
      <c r="A407" s="10" t="s">
        <v>890</v>
      </c>
      <c r="B407" s="11" t="s">
        <v>362</v>
      </c>
      <c r="C407" s="11" t="s">
        <v>417</v>
      </c>
      <c r="D407" s="12">
        <v>26</v>
      </c>
      <c r="E407" s="11" t="s">
        <v>459</v>
      </c>
      <c r="F407" s="14" t="str">
        <f>_xlfn.XLOOKUP(E407,Profession!$B$2:$B$15,Profession!$A$2:$A$15,"Not Found")</f>
        <v>P007</v>
      </c>
      <c r="G407" s="11" t="s">
        <v>419</v>
      </c>
      <c r="H407" s="10" t="str">
        <f>_xlfn.XLOOKUP(G407,Region!$B$2:$B$16,Region!$A$2:$A$16,"Not Found")</f>
        <v>R001</v>
      </c>
      <c r="I407" s="10" t="s">
        <v>420</v>
      </c>
      <c r="J407" s="10" t="s">
        <v>420</v>
      </c>
      <c r="K407" s="10" t="s">
        <v>421</v>
      </c>
      <c r="L407" s="10" t="s">
        <v>1058</v>
      </c>
      <c r="M407" s="16" t="s">
        <v>422</v>
      </c>
      <c r="N407" s="10" t="s">
        <v>19</v>
      </c>
      <c r="O407" s="16" t="s">
        <v>444</v>
      </c>
      <c r="P407" s="11" t="s">
        <v>422</v>
      </c>
      <c r="Q407" s="11" t="s">
        <v>420</v>
      </c>
      <c r="R407" s="11" t="s">
        <v>1070</v>
      </c>
      <c r="S407" s="10" t="s">
        <v>62</v>
      </c>
      <c r="T407" s="81">
        <v>8</v>
      </c>
      <c r="U407" s="10" t="s">
        <v>420</v>
      </c>
      <c r="V407" s="10" t="s">
        <v>450</v>
      </c>
      <c r="X407" s="15">
        <v>4</v>
      </c>
      <c r="Y407" s="10" t="s">
        <v>36</v>
      </c>
      <c r="Z407" s="10" t="s">
        <v>2849</v>
      </c>
      <c r="AA407" s="10" t="s">
        <v>37</v>
      </c>
      <c r="AB407" s="10" t="s">
        <v>24</v>
      </c>
    </row>
    <row r="408" spans="1:28">
      <c r="A408" s="10" t="s">
        <v>891</v>
      </c>
      <c r="B408" s="11" t="s">
        <v>363</v>
      </c>
      <c r="C408" s="11" t="s">
        <v>417</v>
      </c>
      <c r="D408" s="12">
        <v>27</v>
      </c>
      <c r="E408" s="11" t="s">
        <v>418</v>
      </c>
      <c r="F408" s="14" t="str">
        <f>_xlfn.XLOOKUP(E408,Profession!$B$2:$B$15,Profession!$A$2:$A$15,"Not Found")</f>
        <v>P001</v>
      </c>
      <c r="G408" s="11" t="s">
        <v>1115</v>
      </c>
      <c r="H408" s="10" t="str">
        <f>_xlfn.XLOOKUP(G408,Region!$B$2:$B$16,Region!$A$2:$A$16,"Not Found")</f>
        <v>R002</v>
      </c>
      <c r="I408" s="10" t="s">
        <v>420</v>
      </c>
      <c r="J408" s="10" t="s">
        <v>420</v>
      </c>
      <c r="K408" s="10" t="s">
        <v>435</v>
      </c>
      <c r="L408" s="10" t="s">
        <v>1058</v>
      </c>
      <c r="M408" s="16" t="s">
        <v>432</v>
      </c>
      <c r="N408" s="10" t="s">
        <v>138</v>
      </c>
      <c r="O408" s="16" t="s">
        <v>433</v>
      </c>
      <c r="P408" s="11" t="s">
        <v>422</v>
      </c>
      <c r="Q408" s="11" t="s">
        <v>1061</v>
      </c>
      <c r="R408" s="11" t="s">
        <v>1065</v>
      </c>
      <c r="S408" s="10" t="s">
        <v>62</v>
      </c>
      <c r="T408" s="81">
        <v>8</v>
      </c>
      <c r="U408" s="10" t="s">
        <v>420</v>
      </c>
      <c r="V408" s="10" t="s">
        <v>2277</v>
      </c>
      <c r="X408" s="15">
        <v>5</v>
      </c>
      <c r="Y408" s="10" t="s">
        <v>27</v>
      </c>
      <c r="Z408" s="10" t="s">
        <v>2849</v>
      </c>
      <c r="AA408" s="10" t="s">
        <v>23</v>
      </c>
      <c r="AB408" s="10" t="s">
        <v>2841</v>
      </c>
    </row>
    <row r="409" spans="1:28">
      <c r="A409" s="10" t="s">
        <v>892</v>
      </c>
      <c r="B409" s="11" t="s">
        <v>364</v>
      </c>
      <c r="C409" s="11" t="s">
        <v>417</v>
      </c>
      <c r="D409" s="12">
        <v>28</v>
      </c>
      <c r="E409" s="11" t="s">
        <v>452</v>
      </c>
      <c r="F409" s="14" t="str">
        <f>_xlfn.XLOOKUP(E409,Profession!$B$2:$B$15,Profession!$A$2:$A$15,"Not Found")</f>
        <v>P005</v>
      </c>
      <c r="G409" s="11" t="s">
        <v>453</v>
      </c>
      <c r="H409" s="10" t="str">
        <f>_xlfn.XLOOKUP(G409,Region!$B$2:$B$16,Region!$A$2:$A$16,"Not Found")</f>
        <v>R005</v>
      </c>
      <c r="I409" s="10" t="s">
        <v>420</v>
      </c>
      <c r="J409" s="10" t="s">
        <v>420</v>
      </c>
      <c r="K409" s="10" t="s">
        <v>434</v>
      </c>
      <c r="L409" s="10" t="s">
        <v>1058</v>
      </c>
      <c r="M409" s="16" t="s">
        <v>422</v>
      </c>
      <c r="N409" s="10" t="s">
        <v>105</v>
      </c>
      <c r="O409" s="16" t="s">
        <v>433</v>
      </c>
      <c r="P409" s="11" t="s">
        <v>422</v>
      </c>
      <c r="Q409" s="11" t="s">
        <v>434</v>
      </c>
      <c r="R409" s="11" t="s">
        <v>1068</v>
      </c>
      <c r="S409" s="10" t="s">
        <v>62</v>
      </c>
      <c r="T409" s="81">
        <v>7</v>
      </c>
      <c r="U409" s="10" t="s">
        <v>2272</v>
      </c>
      <c r="V409" s="10" t="s">
        <v>450</v>
      </c>
      <c r="X409" s="15">
        <v>5</v>
      </c>
      <c r="Y409" s="10" t="s">
        <v>40</v>
      </c>
      <c r="Z409" s="10" t="s">
        <v>2280</v>
      </c>
      <c r="AA409" s="10" t="s">
        <v>37</v>
      </c>
      <c r="AB409" s="10" t="s">
        <v>24</v>
      </c>
    </row>
    <row r="410" spans="1:28">
      <c r="A410" s="10" t="s">
        <v>893</v>
      </c>
      <c r="B410" s="11" t="s">
        <v>365</v>
      </c>
      <c r="C410" s="11" t="s">
        <v>417</v>
      </c>
      <c r="D410" s="12">
        <v>29</v>
      </c>
      <c r="E410" s="11" t="s">
        <v>465</v>
      </c>
      <c r="F410" s="14" t="str">
        <f>_xlfn.XLOOKUP(E410,Profession!$B$2:$B$15,Profession!$A$2:$A$15,"Not Found")</f>
        <v>P010</v>
      </c>
      <c r="G410" s="11" t="s">
        <v>467</v>
      </c>
      <c r="H410" s="10" t="str">
        <f>_xlfn.XLOOKUP(G410,Region!$B$2:$B$16,Region!$A$2:$A$16,"Not Found")</f>
        <v>R009</v>
      </c>
      <c r="I410" s="10" t="s">
        <v>420</v>
      </c>
      <c r="J410" s="10" t="s">
        <v>420</v>
      </c>
      <c r="K410" s="10" t="s">
        <v>434</v>
      </c>
      <c r="L410" s="10" t="s">
        <v>1058</v>
      </c>
      <c r="M410" s="16" t="s">
        <v>422</v>
      </c>
      <c r="N410" s="10" t="s">
        <v>138</v>
      </c>
      <c r="O410" s="16" t="s">
        <v>444</v>
      </c>
      <c r="P410" s="11" t="s">
        <v>422</v>
      </c>
      <c r="Q410" s="11" t="s">
        <v>420</v>
      </c>
      <c r="R410" s="11" t="s">
        <v>1070</v>
      </c>
      <c r="S410" s="10" t="s">
        <v>62</v>
      </c>
      <c r="T410" s="81">
        <v>6</v>
      </c>
      <c r="U410" s="10" t="s">
        <v>420</v>
      </c>
      <c r="V410" s="10" t="s">
        <v>2277</v>
      </c>
      <c r="X410" s="15">
        <v>4</v>
      </c>
      <c r="Y410" s="10" t="s">
        <v>56</v>
      </c>
      <c r="Z410" s="10" t="s">
        <v>2849</v>
      </c>
      <c r="AA410" s="10" t="s">
        <v>23</v>
      </c>
      <c r="AB410" s="10" t="s">
        <v>2843</v>
      </c>
    </row>
    <row r="411" spans="1:28">
      <c r="A411" s="10" t="s">
        <v>894</v>
      </c>
      <c r="B411" s="11" t="s">
        <v>366</v>
      </c>
      <c r="C411" s="11" t="s">
        <v>417</v>
      </c>
      <c r="D411" s="12">
        <v>30</v>
      </c>
      <c r="E411" s="11" t="s">
        <v>448</v>
      </c>
      <c r="F411" s="14" t="str">
        <f>_xlfn.XLOOKUP(E411,Profession!$B$2:$B$15,Profession!$A$2:$A$15,"Not Found")</f>
        <v>P004</v>
      </c>
      <c r="G411" s="11" t="s">
        <v>1111</v>
      </c>
      <c r="H411" s="10" t="str">
        <f>_xlfn.XLOOKUP(G411,Region!$B$2:$B$16,Region!$A$2:$A$16,"Not Found")</f>
        <v>R004</v>
      </c>
      <c r="I411" s="10" t="s">
        <v>420</v>
      </c>
      <c r="J411" s="10" t="s">
        <v>420</v>
      </c>
      <c r="K411" s="10" t="s">
        <v>431</v>
      </c>
      <c r="L411" s="10" t="s">
        <v>1057</v>
      </c>
      <c r="M411" s="16" t="s">
        <v>432</v>
      </c>
      <c r="N411" s="10" t="s">
        <v>138</v>
      </c>
      <c r="O411" s="16" t="s">
        <v>444</v>
      </c>
      <c r="P411" s="11" t="s">
        <v>422</v>
      </c>
      <c r="Q411" s="11" t="s">
        <v>420</v>
      </c>
      <c r="R411" s="11" t="s">
        <v>1070</v>
      </c>
      <c r="S411" s="10" t="s">
        <v>62</v>
      </c>
      <c r="T411" s="81">
        <v>8</v>
      </c>
      <c r="U411" s="10" t="s">
        <v>420</v>
      </c>
      <c r="V411" s="10" t="s">
        <v>450</v>
      </c>
      <c r="X411" s="15">
        <v>4</v>
      </c>
      <c r="Y411" s="10" t="s">
        <v>56</v>
      </c>
      <c r="Z411" s="10" t="s">
        <v>2849</v>
      </c>
      <c r="AA411" s="10" t="s">
        <v>23</v>
      </c>
      <c r="AB411" s="10" t="s">
        <v>46</v>
      </c>
    </row>
    <row r="412" spans="1:28">
      <c r="A412" s="10" t="s">
        <v>895</v>
      </c>
      <c r="B412" s="11" t="s">
        <v>73</v>
      </c>
      <c r="C412" s="11" t="s">
        <v>417</v>
      </c>
      <c r="D412" s="12">
        <v>31</v>
      </c>
      <c r="E412" s="11" t="s">
        <v>448</v>
      </c>
      <c r="F412" s="14" t="str">
        <f>_xlfn.XLOOKUP(E412,Profession!$B$2:$B$15,Profession!$A$2:$A$15,"Not Found")</f>
        <v>P004</v>
      </c>
      <c r="G412" s="11" t="s">
        <v>1111</v>
      </c>
      <c r="H412" s="10" t="str">
        <f>_xlfn.XLOOKUP(G412,Region!$B$2:$B$16,Region!$A$2:$A$16,"Not Found")</f>
        <v>R004</v>
      </c>
      <c r="I412" s="10" t="s">
        <v>420</v>
      </c>
      <c r="J412" s="10" t="s">
        <v>420</v>
      </c>
      <c r="K412" s="10" t="s">
        <v>431</v>
      </c>
      <c r="L412" s="10" t="s">
        <v>1058</v>
      </c>
      <c r="M412" s="16" t="s">
        <v>432</v>
      </c>
      <c r="N412" s="10" t="s">
        <v>138</v>
      </c>
      <c r="O412" s="16" t="s">
        <v>450</v>
      </c>
      <c r="P412" s="11" t="s">
        <v>422</v>
      </c>
      <c r="Q412" s="11" t="s">
        <v>420</v>
      </c>
      <c r="R412" s="11" t="s">
        <v>107</v>
      </c>
      <c r="S412" s="10" t="s">
        <v>62</v>
      </c>
      <c r="T412" s="81">
        <v>7</v>
      </c>
      <c r="U412" s="10" t="s">
        <v>420</v>
      </c>
      <c r="V412" s="10" t="s">
        <v>450</v>
      </c>
      <c r="X412" s="15">
        <v>4</v>
      </c>
      <c r="Y412" s="10" t="s">
        <v>56</v>
      </c>
      <c r="Z412" s="10" t="s">
        <v>2849</v>
      </c>
      <c r="AA412" s="10" t="s">
        <v>23</v>
      </c>
      <c r="AB412" s="10" t="s">
        <v>46</v>
      </c>
    </row>
    <row r="413" spans="1:28">
      <c r="A413" s="10" t="s">
        <v>896</v>
      </c>
      <c r="B413" s="11" t="s">
        <v>367</v>
      </c>
      <c r="C413" s="11" t="s">
        <v>417</v>
      </c>
      <c r="D413" s="12">
        <v>32</v>
      </c>
      <c r="E413" s="11" t="s">
        <v>465</v>
      </c>
      <c r="F413" s="14" t="str">
        <f>_xlfn.XLOOKUP(E413,Profession!$B$2:$B$15,Profession!$A$2:$A$15,"Not Found")</f>
        <v>P010</v>
      </c>
      <c r="G413" s="11" t="s">
        <v>419</v>
      </c>
      <c r="H413" s="10" t="str">
        <f>_xlfn.XLOOKUP(G413,Region!$B$2:$B$16,Region!$A$2:$A$16,"Not Found")</f>
        <v>R001</v>
      </c>
      <c r="I413" s="10" t="s">
        <v>423</v>
      </c>
      <c r="J413" s="10" t="s">
        <v>423</v>
      </c>
      <c r="K413" s="10" t="s">
        <v>434</v>
      </c>
      <c r="L413" s="10" t="s">
        <v>1058</v>
      </c>
      <c r="M413" s="16" t="s">
        <v>422</v>
      </c>
      <c r="N413" s="10" t="s">
        <v>138</v>
      </c>
      <c r="O413" s="16" t="s">
        <v>444</v>
      </c>
      <c r="P413" s="11" t="s">
        <v>422</v>
      </c>
      <c r="Q413" s="11" t="s">
        <v>420</v>
      </c>
      <c r="R413" s="11" t="s">
        <v>1065</v>
      </c>
      <c r="S413" s="10" t="s">
        <v>62</v>
      </c>
      <c r="T413" s="81">
        <v>8</v>
      </c>
      <c r="U413" s="10" t="s">
        <v>420</v>
      </c>
      <c r="V413" s="10" t="s">
        <v>450</v>
      </c>
      <c r="X413" s="15">
        <v>7</v>
      </c>
      <c r="Y413" s="10" t="s">
        <v>100</v>
      </c>
      <c r="Z413" s="10" t="s">
        <v>2849</v>
      </c>
      <c r="AA413" s="10" t="s">
        <v>23</v>
      </c>
      <c r="AB413" s="10" t="s">
        <v>2843</v>
      </c>
    </row>
    <row r="414" spans="1:28">
      <c r="A414" s="10" t="s">
        <v>897</v>
      </c>
      <c r="B414" s="11" t="s">
        <v>368</v>
      </c>
      <c r="C414" s="11" t="s">
        <v>417</v>
      </c>
      <c r="D414" s="12">
        <v>33</v>
      </c>
      <c r="E414" s="11" t="s">
        <v>462</v>
      </c>
      <c r="F414" s="14" t="str">
        <f>_xlfn.XLOOKUP(E414,Profession!$B$2:$B$15,Profession!$A$2:$A$15,"Not Found")</f>
        <v>P008</v>
      </c>
      <c r="G414" s="11" t="s">
        <v>464</v>
      </c>
      <c r="H414" s="10" t="str">
        <f>_xlfn.XLOOKUP(G414,Region!$B$2:$B$16,Region!$A$2:$A$16,"Not Found")</f>
        <v>R007</v>
      </c>
      <c r="I414" s="10" t="s">
        <v>423</v>
      </c>
      <c r="J414" s="10" t="s">
        <v>423</v>
      </c>
      <c r="K414" s="10" t="s">
        <v>435</v>
      </c>
      <c r="L414" s="10" t="s">
        <v>1058</v>
      </c>
      <c r="M414" s="16" t="s">
        <v>436</v>
      </c>
      <c r="N414" s="10" t="s">
        <v>138</v>
      </c>
      <c r="O414" s="16" t="s">
        <v>450</v>
      </c>
      <c r="P414" s="11" t="s">
        <v>422</v>
      </c>
      <c r="Q414" s="11" t="s">
        <v>420</v>
      </c>
      <c r="R414" s="11" t="s">
        <v>107</v>
      </c>
      <c r="S414" s="10" t="s">
        <v>62</v>
      </c>
      <c r="T414" s="81">
        <v>5</v>
      </c>
      <c r="U414" s="10" t="s">
        <v>2275</v>
      </c>
      <c r="V414" s="10" t="s">
        <v>450</v>
      </c>
      <c r="X414" s="15">
        <v>5</v>
      </c>
      <c r="Y414" s="10" t="s">
        <v>54</v>
      </c>
      <c r="Z414" s="10" t="s">
        <v>2849</v>
      </c>
      <c r="AA414" s="10" t="s">
        <v>23</v>
      </c>
      <c r="AB414" s="10" t="s">
        <v>2844</v>
      </c>
    </row>
    <row r="415" spans="1:28">
      <c r="A415" s="10" t="s">
        <v>898</v>
      </c>
      <c r="B415" s="11" t="s">
        <v>369</v>
      </c>
      <c r="C415" s="11" t="s">
        <v>417</v>
      </c>
      <c r="D415" s="12">
        <v>34</v>
      </c>
      <c r="E415" s="11" t="s">
        <v>473</v>
      </c>
      <c r="F415" s="14" t="str">
        <f>_xlfn.XLOOKUP(E415,Profession!$B$2:$B$15,Profession!$A$2:$A$15,"Not Found")</f>
        <v>P012</v>
      </c>
      <c r="G415" s="11" t="s">
        <v>419</v>
      </c>
      <c r="H415" s="10" t="str">
        <f>_xlfn.XLOOKUP(G415,Region!$B$2:$B$16,Region!$A$2:$A$16,"Not Found")</f>
        <v>R001</v>
      </c>
      <c r="I415" s="10" t="s">
        <v>423</v>
      </c>
      <c r="J415" s="10" t="s">
        <v>423</v>
      </c>
      <c r="K415" s="10" t="s">
        <v>434</v>
      </c>
      <c r="L415" s="10" t="s">
        <v>1058</v>
      </c>
      <c r="M415" s="16" t="s">
        <v>432</v>
      </c>
      <c r="N415" s="10" t="s">
        <v>138</v>
      </c>
      <c r="O415" s="16" t="s">
        <v>444</v>
      </c>
      <c r="P415" s="11" t="s">
        <v>422</v>
      </c>
      <c r="Q415" s="11" t="s">
        <v>420</v>
      </c>
      <c r="R415" s="11" t="s">
        <v>107</v>
      </c>
      <c r="S415" s="10" t="s">
        <v>62</v>
      </c>
      <c r="T415" s="81">
        <v>7</v>
      </c>
      <c r="U415" s="10" t="s">
        <v>420</v>
      </c>
      <c r="V415" s="10" t="s">
        <v>450</v>
      </c>
      <c r="X415" s="15">
        <v>5</v>
      </c>
      <c r="Y415" s="10" t="s">
        <v>87</v>
      </c>
      <c r="Z415" s="10" t="s">
        <v>2848</v>
      </c>
      <c r="AA415" s="10" t="s">
        <v>23</v>
      </c>
      <c r="AB415" s="10" t="s">
        <v>149</v>
      </c>
    </row>
    <row r="416" spans="1:28">
      <c r="A416" s="10" t="s">
        <v>899</v>
      </c>
      <c r="B416" s="11" t="s">
        <v>370</v>
      </c>
      <c r="C416" s="11" t="s">
        <v>417</v>
      </c>
      <c r="D416" s="12">
        <v>35</v>
      </c>
      <c r="E416" s="11" t="s">
        <v>452</v>
      </c>
      <c r="F416" s="14" t="str">
        <f>_xlfn.XLOOKUP(E416,Profession!$B$2:$B$15,Profession!$A$2:$A$15,"Not Found")</f>
        <v>P005</v>
      </c>
      <c r="G416" s="11" t="s">
        <v>455</v>
      </c>
      <c r="H416" s="10" t="str">
        <f>_xlfn.XLOOKUP(G416,Region!$B$2:$B$16,Region!$A$2:$A$16,"Not Found")</f>
        <v>R006</v>
      </c>
      <c r="I416" s="10" t="s">
        <v>420</v>
      </c>
      <c r="J416" s="10" t="s">
        <v>420</v>
      </c>
      <c r="K416" s="10" t="s">
        <v>434</v>
      </c>
      <c r="L416" s="10" t="s">
        <v>1058</v>
      </c>
      <c r="M416" s="16" t="s">
        <v>422</v>
      </c>
      <c r="N416" s="10" t="s">
        <v>106</v>
      </c>
      <c r="O416" s="16" t="s">
        <v>436</v>
      </c>
      <c r="P416" s="11" t="s">
        <v>422</v>
      </c>
      <c r="Q416" s="11" t="s">
        <v>435</v>
      </c>
      <c r="R416" s="11" t="s">
        <v>1071</v>
      </c>
      <c r="S416" s="10" t="s">
        <v>62</v>
      </c>
      <c r="T416" s="81">
        <v>6</v>
      </c>
      <c r="U416" s="10" t="s">
        <v>420</v>
      </c>
      <c r="V416" s="10" t="s">
        <v>2277</v>
      </c>
      <c r="X416" s="15">
        <v>8</v>
      </c>
      <c r="Y416" s="10" t="s">
        <v>42</v>
      </c>
      <c r="Z416" s="10" t="s">
        <v>2849</v>
      </c>
      <c r="AA416" s="10" t="s">
        <v>43</v>
      </c>
      <c r="AB416" s="10" t="s">
        <v>46</v>
      </c>
    </row>
    <row r="417" spans="1:28">
      <c r="A417" s="10" t="s">
        <v>900</v>
      </c>
      <c r="B417" s="11" t="s">
        <v>371</v>
      </c>
      <c r="C417" s="11" t="s">
        <v>417</v>
      </c>
      <c r="D417" s="12">
        <v>36</v>
      </c>
      <c r="E417" s="11" t="s">
        <v>452</v>
      </c>
      <c r="F417" s="14" t="str">
        <f>_xlfn.XLOOKUP(E417,Profession!$B$2:$B$15,Profession!$A$2:$A$15,"Not Found")</f>
        <v>P005</v>
      </c>
      <c r="G417" s="11" t="s">
        <v>1115</v>
      </c>
      <c r="H417" s="10" t="str">
        <f>_xlfn.XLOOKUP(G417,Region!$B$2:$B$16,Region!$A$2:$A$16,"Not Found")</f>
        <v>R002</v>
      </c>
      <c r="I417" s="10" t="s">
        <v>420</v>
      </c>
      <c r="J417" s="10" t="s">
        <v>420</v>
      </c>
      <c r="K417" s="10" t="s">
        <v>435</v>
      </c>
      <c r="L417" s="10" t="s">
        <v>1058</v>
      </c>
      <c r="M417" s="16" t="s">
        <v>429</v>
      </c>
      <c r="N417" s="10" t="s">
        <v>64</v>
      </c>
      <c r="O417" s="16" t="s">
        <v>433</v>
      </c>
      <c r="P417" s="11" t="s">
        <v>422</v>
      </c>
      <c r="Q417" s="11" t="s">
        <v>420</v>
      </c>
      <c r="R417" s="11" t="s">
        <v>1072</v>
      </c>
      <c r="S417" s="10" t="s">
        <v>2885</v>
      </c>
      <c r="T417" s="81">
        <v>6</v>
      </c>
      <c r="U417" s="10" t="s">
        <v>2273</v>
      </c>
      <c r="V417" s="10" t="s">
        <v>2277</v>
      </c>
      <c r="X417" s="15">
        <v>3</v>
      </c>
      <c r="Y417" s="10" t="s">
        <v>45</v>
      </c>
      <c r="Z417" s="10" t="s">
        <v>2849</v>
      </c>
      <c r="AA417" s="10" t="s">
        <v>37</v>
      </c>
      <c r="AB417" s="10" t="s">
        <v>149</v>
      </c>
    </row>
    <row r="418" spans="1:28">
      <c r="A418" s="10" t="s">
        <v>901</v>
      </c>
      <c r="B418" s="11" t="s">
        <v>372</v>
      </c>
      <c r="C418" s="11" t="s">
        <v>417</v>
      </c>
      <c r="D418" s="12">
        <v>37</v>
      </c>
      <c r="E418" s="11" t="s">
        <v>442</v>
      </c>
      <c r="F418" s="14" t="str">
        <f>_xlfn.XLOOKUP(E418,Profession!$B$2:$B$15,Profession!$A$2:$A$15,"Not Found")</f>
        <v>P002</v>
      </c>
      <c r="G418" s="11" t="s">
        <v>419</v>
      </c>
      <c r="H418" s="10" t="str">
        <f>_xlfn.XLOOKUP(G418,Region!$B$2:$B$16,Region!$A$2:$A$16,"Not Found")</f>
        <v>R001</v>
      </c>
      <c r="I418" s="10" t="s">
        <v>420</v>
      </c>
      <c r="J418" s="10" t="s">
        <v>420</v>
      </c>
      <c r="K418" s="10" t="s">
        <v>426</v>
      </c>
      <c r="L418" s="10" t="s">
        <v>1058</v>
      </c>
      <c r="M418" s="16" t="s">
        <v>422</v>
      </c>
      <c r="N418" s="10" t="s">
        <v>102</v>
      </c>
      <c r="O418" s="16" t="s">
        <v>426</v>
      </c>
      <c r="P418" s="11" t="s">
        <v>1059</v>
      </c>
      <c r="Q418" s="11" t="s">
        <v>422</v>
      </c>
      <c r="R418" s="11" t="s">
        <v>1062</v>
      </c>
      <c r="S418" s="10" t="s">
        <v>2884</v>
      </c>
      <c r="T418" s="81">
        <v>6.3008333333333297</v>
      </c>
      <c r="U418" s="10" t="s">
        <v>420</v>
      </c>
      <c r="V418" s="10" t="s">
        <v>2277</v>
      </c>
      <c r="X418" s="15">
        <v>4</v>
      </c>
      <c r="Y418" s="10" t="s">
        <v>36</v>
      </c>
      <c r="Z418" s="10" t="s">
        <v>2849</v>
      </c>
      <c r="AA418" s="10" t="s">
        <v>23</v>
      </c>
      <c r="AB418" s="10" t="s">
        <v>2843</v>
      </c>
    </row>
    <row r="419" spans="1:28">
      <c r="A419" s="10" t="s">
        <v>902</v>
      </c>
      <c r="B419" s="11" t="s">
        <v>79</v>
      </c>
      <c r="C419" s="11" t="s">
        <v>417</v>
      </c>
      <c r="D419" s="12">
        <v>38</v>
      </c>
      <c r="E419" s="11" t="s">
        <v>465</v>
      </c>
      <c r="F419" s="14" t="str">
        <f>_xlfn.XLOOKUP(E419,Profession!$B$2:$B$15,Profession!$A$2:$A$15,"Not Found")</f>
        <v>P010</v>
      </c>
      <c r="G419" s="11" t="s">
        <v>108</v>
      </c>
      <c r="H419" s="10" t="str">
        <f>_xlfn.XLOOKUP(G419,Region!$B$2:$B$16,Region!$A$2:$A$16,"Not Found")</f>
        <v>R010</v>
      </c>
      <c r="I419" s="10" t="s">
        <v>420</v>
      </c>
      <c r="J419" s="10" t="s">
        <v>420</v>
      </c>
      <c r="K419" s="10" t="s">
        <v>435</v>
      </c>
      <c r="L419" s="10" t="s">
        <v>1058</v>
      </c>
      <c r="M419" s="16" t="s">
        <v>422</v>
      </c>
      <c r="N419" s="10" t="s">
        <v>138</v>
      </c>
      <c r="O419" s="16" t="s">
        <v>450</v>
      </c>
      <c r="P419" s="11" t="s">
        <v>422</v>
      </c>
      <c r="Q419" s="11" t="s">
        <v>420</v>
      </c>
      <c r="R419" s="11" t="s">
        <v>107</v>
      </c>
      <c r="S419" s="10" t="s">
        <v>62</v>
      </c>
      <c r="T419" s="81">
        <v>7</v>
      </c>
      <c r="U419" s="10" t="s">
        <v>420</v>
      </c>
      <c r="V419" s="10" t="s">
        <v>450</v>
      </c>
      <c r="X419" s="15">
        <v>7</v>
      </c>
      <c r="Y419" s="10" t="s">
        <v>19</v>
      </c>
      <c r="Z419" s="10" t="s">
        <v>2849</v>
      </c>
      <c r="AA419" s="10" t="s">
        <v>23</v>
      </c>
      <c r="AB419" s="10" t="s">
        <v>2841</v>
      </c>
    </row>
    <row r="420" spans="1:28">
      <c r="A420" s="10" t="s">
        <v>903</v>
      </c>
      <c r="B420" s="11" t="s">
        <v>373</v>
      </c>
      <c r="C420" s="11" t="s">
        <v>417</v>
      </c>
      <c r="D420" s="12">
        <v>39</v>
      </c>
      <c r="E420" s="11" t="s">
        <v>458</v>
      </c>
      <c r="F420" s="14" t="str">
        <f>_xlfn.XLOOKUP(E420,Profession!$B$2:$B$15,Profession!$A$2:$A$15,"Not Found")</f>
        <v>P006</v>
      </c>
      <c r="G420" s="11" t="s">
        <v>1115</v>
      </c>
      <c r="H420" s="10" t="str">
        <f>_xlfn.XLOOKUP(G420,Region!$B$2:$B$16,Region!$A$2:$A$16,"Not Found")</f>
        <v>R002</v>
      </c>
      <c r="I420" s="10" t="s">
        <v>420</v>
      </c>
      <c r="J420" s="10" t="s">
        <v>420</v>
      </c>
      <c r="K420" s="10" t="s">
        <v>434</v>
      </c>
      <c r="L420" s="10" t="s">
        <v>1058</v>
      </c>
      <c r="M420" s="16" t="s">
        <v>432</v>
      </c>
      <c r="N420" s="10" t="s">
        <v>64</v>
      </c>
      <c r="O420" s="16" t="s">
        <v>433</v>
      </c>
      <c r="P420" s="11" t="s">
        <v>422</v>
      </c>
      <c r="Q420" s="11" t="s">
        <v>1061</v>
      </c>
      <c r="R420" s="11" t="s">
        <v>1065</v>
      </c>
      <c r="S420" s="10" t="s">
        <v>62</v>
      </c>
      <c r="T420" s="81">
        <v>6</v>
      </c>
      <c r="U420" s="10" t="s">
        <v>2274</v>
      </c>
      <c r="V420" s="10" t="s">
        <v>450</v>
      </c>
      <c r="X420" s="15">
        <v>3</v>
      </c>
      <c r="Y420" s="10" t="s">
        <v>49</v>
      </c>
      <c r="Z420" s="10" t="s">
        <v>2849</v>
      </c>
      <c r="AA420" s="10" t="s">
        <v>37</v>
      </c>
      <c r="AB420" s="10" t="s">
        <v>46</v>
      </c>
    </row>
    <row r="421" spans="1:28">
      <c r="A421" s="10" t="s">
        <v>904</v>
      </c>
      <c r="B421" s="11" t="s">
        <v>374</v>
      </c>
      <c r="C421" s="11" t="s">
        <v>417</v>
      </c>
      <c r="D421" s="12">
        <v>40</v>
      </c>
      <c r="E421" s="11" t="s">
        <v>1054</v>
      </c>
      <c r="F421" s="14" t="str">
        <f>_xlfn.XLOOKUP(E421,Profession!$B$2:$B$15,Profession!$A$2:$A$15,"Not Found")</f>
        <v>P013</v>
      </c>
      <c r="G421" s="11" t="s">
        <v>1110</v>
      </c>
      <c r="H421" s="10" t="str">
        <f>_xlfn.XLOOKUP(G421,Region!$B$2:$B$16,Region!$A$2:$A$16,"Not Found")</f>
        <v>R013</v>
      </c>
      <c r="I421" s="10" t="s">
        <v>420</v>
      </c>
      <c r="J421" s="10" t="s">
        <v>420</v>
      </c>
      <c r="K421" s="10" t="s">
        <v>435</v>
      </c>
      <c r="L421" s="10" t="s">
        <v>1058</v>
      </c>
      <c r="M421" s="16" t="s">
        <v>422</v>
      </c>
      <c r="N421" s="10" t="s">
        <v>138</v>
      </c>
      <c r="O421" s="16" t="s">
        <v>433</v>
      </c>
      <c r="P421" s="11" t="s">
        <v>435</v>
      </c>
      <c r="Q421" s="11" t="s">
        <v>420</v>
      </c>
      <c r="R421" s="11" t="s">
        <v>1067</v>
      </c>
      <c r="S421" s="10" t="s">
        <v>62</v>
      </c>
      <c r="T421" s="81">
        <v>6</v>
      </c>
      <c r="U421" s="10" t="s">
        <v>420</v>
      </c>
      <c r="V421" s="10" t="s">
        <v>450</v>
      </c>
      <c r="X421" s="15">
        <v>6</v>
      </c>
      <c r="Y421" s="10" t="s">
        <v>75</v>
      </c>
      <c r="Z421" s="10" t="s">
        <v>2847</v>
      </c>
      <c r="AA421" s="10" t="s">
        <v>70</v>
      </c>
      <c r="AB421" s="10" t="s">
        <v>149</v>
      </c>
    </row>
    <row r="422" spans="1:28">
      <c r="A422" s="10" t="s">
        <v>905</v>
      </c>
      <c r="B422" s="11" t="s">
        <v>375</v>
      </c>
      <c r="C422" s="11" t="s">
        <v>417</v>
      </c>
      <c r="D422" s="12">
        <v>41</v>
      </c>
      <c r="E422" s="11" t="s">
        <v>446</v>
      </c>
      <c r="F422" s="14" t="str">
        <f>_xlfn.XLOOKUP(E422,Profession!$B$2:$B$15,Profession!$A$2:$A$15,"Not Found")</f>
        <v>P003</v>
      </c>
      <c r="G422" s="11" t="s">
        <v>104</v>
      </c>
      <c r="H422" s="10" t="str">
        <f>_xlfn.XLOOKUP(G422,Region!$B$2:$B$16,Region!$A$2:$A$16,"Not Found")</f>
        <v>R003</v>
      </c>
      <c r="I422" s="10" t="s">
        <v>420</v>
      </c>
      <c r="J422" s="10" t="s">
        <v>420</v>
      </c>
      <c r="K422" s="10" t="s">
        <v>435</v>
      </c>
      <c r="L422" s="10" t="s">
        <v>1058</v>
      </c>
      <c r="M422" s="16" t="s">
        <v>422</v>
      </c>
      <c r="N422" s="10" t="s">
        <v>138</v>
      </c>
      <c r="O422" s="16" t="s">
        <v>433</v>
      </c>
      <c r="P422" s="11" t="s">
        <v>422</v>
      </c>
      <c r="Q422" s="11" t="s">
        <v>420</v>
      </c>
      <c r="R422" s="11" t="s">
        <v>1070</v>
      </c>
      <c r="S422" s="10" t="s">
        <v>62</v>
      </c>
      <c r="T422" s="81">
        <v>8</v>
      </c>
      <c r="U422" s="10" t="s">
        <v>420</v>
      </c>
      <c r="V422" s="10" t="s">
        <v>2277</v>
      </c>
      <c r="X422" s="15">
        <v>5</v>
      </c>
      <c r="Y422" s="10" t="s">
        <v>19</v>
      </c>
      <c r="Z422" s="10" t="s">
        <v>2849</v>
      </c>
      <c r="AA422" s="10" t="s">
        <v>23</v>
      </c>
      <c r="AB422" s="10" t="s">
        <v>28</v>
      </c>
    </row>
    <row r="423" spans="1:28">
      <c r="A423" s="10" t="s">
        <v>906</v>
      </c>
      <c r="B423" s="11" t="s">
        <v>376</v>
      </c>
      <c r="C423" s="11" t="s">
        <v>417</v>
      </c>
      <c r="D423" s="12">
        <v>42</v>
      </c>
      <c r="E423" s="11" t="s">
        <v>1088</v>
      </c>
      <c r="F423" s="14" t="str">
        <f>_xlfn.XLOOKUP(E423,Profession!$B$2:$B$15,Profession!$A$2:$A$15,"Not Found")</f>
        <v>P014</v>
      </c>
      <c r="G423" s="11" t="s">
        <v>1114</v>
      </c>
      <c r="H423" s="10" t="str">
        <f>_xlfn.XLOOKUP(G423,Region!$B$2:$B$16,Region!$A$2:$A$16,"Not Found")</f>
        <v>R014</v>
      </c>
      <c r="I423" s="10" t="s">
        <v>420</v>
      </c>
      <c r="J423" s="10" t="s">
        <v>420</v>
      </c>
      <c r="K423" s="10" t="s">
        <v>435</v>
      </c>
      <c r="L423" s="10" t="s">
        <v>1058</v>
      </c>
      <c r="M423" s="16" t="s">
        <v>422</v>
      </c>
      <c r="N423" s="10" t="s">
        <v>138</v>
      </c>
      <c r="O423" s="16" t="s">
        <v>433</v>
      </c>
      <c r="P423" s="11" t="s">
        <v>422</v>
      </c>
      <c r="Q423" s="11" t="s">
        <v>1061</v>
      </c>
      <c r="R423" s="11" t="s">
        <v>1067</v>
      </c>
      <c r="S423" s="10" t="s">
        <v>62</v>
      </c>
      <c r="T423" s="81">
        <v>6</v>
      </c>
      <c r="U423" s="10" t="s">
        <v>420</v>
      </c>
      <c r="V423" s="10" t="s">
        <v>450</v>
      </c>
      <c r="X423" s="15">
        <v>6</v>
      </c>
      <c r="Y423" s="10" t="s">
        <v>77</v>
      </c>
      <c r="Z423" s="10" t="s">
        <v>2282</v>
      </c>
      <c r="AA423" s="10" t="s">
        <v>23</v>
      </c>
      <c r="AB423" s="10" t="s">
        <v>46</v>
      </c>
    </row>
    <row r="424" spans="1:28">
      <c r="A424" s="10" t="s">
        <v>907</v>
      </c>
      <c r="B424" s="11" t="s">
        <v>377</v>
      </c>
      <c r="C424" s="11" t="s">
        <v>417</v>
      </c>
      <c r="D424" s="12">
        <v>43</v>
      </c>
      <c r="E424" s="11" t="s">
        <v>1088</v>
      </c>
      <c r="F424" s="14" t="str">
        <f>_xlfn.XLOOKUP(E424,Profession!$B$2:$B$15,Profession!$A$2:$A$15,"Not Found")</f>
        <v>P014</v>
      </c>
      <c r="G424" s="11" t="s">
        <v>477</v>
      </c>
      <c r="H424" s="10" t="str">
        <f>_xlfn.XLOOKUP(G424,Region!$B$2:$B$16,Region!$A$2:$A$16,"Not Found")</f>
        <v>R015</v>
      </c>
      <c r="I424" s="10" t="s">
        <v>420</v>
      </c>
      <c r="J424" s="10" t="s">
        <v>420</v>
      </c>
      <c r="K424" s="10" t="s">
        <v>435</v>
      </c>
      <c r="L424" s="10" t="s">
        <v>1058</v>
      </c>
      <c r="M424" s="16" t="s">
        <v>422</v>
      </c>
      <c r="N424" s="10" t="s">
        <v>138</v>
      </c>
      <c r="O424" s="16" t="s">
        <v>433</v>
      </c>
      <c r="P424" s="11" t="s">
        <v>435</v>
      </c>
      <c r="Q424" s="11" t="s">
        <v>1061</v>
      </c>
      <c r="R424" s="11" t="s">
        <v>1068</v>
      </c>
      <c r="S424" s="10" t="s">
        <v>62</v>
      </c>
      <c r="T424" s="81">
        <v>8</v>
      </c>
      <c r="U424" s="10" t="s">
        <v>420</v>
      </c>
      <c r="V424" s="10" t="s">
        <v>450</v>
      </c>
      <c r="X424" s="15">
        <v>6</v>
      </c>
      <c r="Y424" s="10" t="s">
        <v>36</v>
      </c>
      <c r="Z424" s="10" t="s">
        <v>2849</v>
      </c>
      <c r="AA424" s="10" t="s">
        <v>23</v>
      </c>
      <c r="AB424" s="10" t="s">
        <v>2841</v>
      </c>
    </row>
    <row r="425" spans="1:28">
      <c r="A425" s="10" t="s">
        <v>908</v>
      </c>
      <c r="B425" s="11" t="s">
        <v>378</v>
      </c>
      <c r="C425" s="11" t="s">
        <v>417</v>
      </c>
      <c r="D425" s="12">
        <v>20</v>
      </c>
      <c r="E425" s="11" t="s">
        <v>418</v>
      </c>
      <c r="F425" s="14" t="str">
        <f>_xlfn.XLOOKUP(E425,Profession!$B$2:$B$15,Profession!$A$2:$A$15,"Not Found")</f>
        <v>P001</v>
      </c>
      <c r="G425" s="11" t="s">
        <v>419</v>
      </c>
      <c r="H425" s="10" t="str">
        <f>_xlfn.XLOOKUP(G425,Region!$B$2:$B$16,Region!$A$2:$A$16,"Not Found")</f>
        <v>R001</v>
      </c>
      <c r="I425" s="10" t="s">
        <v>420</v>
      </c>
      <c r="J425" s="10" t="s">
        <v>420</v>
      </c>
      <c r="K425" s="10" t="s">
        <v>435</v>
      </c>
      <c r="L425" s="10" t="s">
        <v>1057</v>
      </c>
      <c r="M425" s="16" t="s">
        <v>422</v>
      </c>
      <c r="N425" s="10" t="s">
        <v>26</v>
      </c>
      <c r="O425" s="16" t="s">
        <v>423</v>
      </c>
      <c r="P425" s="11" t="s">
        <v>1059</v>
      </c>
      <c r="Q425" s="11" t="s">
        <v>422</v>
      </c>
      <c r="R425" s="11" t="s">
        <v>1062</v>
      </c>
      <c r="S425" s="10" t="s">
        <v>2884</v>
      </c>
      <c r="T425" s="81">
        <v>7</v>
      </c>
      <c r="U425" s="10" t="s">
        <v>420</v>
      </c>
      <c r="V425" s="10" t="s">
        <v>2278</v>
      </c>
      <c r="X425" s="15">
        <v>3</v>
      </c>
      <c r="Y425" s="10" t="s">
        <v>27</v>
      </c>
      <c r="Z425" s="10" t="s">
        <v>2849</v>
      </c>
      <c r="AA425" s="10" t="s">
        <v>23</v>
      </c>
      <c r="AB425" s="10" t="s">
        <v>24</v>
      </c>
    </row>
    <row r="426" spans="1:28">
      <c r="A426" s="10" t="s">
        <v>909</v>
      </c>
      <c r="B426" s="11" t="s">
        <v>379</v>
      </c>
      <c r="C426" s="11" t="s">
        <v>417</v>
      </c>
      <c r="D426" s="12">
        <v>21</v>
      </c>
      <c r="E426" s="11" t="s">
        <v>465</v>
      </c>
      <c r="F426" s="14" t="str">
        <f>_xlfn.XLOOKUP(E426,Profession!$B$2:$B$15,Profession!$A$2:$A$15,"Not Found")</f>
        <v>P010</v>
      </c>
      <c r="G426" s="11" t="s">
        <v>1115</v>
      </c>
      <c r="H426" s="10" t="str">
        <f>_xlfn.XLOOKUP(G426,Region!$B$2:$B$16,Region!$A$2:$A$16,"Not Found")</f>
        <v>R002</v>
      </c>
      <c r="I426" s="10" t="s">
        <v>420</v>
      </c>
      <c r="J426" s="10" t="s">
        <v>420</v>
      </c>
      <c r="K426" s="10" t="s">
        <v>421</v>
      </c>
      <c r="L426" s="10" t="s">
        <v>1058</v>
      </c>
      <c r="M426" s="16" t="s">
        <v>422</v>
      </c>
      <c r="N426" s="10" t="s">
        <v>138</v>
      </c>
      <c r="O426" s="16" t="s">
        <v>450</v>
      </c>
      <c r="P426" s="11" t="s">
        <v>422</v>
      </c>
      <c r="Q426" s="11" t="s">
        <v>420</v>
      </c>
      <c r="R426" s="11" t="s">
        <v>1065</v>
      </c>
      <c r="S426" s="10" t="s">
        <v>62</v>
      </c>
      <c r="T426" s="81">
        <v>8</v>
      </c>
      <c r="U426" s="10" t="s">
        <v>420</v>
      </c>
      <c r="V426" s="10" t="s">
        <v>450</v>
      </c>
      <c r="X426" s="15">
        <v>4</v>
      </c>
      <c r="Y426" s="10" t="s">
        <v>56</v>
      </c>
      <c r="Z426" s="10" t="s">
        <v>2849</v>
      </c>
      <c r="AA426" s="10" t="s">
        <v>23</v>
      </c>
      <c r="AB426" s="10" t="s">
        <v>2843</v>
      </c>
    </row>
    <row r="427" spans="1:28">
      <c r="A427" s="10" t="s">
        <v>910</v>
      </c>
      <c r="B427" s="11" t="s">
        <v>241</v>
      </c>
      <c r="C427" s="11" t="s">
        <v>417</v>
      </c>
      <c r="D427" s="12">
        <v>22</v>
      </c>
      <c r="E427" s="11" t="s">
        <v>442</v>
      </c>
      <c r="F427" s="14" t="str">
        <f>_xlfn.XLOOKUP(E427,Profession!$B$2:$B$15,Profession!$A$2:$A$15,"Not Found")</f>
        <v>P002</v>
      </c>
      <c r="G427" s="11" t="s">
        <v>419</v>
      </c>
      <c r="H427" s="10" t="str">
        <f>_xlfn.XLOOKUP(G427,Region!$B$2:$B$16,Region!$A$2:$A$16,"Not Found")</f>
        <v>R001</v>
      </c>
      <c r="I427" s="10" t="s">
        <v>420</v>
      </c>
      <c r="J427" s="10" t="s">
        <v>420</v>
      </c>
      <c r="K427" s="10" t="s">
        <v>435</v>
      </c>
      <c r="L427" s="10" t="s">
        <v>1058</v>
      </c>
      <c r="M427" s="16" t="s">
        <v>436</v>
      </c>
      <c r="N427" s="10" t="s">
        <v>138</v>
      </c>
      <c r="O427" s="16" t="s">
        <v>444</v>
      </c>
      <c r="P427" s="11" t="s">
        <v>422</v>
      </c>
      <c r="Q427" s="11" t="s">
        <v>1061</v>
      </c>
      <c r="R427" s="11" t="s">
        <v>1068</v>
      </c>
      <c r="S427" s="10" t="s">
        <v>62</v>
      </c>
      <c r="T427" s="81">
        <v>6</v>
      </c>
      <c r="U427" s="10" t="s">
        <v>420</v>
      </c>
      <c r="V427" s="10" t="s">
        <v>2277</v>
      </c>
      <c r="X427" s="15">
        <v>6</v>
      </c>
      <c r="Y427" s="10" t="s">
        <v>100</v>
      </c>
      <c r="Z427" s="10" t="s">
        <v>2849</v>
      </c>
      <c r="AA427" s="10" t="s">
        <v>37</v>
      </c>
      <c r="AB427" s="10" t="s">
        <v>2844</v>
      </c>
    </row>
    <row r="428" spans="1:28">
      <c r="A428" s="10" t="s">
        <v>911</v>
      </c>
      <c r="B428" s="11" t="s">
        <v>47</v>
      </c>
      <c r="C428" s="11" t="s">
        <v>417</v>
      </c>
      <c r="D428" s="12">
        <v>23</v>
      </c>
      <c r="E428" s="11" t="s">
        <v>462</v>
      </c>
      <c r="F428" s="14" t="str">
        <f>_xlfn.XLOOKUP(E428,Profession!$B$2:$B$15,Profession!$A$2:$A$15,"Not Found")</f>
        <v>P008</v>
      </c>
      <c r="G428" s="11" t="s">
        <v>1112</v>
      </c>
      <c r="H428" s="10" t="str">
        <f>_xlfn.XLOOKUP(G428,Region!$B$2:$B$16,Region!$A$2:$A$16,"Not Found")</f>
        <v>R008</v>
      </c>
      <c r="I428" s="10" t="s">
        <v>420</v>
      </c>
      <c r="J428" s="10" t="s">
        <v>420</v>
      </c>
      <c r="K428" s="10" t="s">
        <v>431</v>
      </c>
      <c r="L428" s="10" t="s">
        <v>1058</v>
      </c>
      <c r="M428" s="16" t="s">
        <v>422</v>
      </c>
      <c r="N428" s="10" t="s">
        <v>138</v>
      </c>
      <c r="O428" s="16" t="s">
        <v>450</v>
      </c>
      <c r="P428" s="11" t="s">
        <v>422</v>
      </c>
      <c r="Q428" s="11" t="s">
        <v>420</v>
      </c>
      <c r="R428" s="11" t="s">
        <v>107</v>
      </c>
      <c r="S428" s="10" t="s">
        <v>62</v>
      </c>
      <c r="T428" s="81">
        <v>7</v>
      </c>
      <c r="U428" s="10" t="s">
        <v>420</v>
      </c>
      <c r="V428" s="10" t="s">
        <v>450</v>
      </c>
      <c r="X428" s="15">
        <v>5</v>
      </c>
      <c r="Y428" s="10" t="s">
        <v>56</v>
      </c>
      <c r="Z428" s="10" t="s">
        <v>2849</v>
      </c>
      <c r="AA428" s="10" t="s">
        <v>23</v>
      </c>
      <c r="AB428" s="10" t="s">
        <v>2843</v>
      </c>
    </row>
    <row r="429" spans="1:28">
      <c r="A429" s="10" t="s">
        <v>912</v>
      </c>
      <c r="B429" s="11" t="s">
        <v>47</v>
      </c>
      <c r="C429" s="11" t="s">
        <v>417</v>
      </c>
      <c r="D429" s="12">
        <v>24</v>
      </c>
      <c r="E429" s="11" t="s">
        <v>473</v>
      </c>
      <c r="F429" s="14" t="str">
        <f>_xlfn.XLOOKUP(E429,Profession!$B$2:$B$15,Profession!$A$2:$A$15,"Not Found")</f>
        <v>P012</v>
      </c>
      <c r="G429" s="11" t="s">
        <v>1113</v>
      </c>
      <c r="H429" s="10" t="str">
        <f>_xlfn.XLOOKUP(G429,Region!$B$2:$B$16,Region!$A$2:$A$16,"Not Found")</f>
        <v>R012</v>
      </c>
      <c r="I429" s="10" t="s">
        <v>423</v>
      </c>
      <c r="J429" s="10" t="s">
        <v>423</v>
      </c>
      <c r="K429" s="10" t="s">
        <v>435</v>
      </c>
      <c r="L429" s="10" t="s">
        <v>1058</v>
      </c>
      <c r="M429" s="16" t="s">
        <v>422</v>
      </c>
      <c r="N429" s="10" t="s">
        <v>138</v>
      </c>
      <c r="O429" s="16" t="s">
        <v>444</v>
      </c>
      <c r="P429" s="11" t="s">
        <v>422</v>
      </c>
      <c r="Q429" s="11" t="s">
        <v>1061</v>
      </c>
      <c r="R429" s="11" t="s">
        <v>107</v>
      </c>
      <c r="S429" s="10" t="s">
        <v>62</v>
      </c>
      <c r="T429" s="81">
        <v>6</v>
      </c>
      <c r="U429" s="10" t="s">
        <v>420</v>
      </c>
      <c r="V429" s="10" t="s">
        <v>2277</v>
      </c>
      <c r="X429" s="15">
        <v>6</v>
      </c>
      <c r="Y429" s="10" t="s">
        <v>22</v>
      </c>
      <c r="Z429" s="10" t="s">
        <v>2846</v>
      </c>
      <c r="AA429" s="10" t="s">
        <v>23</v>
      </c>
      <c r="AB429" s="10" t="s">
        <v>2842</v>
      </c>
    </row>
    <row r="430" spans="1:28">
      <c r="A430" s="10" t="s">
        <v>913</v>
      </c>
      <c r="B430" s="11" t="s">
        <v>244</v>
      </c>
      <c r="C430" s="11" t="s">
        <v>417</v>
      </c>
      <c r="D430" s="12">
        <v>25</v>
      </c>
      <c r="E430" s="11" t="s">
        <v>1108</v>
      </c>
      <c r="F430" s="14" t="str">
        <f>_xlfn.XLOOKUP(E430,Profession!$B$2:$B$15,Profession!$A$2:$A$15,"Not Found")</f>
        <v>P011</v>
      </c>
      <c r="G430" s="11" t="s">
        <v>419</v>
      </c>
      <c r="H430" s="10" t="str">
        <f>_xlfn.XLOOKUP(G430,Region!$B$2:$B$16,Region!$A$2:$A$16,"Not Found")</f>
        <v>R001</v>
      </c>
      <c r="I430" s="10" t="s">
        <v>420</v>
      </c>
      <c r="J430" s="10" t="s">
        <v>420</v>
      </c>
      <c r="K430" s="10" t="s">
        <v>431</v>
      </c>
      <c r="L430" s="10" t="s">
        <v>1058</v>
      </c>
      <c r="M430" s="16" t="s">
        <v>422</v>
      </c>
      <c r="N430" s="10" t="s">
        <v>138</v>
      </c>
      <c r="O430" s="16" t="s">
        <v>444</v>
      </c>
      <c r="P430" s="11" t="s">
        <v>422</v>
      </c>
      <c r="Q430" s="11" t="s">
        <v>420</v>
      </c>
      <c r="R430" s="11" t="s">
        <v>1070</v>
      </c>
      <c r="S430" s="10" t="s">
        <v>62</v>
      </c>
      <c r="T430" s="81">
        <v>6</v>
      </c>
      <c r="U430" s="10" t="s">
        <v>420</v>
      </c>
      <c r="V430" s="10" t="s">
        <v>2277</v>
      </c>
      <c r="X430" s="15">
        <v>5</v>
      </c>
      <c r="Y430" s="10" t="s">
        <v>58</v>
      </c>
      <c r="Z430" s="10" t="s">
        <v>2849</v>
      </c>
      <c r="AA430" s="10" t="s">
        <v>23</v>
      </c>
      <c r="AB430" s="10" t="s">
        <v>2843</v>
      </c>
    </row>
    <row r="431" spans="1:28">
      <c r="A431" s="10" t="s">
        <v>914</v>
      </c>
      <c r="B431" s="11" t="s">
        <v>380</v>
      </c>
      <c r="C431" s="11" t="s">
        <v>417</v>
      </c>
      <c r="D431" s="12">
        <v>26</v>
      </c>
      <c r="E431" s="11" t="s">
        <v>459</v>
      </c>
      <c r="F431" s="14" t="str">
        <f>_xlfn.XLOOKUP(E431,Profession!$B$2:$B$15,Profession!$A$2:$A$15,"Not Found")</f>
        <v>P007</v>
      </c>
      <c r="G431" s="11" t="s">
        <v>419</v>
      </c>
      <c r="H431" s="10" t="str">
        <f>_xlfn.XLOOKUP(G431,Region!$B$2:$B$16,Region!$A$2:$A$16,"Not Found")</f>
        <v>R001</v>
      </c>
      <c r="I431" s="10" t="s">
        <v>420</v>
      </c>
      <c r="J431" s="10" t="s">
        <v>420</v>
      </c>
      <c r="K431" s="10" t="s">
        <v>421</v>
      </c>
      <c r="L431" s="10" t="s">
        <v>1058</v>
      </c>
      <c r="M431" s="16" t="s">
        <v>422</v>
      </c>
      <c r="N431" s="10" t="s">
        <v>19</v>
      </c>
      <c r="O431" s="16" t="s">
        <v>444</v>
      </c>
      <c r="P431" s="11" t="s">
        <v>422</v>
      </c>
      <c r="Q431" s="11" t="s">
        <v>420</v>
      </c>
      <c r="R431" s="11" t="s">
        <v>1070</v>
      </c>
      <c r="S431" s="10" t="s">
        <v>62</v>
      </c>
      <c r="T431" s="81">
        <v>8</v>
      </c>
      <c r="U431" s="10" t="s">
        <v>420</v>
      </c>
      <c r="V431" s="10" t="s">
        <v>450</v>
      </c>
      <c r="X431" s="15">
        <v>4</v>
      </c>
      <c r="Y431" s="10" t="s">
        <v>36</v>
      </c>
      <c r="Z431" s="10" t="s">
        <v>2849</v>
      </c>
      <c r="AA431" s="10" t="s">
        <v>37</v>
      </c>
      <c r="AB431" s="10" t="s">
        <v>24</v>
      </c>
    </row>
    <row r="432" spans="1:28">
      <c r="A432" s="10" t="s">
        <v>915</v>
      </c>
      <c r="B432" s="11" t="s">
        <v>246</v>
      </c>
      <c r="C432" s="11" t="s">
        <v>417</v>
      </c>
      <c r="D432" s="12">
        <v>27</v>
      </c>
      <c r="E432" s="11" t="s">
        <v>418</v>
      </c>
      <c r="F432" s="14" t="str">
        <f>_xlfn.XLOOKUP(E432,Profession!$B$2:$B$15,Profession!$A$2:$A$15,"Not Found")</f>
        <v>P001</v>
      </c>
      <c r="G432" s="11" t="s">
        <v>1115</v>
      </c>
      <c r="H432" s="10" t="str">
        <f>_xlfn.XLOOKUP(G432,Region!$B$2:$B$16,Region!$A$2:$A$16,"Not Found")</f>
        <v>R002</v>
      </c>
      <c r="I432" s="10" t="s">
        <v>420</v>
      </c>
      <c r="J432" s="10" t="s">
        <v>420</v>
      </c>
      <c r="K432" s="10" t="s">
        <v>435</v>
      </c>
      <c r="L432" s="10" t="s">
        <v>1058</v>
      </c>
      <c r="M432" s="16" t="s">
        <v>432</v>
      </c>
      <c r="N432" s="10" t="s">
        <v>138</v>
      </c>
      <c r="O432" s="16" t="s">
        <v>433</v>
      </c>
      <c r="P432" s="11" t="s">
        <v>422</v>
      </c>
      <c r="Q432" s="11" t="s">
        <v>1061</v>
      </c>
      <c r="R432" s="11" t="s">
        <v>1065</v>
      </c>
      <c r="S432" s="10" t="s">
        <v>62</v>
      </c>
      <c r="T432" s="81">
        <v>8</v>
      </c>
      <c r="U432" s="10" t="s">
        <v>420</v>
      </c>
      <c r="V432" s="10" t="s">
        <v>2277</v>
      </c>
      <c r="X432" s="15">
        <v>5</v>
      </c>
      <c r="Y432" s="10" t="s">
        <v>27</v>
      </c>
      <c r="Z432" s="10" t="s">
        <v>2849</v>
      </c>
      <c r="AA432" s="10" t="s">
        <v>23</v>
      </c>
      <c r="AB432" s="10" t="s">
        <v>2841</v>
      </c>
    </row>
    <row r="433" spans="1:28">
      <c r="A433" s="10" t="s">
        <v>916</v>
      </c>
      <c r="B433" s="11" t="s">
        <v>381</v>
      </c>
      <c r="C433" s="11" t="s">
        <v>417</v>
      </c>
      <c r="D433" s="12">
        <v>28</v>
      </c>
      <c r="E433" s="11" t="s">
        <v>452</v>
      </c>
      <c r="F433" s="14" t="str">
        <f>_xlfn.XLOOKUP(E433,Profession!$B$2:$B$15,Profession!$A$2:$A$15,"Not Found")</f>
        <v>P005</v>
      </c>
      <c r="G433" s="11" t="s">
        <v>453</v>
      </c>
      <c r="H433" s="10" t="str">
        <f>_xlfn.XLOOKUP(G433,Region!$B$2:$B$16,Region!$A$2:$A$16,"Not Found")</f>
        <v>R005</v>
      </c>
      <c r="I433" s="10" t="s">
        <v>420</v>
      </c>
      <c r="J433" s="10" t="s">
        <v>420</v>
      </c>
      <c r="K433" s="10" t="s">
        <v>434</v>
      </c>
      <c r="L433" s="10" t="s">
        <v>1058</v>
      </c>
      <c r="M433" s="16" t="s">
        <v>422</v>
      </c>
      <c r="N433" s="10" t="s">
        <v>105</v>
      </c>
      <c r="O433" s="16" t="s">
        <v>433</v>
      </c>
      <c r="P433" s="11" t="s">
        <v>422</v>
      </c>
      <c r="Q433" s="11" t="s">
        <v>434</v>
      </c>
      <c r="R433" s="11" t="s">
        <v>1068</v>
      </c>
      <c r="S433" s="10" t="s">
        <v>62</v>
      </c>
      <c r="T433" s="81">
        <v>7</v>
      </c>
      <c r="U433" s="10" t="s">
        <v>2272</v>
      </c>
      <c r="V433" s="10" t="s">
        <v>450</v>
      </c>
      <c r="X433" s="15">
        <v>5</v>
      </c>
      <c r="Y433" s="10" t="s">
        <v>40</v>
      </c>
      <c r="Z433" s="10" t="s">
        <v>2280</v>
      </c>
      <c r="AA433" s="10" t="s">
        <v>37</v>
      </c>
      <c r="AB433" s="10" t="s">
        <v>24</v>
      </c>
    </row>
    <row r="434" spans="1:28">
      <c r="A434" s="10" t="s">
        <v>917</v>
      </c>
      <c r="B434" s="11" t="s">
        <v>63</v>
      </c>
      <c r="C434" s="11" t="s">
        <v>417</v>
      </c>
      <c r="D434" s="12">
        <v>29</v>
      </c>
      <c r="E434" s="11" t="s">
        <v>465</v>
      </c>
      <c r="F434" s="14" t="str">
        <f>_xlfn.XLOOKUP(E434,Profession!$B$2:$B$15,Profession!$A$2:$A$15,"Not Found")</f>
        <v>P010</v>
      </c>
      <c r="G434" s="11" t="s">
        <v>467</v>
      </c>
      <c r="H434" s="10" t="str">
        <f>_xlfn.XLOOKUP(G434,Region!$B$2:$B$16,Region!$A$2:$A$16,"Not Found")</f>
        <v>R009</v>
      </c>
      <c r="I434" s="10" t="s">
        <v>420</v>
      </c>
      <c r="J434" s="10" t="s">
        <v>420</v>
      </c>
      <c r="K434" s="10" t="s">
        <v>434</v>
      </c>
      <c r="L434" s="10" t="s">
        <v>1058</v>
      </c>
      <c r="M434" s="16" t="s">
        <v>422</v>
      </c>
      <c r="N434" s="10" t="s">
        <v>138</v>
      </c>
      <c r="O434" s="16" t="s">
        <v>444</v>
      </c>
      <c r="P434" s="11" t="s">
        <v>422</v>
      </c>
      <c r="Q434" s="11" t="s">
        <v>420</v>
      </c>
      <c r="R434" s="11" t="s">
        <v>1070</v>
      </c>
      <c r="S434" s="10" t="s">
        <v>62</v>
      </c>
      <c r="T434" s="81">
        <v>6</v>
      </c>
      <c r="U434" s="10" t="s">
        <v>420</v>
      </c>
      <c r="V434" s="10" t="s">
        <v>2277</v>
      </c>
      <c r="X434" s="15">
        <v>4</v>
      </c>
      <c r="Y434" s="10" t="s">
        <v>56</v>
      </c>
      <c r="Z434" s="10" t="s">
        <v>2849</v>
      </c>
      <c r="AA434" s="10" t="s">
        <v>23</v>
      </c>
      <c r="AB434" s="10" t="s">
        <v>2843</v>
      </c>
    </row>
    <row r="435" spans="1:28">
      <c r="A435" s="10" t="s">
        <v>918</v>
      </c>
      <c r="B435" s="11" t="s">
        <v>382</v>
      </c>
      <c r="C435" s="11" t="s">
        <v>417</v>
      </c>
      <c r="D435" s="12">
        <v>30</v>
      </c>
      <c r="E435" s="11" t="s">
        <v>448</v>
      </c>
      <c r="F435" s="14" t="str">
        <f>_xlfn.XLOOKUP(E435,Profession!$B$2:$B$15,Profession!$A$2:$A$15,"Not Found")</f>
        <v>P004</v>
      </c>
      <c r="G435" s="11" t="s">
        <v>1111</v>
      </c>
      <c r="H435" s="10" t="str">
        <f>_xlfn.XLOOKUP(G435,Region!$B$2:$B$16,Region!$A$2:$A$16,"Not Found")</f>
        <v>R004</v>
      </c>
      <c r="I435" s="10" t="s">
        <v>420</v>
      </c>
      <c r="J435" s="10" t="s">
        <v>420</v>
      </c>
      <c r="K435" s="10" t="s">
        <v>431</v>
      </c>
      <c r="L435" s="10" t="s">
        <v>1057</v>
      </c>
      <c r="M435" s="16" t="s">
        <v>432</v>
      </c>
      <c r="N435" s="10" t="s">
        <v>138</v>
      </c>
      <c r="O435" s="16" t="s">
        <v>444</v>
      </c>
      <c r="P435" s="11" t="s">
        <v>422</v>
      </c>
      <c r="Q435" s="11" t="s">
        <v>420</v>
      </c>
      <c r="R435" s="11" t="s">
        <v>1070</v>
      </c>
      <c r="S435" s="10" t="s">
        <v>62</v>
      </c>
      <c r="T435" s="81">
        <v>8</v>
      </c>
      <c r="U435" s="10" t="s">
        <v>420</v>
      </c>
      <c r="V435" s="10" t="s">
        <v>450</v>
      </c>
      <c r="X435" s="15">
        <v>4</v>
      </c>
      <c r="Y435" s="10" t="s">
        <v>56</v>
      </c>
      <c r="Z435" s="10" t="s">
        <v>2849</v>
      </c>
      <c r="AA435" s="10" t="s">
        <v>23</v>
      </c>
      <c r="AB435" s="10" t="s">
        <v>46</v>
      </c>
    </row>
    <row r="436" spans="1:28">
      <c r="A436" s="10" t="s">
        <v>919</v>
      </c>
      <c r="B436" s="11" t="s">
        <v>253</v>
      </c>
      <c r="C436" s="11" t="s">
        <v>417</v>
      </c>
      <c r="D436" s="12">
        <v>31</v>
      </c>
      <c r="E436" s="11" t="s">
        <v>448</v>
      </c>
      <c r="F436" s="14" t="str">
        <f>_xlfn.XLOOKUP(E436,Profession!$B$2:$B$15,Profession!$A$2:$A$15,"Not Found")</f>
        <v>P004</v>
      </c>
      <c r="G436" s="11" t="s">
        <v>1111</v>
      </c>
      <c r="H436" s="10" t="str">
        <f>_xlfn.XLOOKUP(G436,Region!$B$2:$B$16,Region!$A$2:$A$16,"Not Found")</f>
        <v>R004</v>
      </c>
      <c r="I436" s="10" t="s">
        <v>420</v>
      </c>
      <c r="J436" s="10" t="s">
        <v>420</v>
      </c>
      <c r="K436" s="10" t="s">
        <v>431</v>
      </c>
      <c r="L436" s="10" t="s">
        <v>1058</v>
      </c>
      <c r="M436" s="16" t="s">
        <v>432</v>
      </c>
      <c r="N436" s="10" t="s">
        <v>138</v>
      </c>
      <c r="O436" s="16" t="s">
        <v>450</v>
      </c>
      <c r="P436" s="11" t="s">
        <v>422</v>
      </c>
      <c r="Q436" s="11" t="s">
        <v>420</v>
      </c>
      <c r="R436" s="11" t="s">
        <v>107</v>
      </c>
      <c r="S436" s="10" t="s">
        <v>62</v>
      </c>
      <c r="T436" s="81">
        <v>7</v>
      </c>
      <c r="U436" s="10" t="s">
        <v>420</v>
      </c>
      <c r="V436" s="10" t="s">
        <v>450</v>
      </c>
      <c r="X436" s="15">
        <v>4</v>
      </c>
      <c r="Y436" s="10" t="s">
        <v>56</v>
      </c>
      <c r="Z436" s="10" t="s">
        <v>2849</v>
      </c>
      <c r="AA436" s="10" t="s">
        <v>23</v>
      </c>
      <c r="AB436" s="10" t="s">
        <v>46</v>
      </c>
    </row>
    <row r="437" spans="1:28">
      <c r="A437" s="10" t="s">
        <v>920</v>
      </c>
      <c r="B437" s="11" t="s">
        <v>383</v>
      </c>
      <c r="C437" s="11" t="s">
        <v>417</v>
      </c>
      <c r="D437" s="12">
        <v>32</v>
      </c>
      <c r="E437" s="11" t="s">
        <v>465</v>
      </c>
      <c r="F437" s="14" t="str">
        <f>_xlfn.XLOOKUP(E437,Profession!$B$2:$B$15,Profession!$A$2:$A$15,"Not Found")</f>
        <v>P010</v>
      </c>
      <c r="G437" s="11" t="s">
        <v>419</v>
      </c>
      <c r="H437" s="10" t="str">
        <f>_xlfn.XLOOKUP(G437,Region!$B$2:$B$16,Region!$A$2:$A$16,"Not Found")</f>
        <v>R001</v>
      </c>
      <c r="I437" s="10" t="s">
        <v>423</v>
      </c>
      <c r="J437" s="10" t="s">
        <v>423</v>
      </c>
      <c r="K437" s="10" t="s">
        <v>434</v>
      </c>
      <c r="L437" s="10" t="s">
        <v>1058</v>
      </c>
      <c r="M437" s="16" t="s">
        <v>422</v>
      </c>
      <c r="N437" s="10" t="s">
        <v>138</v>
      </c>
      <c r="O437" s="16" t="s">
        <v>444</v>
      </c>
      <c r="P437" s="11" t="s">
        <v>422</v>
      </c>
      <c r="Q437" s="11" t="s">
        <v>420</v>
      </c>
      <c r="R437" s="11" t="s">
        <v>1065</v>
      </c>
      <c r="S437" s="10" t="s">
        <v>62</v>
      </c>
      <c r="T437" s="81">
        <v>8</v>
      </c>
      <c r="U437" s="10" t="s">
        <v>420</v>
      </c>
      <c r="V437" s="10" t="s">
        <v>450</v>
      </c>
      <c r="X437" s="15">
        <v>7</v>
      </c>
      <c r="Y437" s="10" t="s">
        <v>100</v>
      </c>
      <c r="Z437" s="10" t="s">
        <v>2849</v>
      </c>
      <c r="AA437" s="10" t="s">
        <v>23</v>
      </c>
      <c r="AB437" s="10" t="s">
        <v>2843</v>
      </c>
    </row>
    <row r="438" spans="1:28">
      <c r="A438" s="10" t="s">
        <v>921</v>
      </c>
      <c r="B438" s="11" t="s">
        <v>384</v>
      </c>
      <c r="C438" s="11" t="s">
        <v>417</v>
      </c>
      <c r="D438" s="12">
        <v>33</v>
      </c>
      <c r="E438" s="11" t="s">
        <v>462</v>
      </c>
      <c r="F438" s="14" t="str">
        <f>_xlfn.XLOOKUP(E438,Profession!$B$2:$B$15,Profession!$A$2:$A$15,"Not Found")</f>
        <v>P008</v>
      </c>
      <c r="G438" s="11" t="s">
        <v>464</v>
      </c>
      <c r="H438" s="10" t="str">
        <f>_xlfn.XLOOKUP(G438,Region!$B$2:$B$16,Region!$A$2:$A$16,"Not Found")</f>
        <v>R007</v>
      </c>
      <c r="I438" s="10" t="s">
        <v>423</v>
      </c>
      <c r="J438" s="10" t="s">
        <v>423</v>
      </c>
      <c r="K438" s="10" t="s">
        <v>435</v>
      </c>
      <c r="L438" s="10" t="s">
        <v>1058</v>
      </c>
      <c r="M438" s="16" t="s">
        <v>436</v>
      </c>
      <c r="N438" s="10" t="s">
        <v>138</v>
      </c>
      <c r="O438" s="16" t="s">
        <v>450</v>
      </c>
      <c r="P438" s="11" t="s">
        <v>422</v>
      </c>
      <c r="Q438" s="11" t="s">
        <v>420</v>
      </c>
      <c r="R438" s="11" t="s">
        <v>107</v>
      </c>
      <c r="S438" s="10" t="s">
        <v>62</v>
      </c>
      <c r="T438" s="81">
        <v>5</v>
      </c>
      <c r="U438" s="10" t="s">
        <v>2275</v>
      </c>
      <c r="V438" s="10" t="s">
        <v>450</v>
      </c>
      <c r="X438" s="15">
        <v>5</v>
      </c>
      <c r="Y438" s="10" t="s">
        <v>54</v>
      </c>
      <c r="Z438" s="10" t="s">
        <v>2849</v>
      </c>
      <c r="AA438" s="10" t="s">
        <v>23</v>
      </c>
      <c r="AB438" s="10" t="s">
        <v>2844</v>
      </c>
    </row>
    <row r="439" spans="1:28">
      <c r="A439" s="10" t="s">
        <v>922</v>
      </c>
      <c r="B439" s="11" t="s">
        <v>385</v>
      </c>
      <c r="C439" s="11" t="s">
        <v>417</v>
      </c>
      <c r="D439" s="12">
        <v>34</v>
      </c>
      <c r="E439" s="11" t="s">
        <v>473</v>
      </c>
      <c r="F439" s="14" t="str">
        <f>_xlfn.XLOOKUP(E439,Profession!$B$2:$B$15,Profession!$A$2:$A$15,"Not Found")</f>
        <v>P012</v>
      </c>
      <c r="G439" s="11" t="s">
        <v>419</v>
      </c>
      <c r="H439" s="10" t="str">
        <f>_xlfn.XLOOKUP(G439,Region!$B$2:$B$16,Region!$A$2:$A$16,"Not Found")</f>
        <v>R001</v>
      </c>
      <c r="I439" s="10" t="s">
        <v>423</v>
      </c>
      <c r="J439" s="10" t="s">
        <v>423</v>
      </c>
      <c r="K439" s="10" t="s">
        <v>434</v>
      </c>
      <c r="L439" s="10" t="s">
        <v>1058</v>
      </c>
      <c r="M439" s="16" t="s">
        <v>432</v>
      </c>
      <c r="N439" s="10" t="s">
        <v>138</v>
      </c>
      <c r="O439" s="16" t="s">
        <v>444</v>
      </c>
      <c r="P439" s="11" t="s">
        <v>422</v>
      </c>
      <c r="Q439" s="11" t="s">
        <v>420</v>
      </c>
      <c r="R439" s="11" t="s">
        <v>107</v>
      </c>
      <c r="S439" s="10" t="s">
        <v>62</v>
      </c>
      <c r="T439" s="81">
        <v>7</v>
      </c>
      <c r="U439" s="10" t="s">
        <v>420</v>
      </c>
      <c r="V439" s="10" t="s">
        <v>450</v>
      </c>
      <c r="X439" s="15">
        <v>5</v>
      </c>
      <c r="Y439" s="10" t="s">
        <v>87</v>
      </c>
      <c r="Z439" s="10" t="s">
        <v>2848</v>
      </c>
      <c r="AA439" s="10" t="s">
        <v>23</v>
      </c>
      <c r="AB439" s="10" t="s">
        <v>149</v>
      </c>
    </row>
    <row r="440" spans="1:28">
      <c r="A440" s="10" t="s">
        <v>923</v>
      </c>
      <c r="B440" s="11" t="s">
        <v>386</v>
      </c>
      <c r="C440" s="11" t="s">
        <v>417</v>
      </c>
      <c r="D440" s="12">
        <v>35</v>
      </c>
      <c r="E440" s="11" t="s">
        <v>452</v>
      </c>
      <c r="F440" s="14" t="str">
        <f>_xlfn.XLOOKUP(E440,Profession!$B$2:$B$15,Profession!$A$2:$A$15,"Not Found")</f>
        <v>P005</v>
      </c>
      <c r="G440" s="11" t="s">
        <v>455</v>
      </c>
      <c r="H440" s="10" t="str">
        <f>_xlfn.XLOOKUP(G440,Region!$B$2:$B$16,Region!$A$2:$A$16,"Not Found")</f>
        <v>R006</v>
      </c>
      <c r="I440" s="10" t="s">
        <v>420</v>
      </c>
      <c r="J440" s="10" t="s">
        <v>420</v>
      </c>
      <c r="K440" s="10" t="s">
        <v>434</v>
      </c>
      <c r="L440" s="10" t="s">
        <v>1058</v>
      </c>
      <c r="M440" s="16" t="s">
        <v>422</v>
      </c>
      <c r="N440" s="10" t="s">
        <v>106</v>
      </c>
      <c r="O440" s="16" t="s">
        <v>436</v>
      </c>
      <c r="P440" s="11" t="s">
        <v>422</v>
      </c>
      <c r="Q440" s="11" t="s">
        <v>435</v>
      </c>
      <c r="R440" s="11" t="s">
        <v>1071</v>
      </c>
      <c r="S440" s="10" t="s">
        <v>62</v>
      </c>
      <c r="T440" s="81">
        <v>6</v>
      </c>
      <c r="U440" s="10" t="s">
        <v>420</v>
      </c>
      <c r="V440" s="10" t="s">
        <v>2277</v>
      </c>
      <c r="X440" s="15">
        <v>8</v>
      </c>
      <c r="Y440" s="10" t="s">
        <v>42</v>
      </c>
      <c r="Z440" s="10" t="s">
        <v>2849</v>
      </c>
      <c r="AA440" s="10" t="s">
        <v>43</v>
      </c>
      <c r="AB440" s="10" t="s">
        <v>46</v>
      </c>
    </row>
    <row r="441" spans="1:28">
      <c r="A441" s="10" t="s">
        <v>924</v>
      </c>
      <c r="B441" s="11" t="s">
        <v>254</v>
      </c>
      <c r="C441" s="11" t="s">
        <v>417</v>
      </c>
      <c r="D441" s="12">
        <v>36</v>
      </c>
      <c r="E441" s="11" t="s">
        <v>452</v>
      </c>
      <c r="F441" s="14" t="str">
        <f>_xlfn.XLOOKUP(E441,Profession!$B$2:$B$15,Profession!$A$2:$A$15,"Not Found")</f>
        <v>P005</v>
      </c>
      <c r="G441" s="11" t="s">
        <v>1115</v>
      </c>
      <c r="H441" s="10" t="str">
        <f>_xlfn.XLOOKUP(G441,Region!$B$2:$B$16,Region!$A$2:$A$16,"Not Found")</f>
        <v>R002</v>
      </c>
      <c r="I441" s="10" t="s">
        <v>420</v>
      </c>
      <c r="J441" s="10" t="s">
        <v>420</v>
      </c>
      <c r="K441" s="10" t="s">
        <v>435</v>
      </c>
      <c r="L441" s="10" t="s">
        <v>1058</v>
      </c>
      <c r="M441" s="16" t="s">
        <v>429</v>
      </c>
      <c r="N441" s="10" t="s">
        <v>64</v>
      </c>
      <c r="O441" s="16" t="s">
        <v>433</v>
      </c>
      <c r="P441" s="11" t="s">
        <v>422</v>
      </c>
      <c r="Q441" s="11" t="s">
        <v>420</v>
      </c>
      <c r="R441" s="11" t="s">
        <v>1072</v>
      </c>
      <c r="S441" s="10" t="s">
        <v>2885</v>
      </c>
      <c r="T441" s="81">
        <v>6</v>
      </c>
      <c r="U441" s="10" t="s">
        <v>2273</v>
      </c>
      <c r="V441" s="10" t="s">
        <v>2277</v>
      </c>
      <c r="X441" s="15">
        <v>3</v>
      </c>
      <c r="Y441" s="10" t="s">
        <v>45</v>
      </c>
      <c r="Z441" s="10" t="s">
        <v>2849</v>
      </c>
      <c r="AA441" s="10" t="s">
        <v>37</v>
      </c>
      <c r="AB441" s="10" t="s">
        <v>149</v>
      </c>
    </row>
    <row r="442" spans="1:28">
      <c r="A442" s="10" t="s">
        <v>925</v>
      </c>
      <c r="B442" s="11" t="s">
        <v>255</v>
      </c>
      <c r="C442" s="11" t="s">
        <v>417</v>
      </c>
      <c r="D442" s="12">
        <v>37</v>
      </c>
      <c r="E442" s="11" t="s">
        <v>442</v>
      </c>
      <c r="F442" s="14" t="str">
        <f>_xlfn.XLOOKUP(E442,Profession!$B$2:$B$15,Profession!$A$2:$A$15,"Not Found")</f>
        <v>P002</v>
      </c>
      <c r="G442" s="11" t="s">
        <v>419</v>
      </c>
      <c r="H442" s="10" t="str">
        <f>_xlfn.XLOOKUP(G442,Region!$B$2:$B$16,Region!$A$2:$A$16,"Not Found")</f>
        <v>R001</v>
      </c>
      <c r="I442" s="10" t="s">
        <v>420</v>
      </c>
      <c r="J442" s="10" t="s">
        <v>420</v>
      </c>
      <c r="K442" s="10" t="s">
        <v>426</v>
      </c>
      <c r="L442" s="10" t="s">
        <v>1058</v>
      </c>
      <c r="M442" s="16" t="s">
        <v>422</v>
      </c>
      <c r="N442" s="10" t="s">
        <v>102</v>
      </c>
      <c r="O442" s="16" t="s">
        <v>426</v>
      </c>
      <c r="P442" s="11" t="s">
        <v>1059</v>
      </c>
      <c r="Q442" s="11" t="s">
        <v>422</v>
      </c>
      <c r="R442" s="11" t="s">
        <v>1062</v>
      </c>
      <c r="S442" s="10" t="s">
        <v>2884</v>
      </c>
      <c r="T442" s="81">
        <v>6.3008333333333297</v>
      </c>
      <c r="U442" s="10" t="s">
        <v>420</v>
      </c>
      <c r="V442" s="10" t="s">
        <v>2277</v>
      </c>
      <c r="X442" s="15">
        <v>4</v>
      </c>
      <c r="Y442" s="10" t="s">
        <v>36</v>
      </c>
      <c r="Z442" s="10" t="s">
        <v>2849</v>
      </c>
      <c r="AA442" s="10" t="s">
        <v>23</v>
      </c>
      <c r="AB442" s="10" t="s">
        <v>2843</v>
      </c>
    </row>
    <row r="443" spans="1:28">
      <c r="A443" s="10" t="s">
        <v>926</v>
      </c>
      <c r="B443" s="11" t="s">
        <v>256</v>
      </c>
      <c r="C443" s="11" t="s">
        <v>417</v>
      </c>
      <c r="D443" s="12">
        <v>38</v>
      </c>
      <c r="E443" s="11" t="s">
        <v>465</v>
      </c>
      <c r="F443" s="14" t="str">
        <f>_xlfn.XLOOKUP(E443,Profession!$B$2:$B$15,Profession!$A$2:$A$15,"Not Found")</f>
        <v>P010</v>
      </c>
      <c r="G443" s="11" t="s">
        <v>108</v>
      </c>
      <c r="H443" s="10" t="str">
        <f>_xlfn.XLOOKUP(G443,Region!$B$2:$B$16,Region!$A$2:$A$16,"Not Found")</f>
        <v>R010</v>
      </c>
      <c r="I443" s="10" t="s">
        <v>420</v>
      </c>
      <c r="J443" s="10" t="s">
        <v>420</v>
      </c>
      <c r="K443" s="10" t="s">
        <v>435</v>
      </c>
      <c r="L443" s="10" t="s">
        <v>1058</v>
      </c>
      <c r="M443" s="16" t="s">
        <v>422</v>
      </c>
      <c r="N443" s="10" t="s">
        <v>138</v>
      </c>
      <c r="O443" s="16" t="s">
        <v>450</v>
      </c>
      <c r="P443" s="11" t="s">
        <v>422</v>
      </c>
      <c r="Q443" s="11" t="s">
        <v>420</v>
      </c>
      <c r="R443" s="11" t="s">
        <v>107</v>
      </c>
      <c r="S443" s="10" t="s">
        <v>62</v>
      </c>
      <c r="T443" s="81">
        <v>7</v>
      </c>
      <c r="U443" s="10" t="s">
        <v>420</v>
      </c>
      <c r="V443" s="10" t="s">
        <v>450</v>
      </c>
      <c r="X443" s="15">
        <v>7</v>
      </c>
      <c r="Y443" s="10" t="s">
        <v>19</v>
      </c>
      <c r="Z443" s="10" t="s">
        <v>2849</v>
      </c>
      <c r="AA443" s="10" t="s">
        <v>23</v>
      </c>
      <c r="AB443" s="10" t="s">
        <v>2841</v>
      </c>
    </row>
    <row r="444" spans="1:28">
      <c r="A444" s="10" t="s">
        <v>927</v>
      </c>
      <c r="B444" s="11" t="s">
        <v>256</v>
      </c>
      <c r="C444" s="11" t="s">
        <v>417</v>
      </c>
      <c r="D444" s="12">
        <v>39</v>
      </c>
      <c r="E444" s="11" t="s">
        <v>458</v>
      </c>
      <c r="F444" s="14" t="str">
        <f>_xlfn.XLOOKUP(E444,Profession!$B$2:$B$15,Profession!$A$2:$A$15,"Not Found")</f>
        <v>P006</v>
      </c>
      <c r="G444" s="11" t="s">
        <v>1115</v>
      </c>
      <c r="H444" s="10" t="str">
        <f>_xlfn.XLOOKUP(G444,Region!$B$2:$B$16,Region!$A$2:$A$16,"Not Found")</f>
        <v>R002</v>
      </c>
      <c r="I444" s="10" t="s">
        <v>420</v>
      </c>
      <c r="J444" s="10" t="s">
        <v>420</v>
      </c>
      <c r="K444" s="10" t="s">
        <v>434</v>
      </c>
      <c r="L444" s="10" t="s">
        <v>1058</v>
      </c>
      <c r="M444" s="16" t="s">
        <v>432</v>
      </c>
      <c r="N444" s="10" t="s">
        <v>64</v>
      </c>
      <c r="O444" s="16" t="s">
        <v>433</v>
      </c>
      <c r="P444" s="11" t="s">
        <v>422</v>
      </c>
      <c r="Q444" s="11" t="s">
        <v>1061</v>
      </c>
      <c r="R444" s="11" t="s">
        <v>1065</v>
      </c>
      <c r="S444" s="10" t="s">
        <v>62</v>
      </c>
      <c r="T444" s="81">
        <v>6</v>
      </c>
      <c r="U444" s="10" t="s">
        <v>2274</v>
      </c>
      <c r="V444" s="10" t="s">
        <v>450</v>
      </c>
      <c r="X444" s="15">
        <v>3</v>
      </c>
      <c r="Y444" s="10" t="s">
        <v>49</v>
      </c>
      <c r="Z444" s="10" t="s">
        <v>2849</v>
      </c>
      <c r="AA444" s="10" t="s">
        <v>37</v>
      </c>
      <c r="AB444" s="10" t="s">
        <v>46</v>
      </c>
    </row>
    <row r="445" spans="1:28">
      <c r="A445" s="10" t="s">
        <v>928</v>
      </c>
      <c r="B445" s="11" t="s">
        <v>260</v>
      </c>
      <c r="C445" s="11" t="s">
        <v>417</v>
      </c>
      <c r="D445" s="12">
        <v>40</v>
      </c>
      <c r="E445" s="11" t="s">
        <v>1054</v>
      </c>
      <c r="F445" s="14" t="str">
        <f>_xlfn.XLOOKUP(E445,Profession!$B$2:$B$15,Profession!$A$2:$A$15,"Not Found")</f>
        <v>P013</v>
      </c>
      <c r="G445" s="11" t="s">
        <v>1110</v>
      </c>
      <c r="H445" s="10" t="str">
        <f>_xlfn.XLOOKUP(G445,Region!$B$2:$B$16,Region!$A$2:$A$16,"Not Found")</f>
        <v>R013</v>
      </c>
      <c r="I445" s="10" t="s">
        <v>420</v>
      </c>
      <c r="J445" s="10" t="s">
        <v>420</v>
      </c>
      <c r="K445" s="10" t="s">
        <v>435</v>
      </c>
      <c r="L445" s="10" t="s">
        <v>1058</v>
      </c>
      <c r="M445" s="16" t="s">
        <v>422</v>
      </c>
      <c r="N445" s="10" t="s">
        <v>138</v>
      </c>
      <c r="O445" s="16" t="s">
        <v>433</v>
      </c>
      <c r="P445" s="11" t="s">
        <v>435</v>
      </c>
      <c r="Q445" s="11" t="s">
        <v>420</v>
      </c>
      <c r="R445" s="11" t="s">
        <v>1067</v>
      </c>
      <c r="S445" s="10" t="s">
        <v>62</v>
      </c>
      <c r="T445" s="81">
        <v>6</v>
      </c>
      <c r="U445" s="10" t="s">
        <v>420</v>
      </c>
      <c r="V445" s="10" t="s">
        <v>450</v>
      </c>
      <c r="X445" s="15">
        <v>6</v>
      </c>
      <c r="Y445" s="10" t="s">
        <v>75</v>
      </c>
      <c r="Z445" s="10" t="s">
        <v>2847</v>
      </c>
      <c r="AA445" s="10" t="s">
        <v>70</v>
      </c>
      <c r="AB445" s="10" t="s">
        <v>149</v>
      </c>
    </row>
    <row r="446" spans="1:28">
      <c r="A446" s="10" t="s">
        <v>929</v>
      </c>
      <c r="B446" s="11" t="s">
        <v>387</v>
      </c>
      <c r="C446" s="11" t="s">
        <v>417</v>
      </c>
      <c r="D446" s="12">
        <v>41</v>
      </c>
      <c r="E446" s="11" t="s">
        <v>446</v>
      </c>
      <c r="F446" s="14" t="str">
        <f>_xlfn.XLOOKUP(E446,Profession!$B$2:$B$15,Profession!$A$2:$A$15,"Not Found")</f>
        <v>P003</v>
      </c>
      <c r="G446" s="11" t="s">
        <v>104</v>
      </c>
      <c r="H446" s="10" t="str">
        <f>_xlfn.XLOOKUP(G446,Region!$B$2:$B$16,Region!$A$2:$A$16,"Not Found")</f>
        <v>R003</v>
      </c>
      <c r="I446" s="10" t="s">
        <v>420</v>
      </c>
      <c r="J446" s="10" t="s">
        <v>420</v>
      </c>
      <c r="K446" s="10" t="s">
        <v>435</v>
      </c>
      <c r="L446" s="10" t="s">
        <v>1058</v>
      </c>
      <c r="M446" s="16" t="s">
        <v>422</v>
      </c>
      <c r="N446" s="10" t="s">
        <v>138</v>
      </c>
      <c r="O446" s="16" t="s">
        <v>433</v>
      </c>
      <c r="P446" s="11" t="s">
        <v>422</v>
      </c>
      <c r="Q446" s="11" t="s">
        <v>420</v>
      </c>
      <c r="R446" s="11" t="s">
        <v>1070</v>
      </c>
      <c r="S446" s="10" t="s">
        <v>62</v>
      </c>
      <c r="T446" s="81">
        <v>8</v>
      </c>
      <c r="U446" s="10" t="s">
        <v>420</v>
      </c>
      <c r="V446" s="10" t="s">
        <v>2277</v>
      </c>
      <c r="X446" s="15">
        <v>5</v>
      </c>
      <c r="Y446" s="10" t="s">
        <v>19</v>
      </c>
      <c r="Z446" s="10" t="s">
        <v>2849</v>
      </c>
      <c r="AA446" s="10" t="s">
        <v>23</v>
      </c>
      <c r="AB446" s="10" t="s">
        <v>28</v>
      </c>
    </row>
    <row r="447" spans="1:28">
      <c r="A447" s="10" t="s">
        <v>930</v>
      </c>
      <c r="B447" s="11" t="s">
        <v>261</v>
      </c>
      <c r="C447" s="11" t="s">
        <v>417</v>
      </c>
      <c r="D447" s="12">
        <v>42</v>
      </c>
      <c r="E447" s="11" t="s">
        <v>1088</v>
      </c>
      <c r="F447" s="14" t="str">
        <f>_xlfn.XLOOKUP(E447,Profession!$B$2:$B$15,Profession!$A$2:$A$15,"Not Found")</f>
        <v>P014</v>
      </c>
      <c r="G447" s="11" t="s">
        <v>1114</v>
      </c>
      <c r="H447" s="10" t="str">
        <f>_xlfn.XLOOKUP(G447,Region!$B$2:$B$16,Region!$A$2:$A$16,"Not Found")</f>
        <v>R014</v>
      </c>
      <c r="I447" s="10" t="s">
        <v>420</v>
      </c>
      <c r="J447" s="10" t="s">
        <v>420</v>
      </c>
      <c r="K447" s="10" t="s">
        <v>435</v>
      </c>
      <c r="L447" s="10" t="s">
        <v>1058</v>
      </c>
      <c r="M447" s="16" t="s">
        <v>422</v>
      </c>
      <c r="N447" s="10" t="s">
        <v>138</v>
      </c>
      <c r="O447" s="16" t="s">
        <v>433</v>
      </c>
      <c r="P447" s="11" t="s">
        <v>422</v>
      </c>
      <c r="Q447" s="11" t="s">
        <v>1061</v>
      </c>
      <c r="R447" s="11" t="s">
        <v>1067</v>
      </c>
      <c r="S447" s="10" t="s">
        <v>62</v>
      </c>
      <c r="T447" s="81">
        <v>6</v>
      </c>
      <c r="U447" s="10" t="s">
        <v>420</v>
      </c>
      <c r="V447" s="10" t="s">
        <v>450</v>
      </c>
      <c r="X447" s="15">
        <v>6</v>
      </c>
      <c r="Y447" s="10" t="s">
        <v>77</v>
      </c>
      <c r="Z447" s="10" t="s">
        <v>2282</v>
      </c>
      <c r="AA447" s="10" t="s">
        <v>23</v>
      </c>
      <c r="AB447" s="10" t="s">
        <v>46</v>
      </c>
    </row>
    <row r="448" spans="1:28">
      <c r="A448" s="10" t="s">
        <v>931</v>
      </c>
      <c r="B448" s="11" t="s">
        <v>388</v>
      </c>
      <c r="C448" s="11" t="s">
        <v>417</v>
      </c>
      <c r="D448" s="12">
        <v>43</v>
      </c>
      <c r="E448" s="11" t="s">
        <v>1088</v>
      </c>
      <c r="F448" s="14" t="str">
        <f>_xlfn.XLOOKUP(E448,Profession!$B$2:$B$15,Profession!$A$2:$A$15,"Not Found")</f>
        <v>P014</v>
      </c>
      <c r="G448" s="11" t="s">
        <v>477</v>
      </c>
      <c r="H448" s="10" t="str">
        <f>_xlfn.XLOOKUP(G448,Region!$B$2:$B$16,Region!$A$2:$A$16,"Not Found")</f>
        <v>R015</v>
      </c>
      <c r="I448" s="10" t="s">
        <v>420</v>
      </c>
      <c r="J448" s="10" t="s">
        <v>420</v>
      </c>
      <c r="K448" s="10" t="s">
        <v>435</v>
      </c>
      <c r="L448" s="10" t="s">
        <v>1058</v>
      </c>
      <c r="M448" s="16" t="s">
        <v>422</v>
      </c>
      <c r="N448" s="10" t="s">
        <v>138</v>
      </c>
      <c r="O448" s="16" t="s">
        <v>433</v>
      </c>
      <c r="P448" s="11" t="s">
        <v>435</v>
      </c>
      <c r="Q448" s="11" t="s">
        <v>1061</v>
      </c>
      <c r="R448" s="11" t="s">
        <v>1068</v>
      </c>
      <c r="S448" s="10" t="s">
        <v>62</v>
      </c>
      <c r="T448" s="81">
        <v>8</v>
      </c>
      <c r="U448" s="10" t="s">
        <v>420</v>
      </c>
      <c r="V448" s="10" t="s">
        <v>450</v>
      </c>
      <c r="X448" s="15">
        <v>6</v>
      </c>
      <c r="Y448" s="10" t="s">
        <v>36</v>
      </c>
      <c r="Z448" s="10" t="s">
        <v>2849</v>
      </c>
      <c r="AA448" s="10" t="s">
        <v>23</v>
      </c>
      <c r="AB448" s="10" t="s">
        <v>2841</v>
      </c>
    </row>
    <row r="449" spans="1:28">
      <c r="A449" s="10" t="s">
        <v>932</v>
      </c>
      <c r="B449" s="11" t="s">
        <v>389</v>
      </c>
      <c r="C449" s="11" t="s">
        <v>417</v>
      </c>
      <c r="D449" s="12">
        <v>20</v>
      </c>
      <c r="E449" s="11" t="s">
        <v>418</v>
      </c>
      <c r="F449" s="14" t="str">
        <f>_xlfn.XLOOKUP(E449,Profession!$B$2:$B$15,Profession!$A$2:$A$15,"Not Found")</f>
        <v>P001</v>
      </c>
      <c r="G449" s="11" t="s">
        <v>419</v>
      </c>
      <c r="H449" s="10" t="str">
        <f>_xlfn.XLOOKUP(G449,Region!$B$2:$B$16,Region!$A$2:$A$16,"Not Found")</f>
        <v>R001</v>
      </c>
      <c r="I449" s="10" t="s">
        <v>420</v>
      </c>
      <c r="J449" s="10" t="s">
        <v>420</v>
      </c>
      <c r="K449" s="10" t="s">
        <v>435</v>
      </c>
      <c r="L449" s="10" t="s">
        <v>1057</v>
      </c>
      <c r="M449" s="16" t="s">
        <v>422</v>
      </c>
      <c r="N449" s="10" t="s">
        <v>26</v>
      </c>
      <c r="O449" s="16" t="s">
        <v>423</v>
      </c>
      <c r="P449" s="11" t="s">
        <v>1059</v>
      </c>
      <c r="Q449" s="11" t="s">
        <v>422</v>
      </c>
      <c r="R449" s="11" t="s">
        <v>1062</v>
      </c>
      <c r="S449" s="10" t="s">
        <v>2884</v>
      </c>
      <c r="T449" s="81">
        <v>7</v>
      </c>
      <c r="U449" s="10" t="s">
        <v>420</v>
      </c>
      <c r="V449" s="10" t="s">
        <v>2278</v>
      </c>
      <c r="X449" s="15">
        <v>3</v>
      </c>
      <c r="Y449" s="10" t="s">
        <v>27</v>
      </c>
      <c r="Z449" s="10" t="s">
        <v>2849</v>
      </c>
      <c r="AA449" s="10" t="s">
        <v>23</v>
      </c>
      <c r="AB449" s="10" t="s">
        <v>24</v>
      </c>
    </row>
    <row r="450" spans="1:28">
      <c r="A450" s="10" t="s">
        <v>933</v>
      </c>
      <c r="B450" s="11" t="s">
        <v>264</v>
      </c>
      <c r="C450" s="11" t="s">
        <v>417</v>
      </c>
      <c r="D450" s="12">
        <v>21</v>
      </c>
      <c r="E450" s="11" t="s">
        <v>465</v>
      </c>
      <c r="F450" s="14" t="str">
        <f>_xlfn.XLOOKUP(E450,Profession!$B$2:$B$15,Profession!$A$2:$A$15,"Not Found")</f>
        <v>P010</v>
      </c>
      <c r="G450" s="11" t="s">
        <v>1115</v>
      </c>
      <c r="H450" s="10" t="str">
        <f>_xlfn.XLOOKUP(G450,Region!$B$2:$B$16,Region!$A$2:$A$16,"Not Found")</f>
        <v>R002</v>
      </c>
      <c r="I450" s="10" t="s">
        <v>420</v>
      </c>
      <c r="J450" s="10" t="s">
        <v>420</v>
      </c>
      <c r="K450" s="10" t="s">
        <v>421</v>
      </c>
      <c r="L450" s="10" t="s">
        <v>1058</v>
      </c>
      <c r="M450" s="16" t="s">
        <v>422</v>
      </c>
      <c r="N450" s="10" t="s">
        <v>138</v>
      </c>
      <c r="O450" s="16" t="s">
        <v>450</v>
      </c>
      <c r="P450" s="11" t="s">
        <v>422</v>
      </c>
      <c r="Q450" s="11" t="s">
        <v>420</v>
      </c>
      <c r="R450" s="11" t="s">
        <v>1065</v>
      </c>
      <c r="S450" s="10" t="s">
        <v>62</v>
      </c>
      <c r="T450" s="81">
        <v>8</v>
      </c>
      <c r="U450" s="10" t="s">
        <v>420</v>
      </c>
      <c r="V450" s="10" t="s">
        <v>450</v>
      </c>
      <c r="X450" s="15">
        <v>4</v>
      </c>
      <c r="Y450" s="10" t="s">
        <v>56</v>
      </c>
      <c r="Z450" s="10" t="s">
        <v>2849</v>
      </c>
      <c r="AA450" s="10" t="s">
        <v>23</v>
      </c>
      <c r="AB450" s="10" t="s">
        <v>2843</v>
      </c>
    </row>
    <row r="451" spans="1:28">
      <c r="A451" s="10" t="s">
        <v>934</v>
      </c>
      <c r="B451" s="11" t="s">
        <v>60</v>
      </c>
      <c r="C451" s="11" t="s">
        <v>417</v>
      </c>
      <c r="D451" s="12">
        <v>22</v>
      </c>
      <c r="E451" s="11" t="s">
        <v>442</v>
      </c>
      <c r="F451" s="14" t="str">
        <f>_xlfn.XLOOKUP(E451,Profession!$B$2:$B$15,Profession!$A$2:$A$15,"Not Found")</f>
        <v>P002</v>
      </c>
      <c r="G451" s="11" t="s">
        <v>419</v>
      </c>
      <c r="H451" s="10" t="str">
        <f>_xlfn.XLOOKUP(G451,Region!$B$2:$B$16,Region!$A$2:$A$16,"Not Found")</f>
        <v>R001</v>
      </c>
      <c r="I451" s="10" t="s">
        <v>420</v>
      </c>
      <c r="J451" s="10" t="s">
        <v>420</v>
      </c>
      <c r="K451" s="10" t="s">
        <v>435</v>
      </c>
      <c r="L451" s="10" t="s">
        <v>1058</v>
      </c>
      <c r="M451" s="16" t="s">
        <v>436</v>
      </c>
      <c r="N451" s="10" t="s">
        <v>138</v>
      </c>
      <c r="O451" s="16" t="s">
        <v>444</v>
      </c>
      <c r="P451" s="11" t="s">
        <v>422</v>
      </c>
      <c r="Q451" s="11" t="s">
        <v>1061</v>
      </c>
      <c r="R451" s="11" t="s">
        <v>1068</v>
      </c>
      <c r="S451" s="10" t="s">
        <v>62</v>
      </c>
      <c r="T451" s="81">
        <v>6</v>
      </c>
      <c r="U451" s="10" t="s">
        <v>420</v>
      </c>
      <c r="V451" s="10" t="s">
        <v>2277</v>
      </c>
      <c r="X451" s="15">
        <v>6</v>
      </c>
      <c r="Y451" s="10" t="s">
        <v>100</v>
      </c>
      <c r="Z451" s="10" t="s">
        <v>2849</v>
      </c>
      <c r="AA451" s="10" t="s">
        <v>37</v>
      </c>
      <c r="AB451" s="10" t="s">
        <v>2844</v>
      </c>
    </row>
    <row r="452" spans="1:28">
      <c r="A452" s="10" t="s">
        <v>935</v>
      </c>
      <c r="B452" s="11" t="s">
        <v>267</v>
      </c>
      <c r="C452" s="11" t="s">
        <v>417</v>
      </c>
      <c r="D452" s="12">
        <v>23</v>
      </c>
      <c r="E452" s="11" t="s">
        <v>462</v>
      </c>
      <c r="F452" s="14" t="str">
        <f>_xlfn.XLOOKUP(E452,Profession!$B$2:$B$15,Profession!$A$2:$A$15,"Not Found")</f>
        <v>P008</v>
      </c>
      <c r="G452" s="11" t="s">
        <v>1112</v>
      </c>
      <c r="H452" s="10" t="str">
        <f>_xlfn.XLOOKUP(G452,Region!$B$2:$B$16,Region!$A$2:$A$16,"Not Found")</f>
        <v>R008</v>
      </c>
      <c r="I452" s="10" t="s">
        <v>420</v>
      </c>
      <c r="J452" s="10" t="s">
        <v>420</v>
      </c>
      <c r="K452" s="10" t="s">
        <v>431</v>
      </c>
      <c r="L452" s="10" t="s">
        <v>1058</v>
      </c>
      <c r="M452" s="16" t="s">
        <v>422</v>
      </c>
      <c r="N452" s="10" t="s">
        <v>138</v>
      </c>
      <c r="O452" s="16" t="s">
        <v>450</v>
      </c>
      <c r="P452" s="11" t="s">
        <v>422</v>
      </c>
      <c r="Q452" s="11" t="s">
        <v>420</v>
      </c>
      <c r="R452" s="11" t="s">
        <v>107</v>
      </c>
      <c r="S452" s="10" t="s">
        <v>62</v>
      </c>
      <c r="T452" s="81">
        <v>7</v>
      </c>
      <c r="U452" s="10" t="s">
        <v>420</v>
      </c>
      <c r="V452" s="10" t="s">
        <v>450</v>
      </c>
      <c r="X452" s="15">
        <v>5</v>
      </c>
      <c r="Y452" s="10" t="s">
        <v>56</v>
      </c>
      <c r="Z452" s="10" t="s">
        <v>2849</v>
      </c>
      <c r="AA452" s="10" t="s">
        <v>23</v>
      </c>
      <c r="AB452" s="10" t="s">
        <v>2843</v>
      </c>
    </row>
    <row r="453" spans="1:28">
      <c r="A453" s="10" t="s">
        <v>936</v>
      </c>
      <c r="B453" s="11" t="s">
        <v>269</v>
      </c>
      <c r="C453" s="11" t="s">
        <v>417</v>
      </c>
      <c r="D453" s="12">
        <v>24</v>
      </c>
      <c r="E453" s="11" t="s">
        <v>473</v>
      </c>
      <c r="F453" s="14" t="str">
        <f>_xlfn.XLOOKUP(E453,Profession!$B$2:$B$15,Profession!$A$2:$A$15,"Not Found")</f>
        <v>P012</v>
      </c>
      <c r="G453" s="11" t="s">
        <v>1113</v>
      </c>
      <c r="H453" s="10" t="str">
        <f>_xlfn.XLOOKUP(G453,Region!$B$2:$B$16,Region!$A$2:$A$16,"Not Found")</f>
        <v>R012</v>
      </c>
      <c r="I453" s="10" t="s">
        <v>423</v>
      </c>
      <c r="J453" s="10" t="s">
        <v>423</v>
      </c>
      <c r="K453" s="10" t="s">
        <v>435</v>
      </c>
      <c r="L453" s="10" t="s">
        <v>1058</v>
      </c>
      <c r="M453" s="16" t="s">
        <v>422</v>
      </c>
      <c r="N453" s="10" t="s">
        <v>138</v>
      </c>
      <c r="O453" s="16" t="s">
        <v>444</v>
      </c>
      <c r="P453" s="11" t="s">
        <v>422</v>
      </c>
      <c r="Q453" s="11" t="s">
        <v>1061</v>
      </c>
      <c r="R453" s="11" t="s">
        <v>107</v>
      </c>
      <c r="S453" s="10" t="s">
        <v>62</v>
      </c>
      <c r="T453" s="81">
        <v>6</v>
      </c>
      <c r="U453" s="10" t="s">
        <v>420</v>
      </c>
      <c r="V453" s="10" t="s">
        <v>2277</v>
      </c>
      <c r="X453" s="15">
        <v>6</v>
      </c>
      <c r="Y453" s="10" t="s">
        <v>22</v>
      </c>
      <c r="Z453" s="10" t="s">
        <v>2846</v>
      </c>
      <c r="AA453" s="10" t="s">
        <v>23</v>
      </c>
      <c r="AB453" s="10" t="s">
        <v>2842</v>
      </c>
    </row>
    <row r="454" spans="1:28">
      <c r="A454" s="10" t="s">
        <v>937</v>
      </c>
      <c r="B454" s="11" t="s">
        <v>390</v>
      </c>
      <c r="C454" s="11" t="s">
        <v>417</v>
      </c>
      <c r="D454" s="12">
        <v>25</v>
      </c>
      <c r="E454" s="11" t="s">
        <v>1108</v>
      </c>
      <c r="F454" s="14" t="str">
        <f>_xlfn.XLOOKUP(E454,Profession!$B$2:$B$15,Profession!$A$2:$A$15,"Not Found")</f>
        <v>P011</v>
      </c>
      <c r="G454" s="11" t="s">
        <v>419</v>
      </c>
      <c r="H454" s="10" t="str">
        <f>_xlfn.XLOOKUP(G454,Region!$B$2:$B$16,Region!$A$2:$A$16,"Not Found")</f>
        <v>R001</v>
      </c>
      <c r="I454" s="10" t="s">
        <v>420</v>
      </c>
      <c r="J454" s="10" t="s">
        <v>420</v>
      </c>
      <c r="K454" s="10" t="s">
        <v>431</v>
      </c>
      <c r="L454" s="10" t="s">
        <v>1058</v>
      </c>
      <c r="M454" s="16" t="s">
        <v>422</v>
      </c>
      <c r="N454" s="10" t="s">
        <v>138</v>
      </c>
      <c r="O454" s="16" t="s">
        <v>444</v>
      </c>
      <c r="P454" s="11" t="s">
        <v>422</v>
      </c>
      <c r="Q454" s="11" t="s">
        <v>420</v>
      </c>
      <c r="R454" s="11" t="s">
        <v>1070</v>
      </c>
      <c r="S454" s="10" t="s">
        <v>62</v>
      </c>
      <c r="T454" s="81">
        <v>6</v>
      </c>
      <c r="U454" s="10" t="s">
        <v>420</v>
      </c>
      <c r="V454" s="10" t="s">
        <v>2277</v>
      </c>
      <c r="X454" s="15">
        <v>5</v>
      </c>
      <c r="Y454" s="10" t="s">
        <v>58</v>
      </c>
      <c r="Z454" s="10" t="s">
        <v>2849</v>
      </c>
      <c r="AA454" s="10" t="s">
        <v>23</v>
      </c>
      <c r="AB454" s="10" t="s">
        <v>2843</v>
      </c>
    </row>
    <row r="455" spans="1:28">
      <c r="A455" s="10" t="s">
        <v>938</v>
      </c>
      <c r="B455" s="11" t="s">
        <v>391</v>
      </c>
      <c r="C455" s="11" t="s">
        <v>417</v>
      </c>
      <c r="D455" s="12">
        <v>26</v>
      </c>
      <c r="E455" s="11" t="s">
        <v>459</v>
      </c>
      <c r="F455" s="14" t="str">
        <f>_xlfn.XLOOKUP(E455,Profession!$B$2:$B$15,Profession!$A$2:$A$15,"Not Found")</f>
        <v>P007</v>
      </c>
      <c r="G455" s="11" t="s">
        <v>419</v>
      </c>
      <c r="H455" s="10" t="str">
        <f>_xlfn.XLOOKUP(G455,Region!$B$2:$B$16,Region!$A$2:$A$16,"Not Found")</f>
        <v>R001</v>
      </c>
      <c r="I455" s="10" t="s">
        <v>420</v>
      </c>
      <c r="J455" s="10" t="s">
        <v>420</v>
      </c>
      <c r="K455" s="10" t="s">
        <v>421</v>
      </c>
      <c r="L455" s="10" t="s">
        <v>1058</v>
      </c>
      <c r="M455" s="16" t="s">
        <v>422</v>
      </c>
      <c r="N455" s="10" t="s">
        <v>19</v>
      </c>
      <c r="O455" s="16" t="s">
        <v>444</v>
      </c>
      <c r="P455" s="11" t="s">
        <v>422</v>
      </c>
      <c r="Q455" s="11" t="s">
        <v>420</v>
      </c>
      <c r="R455" s="11" t="s">
        <v>1070</v>
      </c>
      <c r="S455" s="10" t="s">
        <v>62</v>
      </c>
      <c r="T455" s="81">
        <v>8</v>
      </c>
      <c r="U455" s="10" t="s">
        <v>420</v>
      </c>
      <c r="V455" s="10" t="s">
        <v>450</v>
      </c>
      <c r="X455" s="15">
        <v>4</v>
      </c>
      <c r="Y455" s="10" t="s">
        <v>36</v>
      </c>
      <c r="Z455" s="10" t="s">
        <v>2849</v>
      </c>
      <c r="AA455" s="10" t="s">
        <v>37</v>
      </c>
      <c r="AB455" s="10" t="s">
        <v>24</v>
      </c>
    </row>
    <row r="456" spans="1:28">
      <c r="A456" s="10" t="s">
        <v>939</v>
      </c>
      <c r="B456" s="11" t="s">
        <v>271</v>
      </c>
      <c r="C456" s="11" t="s">
        <v>417</v>
      </c>
      <c r="D456" s="12">
        <v>27</v>
      </c>
      <c r="E456" s="11" t="s">
        <v>418</v>
      </c>
      <c r="F456" s="14" t="str">
        <f>_xlfn.XLOOKUP(E456,Profession!$B$2:$B$15,Profession!$A$2:$A$15,"Not Found")</f>
        <v>P001</v>
      </c>
      <c r="G456" s="11" t="s">
        <v>1115</v>
      </c>
      <c r="H456" s="10" t="str">
        <f>_xlfn.XLOOKUP(G456,Region!$B$2:$B$16,Region!$A$2:$A$16,"Not Found")</f>
        <v>R002</v>
      </c>
      <c r="I456" s="10" t="s">
        <v>420</v>
      </c>
      <c r="J456" s="10" t="s">
        <v>420</v>
      </c>
      <c r="K456" s="10" t="s">
        <v>435</v>
      </c>
      <c r="L456" s="10" t="s">
        <v>1058</v>
      </c>
      <c r="M456" s="16" t="s">
        <v>432</v>
      </c>
      <c r="N456" s="10" t="s">
        <v>138</v>
      </c>
      <c r="O456" s="16" t="s">
        <v>433</v>
      </c>
      <c r="P456" s="11" t="s">
        <v>422</v>
      </c>
      <c r="Q456" s="11" t="s">
        <v>1061</v>
      </c>
      <c r="R456" s="11" t="s">
        <v>1065</v>
      </c>
      <c r="S456" s="10" t="s">
        <v>62</v>
      </c>
      <c r="T456" s="81">
        <v>8</v>
      </c>
      <c r="U456" s="10" t="s">
        <v>420</v>
      </c>
      <c r="V456" s="10" t="s">
        <v>2277</v>
      </c>
      <c r="X456" s="15">
        <v>5</v>
      </c>
      <c r="Y456" s="10" t="s">
        <v>27</v>
      </c>
      <c r="Z456" s="10" t="s">
        <v>2849</v>
      </c>
      <c r="AA456" s="10" t="s">
        <v>23</v>
      </c>
      <c r="AB456" s="10" t="s">
        <v>2841</v>
      </c>
    </row>
    <row r="457" spans="1:28">
      <c r="A457" s="10" t="s">
        <v>940</v>
      </c>
      <c r="B457" s="11" t="s">
        <v>392</v>
      </c>
      <c r="C457" s="11" t="s">
        <v>417</v>
      </c>
      <c r="D457" s="12">
        <v>28</v>
      </c>
      <c r="E457" s="11" t="s">
        <v>452</v>
      </c>
      <c r="F457" s="14" t="str">
        <f>_xlfn.XLOOKUP(E457,Profession!$B$2:$B$15,Profession!$A$2:$A$15,"Not Found")</f>
        <v>P005</v>
      </c>
      <c r="G457" s="11" t="s">
        <v>453</v>
      </c>
      <c r="H457" s="10" t="str">
        <f>_xlfn.XLOOKUP(G457,Region!$B$2:$B$16,Region!$A$2:$A$16,"Not Found")</f>
        <v>R005</v>
      </c>
      <c r="I457" s="10" t="s">
        <v>420</v>
      </c>
      <c r="J457" s="10" t="s">
        <v>420</v>
      </c>
      <c r="K457" s="10" t="s">
        <v>434</v>
      </c>
      <c r="L457" s="10" t="s">
        <v>1058</v>
      </c>
      <c r="M457" s="16" t="s">
        <v>422</v>
      </c>
      <c r="N457" s="10" t="s">
        <v>105</v>
      </c>
      <c r="O457" s="16" t="s">
        <v>433</v>
      </c>
      <c r="P457" s="11" t="s">
        <v>422</v>
      </c>
      <c r="Q457" s="11" t="s">
        <v>434</v>
      </c>
      <c r="R457" s="11" t="s">
        <v>1068</v>
      </c>
      <c r="S457" s="10" t="s">
        <v>62</v>
      </c>
      <c r="T457" s="81">
        <v>7</v>
      </c>
      <c r="U457" s="10" t="s">
        <v>2272</v>
      </c>
      <c r="V457" s="10" t="s">
        <v>450</v>
      </c>
      <c r="X457" s="15">
        <v>5</v>
      </c>
      <c r="Y457" s="10" t="s">
        <v>40</v>
      </c>
      <c r="Z457" s="10" t="s">
        <v>2280</v>
      </c>
      <c r="AA457" s="10" t="s">
        <v>37</v>
      </c>
      <c r="AB457" s="10" t="s">
        <v>24</v>
      </c>
    </row>
    <row r="458" spans="1:28">
      <c r="A458" s="10" t="s">
        <v>941</v>
      </c>
      <c r="B458" s="11" t="s">
        <v>393</v>
      </c>
      <c r="C458" s="11" t="s">
        <v>417</v>
      </c>
      <c r="D458" s="12">
        <v>29</v>
      </c>
      <c r="E458" s="11" t="s">
        <v>465</v>
      </c>
      <c r="F458" s="14" t="str">
        <f>_xlfn.XLOOKUP(E458,Profession!$B$2:$B$15,Profession!$A$2:$A$15,"Not Found")</f>
        <v>P010</v>
      </c>
      <c r="G458" s="11" t="s">
        <v>467</v>
      </c>
      <c r="H458" s="10" t="str">
        <f>_xlfn.XLOOKUP(G458,Region!$B$2:$B$16,Region!$A$2:$A$16,"Not Found")</f>
        <v>R009</v>
      </c>
      <c r="I458" s="10" t="s">
        <v>420</v>
      </c>
      <c r="J458" s="10" t="s">
        <v>420</v>
      </c>
      <c r="K458" s="10" t="s">
        <v>434</v>
      </c>
      <c r="L458" s="10" t="s">
        <v>1058</v>
      </c>
      <c r="M458" s="16" t="s">
        <v>422</v>
      </c>
      <c r="N458" s="10" t="s">
        <v>138</v>
      </c>
      <c r="O458" s="16" t="s">
        <v>444</v>
      </c>
      <c r="P458" s="11" t="s">
        <v>422</v>
      </c>
      <c r="Q458" s="11" t="s">
        <v>420</v>
      </c>
      <c r="R458" s="11" t="s">
        <v>1070</v>
      </c>
      <c r="S458" s="10" t="s">
        <v>62</v>
      </c>
      <c r="T458" s="81">
        <v>6</v>
      </c>
      <c r="U458" s="10" t="s">
        <v>420</v>
      </c>
      <c r="V458" s="10" t="s">
        <v>2277</v>
      </c>
      <c r="X458" s="15">
        <v>4</v>
      </c>
      <c r="Y458" s="10" t="s">
        <v>56</v>
      </c>
      <c r="Z458" s="10" t="s">
        <v>2849</v>
      </c>
      <c r="AA458" s="10" t="s">
        <v>23</v>
      </c>
      <c r="AB458" s="10" t="s">
        <v>2843</v>
      </c>
    </row>
    <row r="459" spans="1:28">
      <c r="A459" s="10" t="s">
        <v>942</v>
      </c>
      <c r="B459" s="11" t="s">
        <v>394</v>
      </c>
      <c r="C459" s="11" t="s">
        <v>417</v>
      </c>
      <c r="D459" s="12">
        <v>30</v>
      </c>
      <c r="E459" s="11" t="s">
        <v>448</v>
      </c>
      <c r="F459" s="14" t="str">
        <f>_xlfn.XLOOKUP(E459,Profession!$B$2:$B$15,Profession!$A$2:$A$15,"Not Found")</f>
        <v>P004</v>
      </c>
      <c r="G459" s="11" t="s">
        <v>1111</v>
      </c>
      <c r="H459" s="10" t="str">
        <f>_xlfn.XLOOKUP(G459,Region!$B$2:$B$16,Region!$A$2:$A$16,"Not Found")</f>
        <v>R004</v>
      </c>
      <c r="I459" s="10" t="s">
        <v>420</v>
      </c>
      <c r="J459" s="10" t="s">
        <v>420</v>
      </c>
      <c r="K459" s="10" t="s">
        <v>431</v>
      </c>
      <c r="L459" s="10" t="s">
        <v>1057</v>
      </c>
      <c r="M459" s="16" t="s">
        <v>432</v>
      </c>
      <c r="N459" s="10" t="s">
        <v>138</v>
      </c>
      <c r="O459" s="16" t="s">
        <v>444</v>
      </c>
      <c r="P459" s="11" t="s">
        <v>422</v>
      </c>
      <c r="Q459" s="11" t="s">
        <v>420</v>
      </c>
      <c r="R459" s="11" t="s">
        <v>1070</v>
      </c>
      <c r="S459" s="10" t="s">
        <v>62</v>
      </c>
      <c r="T459" s="81">
        <v>8</v>
      </c>
      <c r="U459" s="10" t="s">
        <v>420</v>
      </c>
      <c r="V459" s="10" t="s">
        <v>450</v>
      </c>
      <c r="X459" s="15">
        <v>4</v>
      </c>
      <c r="Y459" s="10" t="s">
        <v>56</v>
      </c>
      <c r="Z459" s="10" t="s">
        <v>2849</v>
      </c>
      <c r="AA459" s="10" t="s">
        <v>23</v>
      </c>
      <c r="AB459" s="10" t="s">
        <v>46</v>
      </c>
    </row>
    <row r="460" spans="1:28">
      <c r="A460" s="10" t="s">
        <v>943</v>
      </c>
      <c r="B460" s="11" t="s">
        <v>395</v>
      </c>
      <c r="C460" s="11" t="s">
        <v>417</v>
      </c>
      <c r="D460" s="12">
        <v>31</v>
      </c>
      <c r="E460" s="11" t="s">
        <v>448</v>
      </c>
      <c r="F460" s="14" t="str">
        <f>_xlfn.XLOOKUP(E460,Profession!$B$2:$B$15,Profession!$A$2:$A$15,"Not Found")</f>
        <v>P004</v>
      </c>
      <c r="G460" s="11" t="s">
        <v>1111</v>
      </c>
      <c r="H460" s="10" t="str">
        <f>_xlfn.XLOOKUP(G460,Region!$B$2:$B$16,Region!$A$2:$A$16,"Not Found")</f>
        <v>R004</v>
      </c>
      <c r="I460" s="10" t="s">
        <v>420</v>
      </c>
      <c r="J460" s="10" t="s">
        <v>420</v>
      </c>
      <c r="K460" s="10" t="s">
        <v>431</v>
      </c>
      <c r="L460" s="10" t="s">
        <v>1058</v>
      </c>
      <c r="M460" s="16" t="s">
        <v>432</v>
      </c>
      <c r="N460" s="10" t="s">
        <v>138</v>
      </c>
      <c r="O460" s="16" t="s">
        <v>450</v>
      </c>
      <c r="P460" s="11" t="s">
        <v>422</v>
      </c>
      <c r="Q460" s="11" t="s">
        <v>420</v>
      </c>
      <c r="R460" s="11" t="s">
        <v>107</v>
      </c>
      <c r="S460" s="10" t="s">
        <v>62</v>
      </c>
      <c r="T460" s="81">
        <v>7</v>
      </c>
      <c r="U460" s="10" t="s">
        <v>420</v>
      </c>
      <c r="V460" s="10" t="s">
        <v>450</v>
      </c>
      <c r="X460" s="15">
        <v>4</v>
      </c>
      <c r="Y460" s="10" t="s">
        <v>56</v>
      </c>
      <c r="Z460" s="10" t="s">
        <v>2849</v>
      </c>
      <c r="AA460" s="10" t="s">
        <v>23</v>
      </c>
      <c r="AB460" s="10" t="s">
        <v>46</v>
      </c>
    </row>
    <row r="461" spans="1:28">
      <c r="A461" s="10" t="s">
        <v>944</v>
      </c>
      <c r="B461" s="11" t="s">
        <v>275</v>
      </c>
      <c r="C461" s="11" t="s">
        <v>417</v>
      </c>
      <c r="D461" s="12">
        <v>32</v>
      </c>
      <c r="E461" s="11" t="s">
        <v>465</v>
      </c>
      <c r="F461" s="14" t="str">
        <f>_xlfn.XLOOKUP(E461,Profession!$B$2:$B$15,Profession!$A$2:$A$15,"Not Found")</f>
        <v>P010</v>
      </c>
      <c r="G461" s="11" t="s">
        <v>419</v>
      </c>
      <c r="H461" s="10" t="str">
        <f>_xlfn.XLOOKUP(G461,Region!$B$2:$B$16,Region!$A$2:$A$16,"Not Found")</f>
        <v>R001</v>
      </c>
      <c r="I461" s="10" t="s">
        <v>423</v>
      </c>
      <c r="J461" s="10" t="s">
        <v>423</v>
      </c>
      <c r="K461" s="10" t="s">
        <v>434</v>
      </c>
      <c r="L461" s="10" t="s">
        <v>1058</v>
      </c>
      <c r="M461" s="16" t="s">
        <v>422</v>
      </c>
      <c r="N461" s="10" t="s">
        <v>138</v>
      </c>
      <c r="O461" s="16" t="s">
        <v>444</v>
      </c>
      <c r="P461" s="11" t="s">
        <v>422</v>
      </c>
      <c r="Q461" s="11" t="s">
        <v>420</v>
      </c>
      <c r="R461" s="11" t="s">
        <v>1065</v>
      </c>
      <c r="S461" s="10" t="s">
        <v>62</v>
      </c>
      <c r="T461" s="81">
        <v>8</v>
      </c>
      <c r="U461" s="10" t="s">
        <v>420</v>
      </c>
      <c r="V461" s="10" t="s">
        <v>450</v>
      </c>
      <c r="X461" s="15">
        <v>7</v>
      </c>
      <c r="Y461" s="10" t="s">
        <v>100</v>
      </c>
      <c r="Z461" s="10" t="s">
        <v>2849</v>
      </c>
      <c r="AA461" s="10" t="s">
        <v>23</v>
      </c>
      <c r="AB461" s="10" t="s">
        <v>2843</v>
      </c>
    </row>
    <row r="462" spans="1:28">
      <c r="A462" s="10" t="s">
        <v>945</v>
      </c>
      <c r="B462" s="11" t="s">
        <v>396</v>
      </c>
      <c r="C462" s="11" t="s">
        <v>417</v>
      </c>
      <c r="D462" s="12">
        <v>33</v>
      </c>
      <c r="E462" s="11" t="s">
        <v>462</v>
      </c>
      <c r="F462" s="14" t="str">
        <f>_xlfn.XLOOKUP(E462,Profession!$B$2:$B$15,Profession!$A$2:$A$15,"Not Found")</f>
        <v>P008</v>
      </c>
      <c r="G462" s="11" t="s">
        <v>464</v>
      </c>
      <c r="H462" s="10" t="str">
        <f>_xlfn.XLOOKUP(G462,Region!$B$2:$B$16,Region!$A$2:$A$16,"Not Found")</f>
        <v>R007</v>
      </c>
      <c r="I462" s="10" t="s">
        <v>423</v>
      </c>
      <c r="J462" s="10" t="s">
        <v>423</v>
      </c>
      <c r="K462" s="10" t="s">
        <v>435</v>
      </c>
      <c r="L462" s="10" t="s">
        <v>1058</v>
      </c>
      <c r="M462" s="16" t="s">
        <v>436</v>
      </c>
      <c r="N462" s="10" t="s">
        <v>138</v>
      </c>
      <c r="O462" s="16" t="s">
        <v>450</v>
      </c>
      <c r="P462" s="11" t="s">
        <v>422</v>
      </c>
      <c r="Q462" s="11" t="s">
        <v>420</v>
      </c>
      <c r="R462" s="11" t="s">
        <v>107</v>
      </c>
      <c r="S462" s="10" t="s">
        <v>62</v>
      </c>
      <c r="T462" s="81">
        <v>5</v>
      </c>
      <c r="U462" s="10" t="s">
        <v>2275</v>
      </c>
      <c r="V462" s="10" t="s">
        <v>450</v>
      </c>
      <c r="X462" s="15">
        <v>5</v>
      </c>
      <c r="Y462" s="10" t="s">
        <v>54</v>
      </c>
      <c r="Z462" s="10" t="s">
        <v>2849</v>
      </c>
      <c r="AA462" s="10" t="s">
        <v>23</v>
      </c>
      <c r="AB462" s="10" t="s">
        <v>2844</v>
      </c>
    </row>
    <row r="463" spans="1:28">
      <c r="A463" s="10" t="s">
        <v>946</v>
      </c>
      <c r="B463" s="11" t="s">
        <v>397</v>
      </c>
      <c r="C463" s="11" t="s">
        <v>417</v>
      </c>
      <c r="D463" s="12">
        <v>34</v>
      </c>
      <c r="E463" s="11" t="s">
        <v>473</v>
      </c>
      <c r="F463" s="14" t="str">
        <f>_xlfn.XLOOKUP(E463,Profession!$B$2:$B$15,Profession!$A$2:$A$15,"Not Found")</f>
        <v>P012</v>
      </c>
      <c r="G463" s="11" t="s">
        <v>419</v>
      </c>
      <c r="H463" s="10" t="str">
        <f>_xlfn.XLOOKUP(G463,Region!$B$2:$B$16,Region!$A$2:$A$16,"Not Found")</f>
        <v>R001</v>
      </c>
      <c r="I463" s="10" t="s">
        <v>423</v>
      </c>
      <c r="J463" s="10" t="s">
        <v>423</v>
      </c>
      <c r="K463" s="10" t="s">
        <v>434</v>
      </c>
      <c r="L463" s="10" t="s">
        <v>1058</v>
      </c>
      <c r="M463" s="16" t="s">
        <v>432</v>
      </c>
      <c r="N463" s="10" t="s">
        <v>138</v>
      </c>
      <c r="O463" s="16" t="s">
        <v>444</v>
      </c>
      <c r="P463" s="11" t="s">
        <v>422</v>
      </c>
      <c r="Q463" s="11" t="s">
        <v>420</v>
      </c>
      <c r="R463" s="11" t="s">
        <v>107</v>
      </c>
      <c r="S463" s="10" t="s">
        <v>62</v>
      </c>
      <c r="T463" s="81">
        <v>7</v>
      </c>
      <c r="U463" s="10" t="s">
        <v>420</v>
      </c>
      <c r="V463" s="10" t="s">
        <v>450</v>
      </c>
      <c r="X463" s="15">
        <v>5</v>
      </c>
      <c r="Y463" s="10" t="s">
        <v>87</v>
      </c>
      <c r="Z463" s="10" t="s">
        <v>2848</v>
      </c>
      <c r="AA463" s="10" t="s">
        <v>23</v>
      </c>
      <c r="AB463" s="10" t="s">
        <v>149</v>
      </c>
    </row>
    <row r="464" spans="1:28">
      <c r="A464" s="10" t="s">
        <v>947</v>
      </c>
      <c r="B464" s="11" t="s">
        <v>398</v>
      </c>
      <c r="C464" s="11" t="s">
        <v>417</v>
      </c>
      <c r="D464" s="12">
        <v>36</v>
      </c>
      <c r="E464" s="11" t="s">
        <v>452</v>
      </c>
      <c r="F464" s="14" t="str">
        <f>_xlfn.XLOOKUP(E464,Profession!$B$2:$B$15,Profession!$A$2:$A$15,"Not Found")</f>
        <v>P005</v>
      </c>
      <c r="G464" s="11" t="s">
        <v>1115</v>
      </c>
      <c r="H464" s="10" t="str">
        <f>_xlfn.XLOOKUP(G464,Region!$B$2:$B$16,Region!$A$2:$A$16,"Not Found")</f>
        <v>R002</v>
      </c>
      <c r="I464" s="10" t="s">
        <v>420</v>
      </c>
      <c r="J464" s="10" t="s">
        <v>420</v>
      </c>
      <c r="K464" s="10" t="s">
        <v>435</v>
      </c>
      <c r="L464" s="10" t="s">
        <v>1058</v>
      </c>
      <c r="M464" s="16" t="s">
        <v>429</v>
      </c>
      <c r="N464" s="10" t="s">
        <v>106</v>
      </c>
      <c r="O464" s="16" t="s">
        <v>433</v>
      </c>
      <c r="P464" s="11" t="s">
        <v>422</v>
      </c>
      <c r="Q464" s="11" t="s">
        <v>420</v>
      </c>
      <c r="R464" s="11" t="s">
        <v>1072</v>
      </c>
      <c r="S464" s="10" t="s">
        <v>2885</v>
      </c>
      <c r="T464" s="81">
        <v>6</v>
      </c>
      <c r="U464" s="10" t="s">
        <v>2273</v>
      </c>
      <c r="V464" s="10" t="s">
        <v>2277</v>
      </c>
      <c r="X464" s="15">
        <v>3</v>
      </c>
      <c r="Y464" s="10" t="s">
        <v>45</v>
      </c>
      <c r="Z464" s="10" t="s">
        <v>2849</v>
      </c>
      <c r="AA464" s="10" t="s">
        <v>37</v>
      </c>
      <c r="AB464" s="10" t="s">
        <v>149</v>
      </c>
    </row>
    <row r="465" spans="1:28">
      <c r="A465" s="10" t="s">
        <v>948</v>
      </c>
      <c r="B465" s="11" t="s">
        <v>118</v>
      </c>
      <c r="C465" s="11" t="s">
        <v>437</v>
      </c>
      <c r="D465" s="12">
        <v>37</v>
      </c>
      <c r="E465" s="11" t="s">
        <v>442</v>
      </c>
      <c r="F465" s="14" t="str">
        <f>_xlfn.XLOOKUP(E465,Profession!$B$2:$B$15,Profession!$A$2:$A$15,"Not Found")</f>
        <v>P002</v>
      </c>
      <c r="G465" s="11" t="s">
        <v>419</v>
      </c>
      <c r="H465" s="10" t="str">
        <f>_xlfn.XLOOKUP(G465,Region!$B$2:$B$16,Region!$A$2:$A$16,"Not Found")</f>
        <v>R001</v>
      </c>
      <c r="I465" s="10" t="s">
        <v>420</v>
      </c>
      <c r="J465" s="10" t="s">
        <v>420</v>
      </c>
      <c r="K465" s="10" t="s">
        <v>426</v>
      </c>
      <c r="L465" s="10" t="s">
        <v>1058</v>
      </c>
      <c r="M465" s="16" t="s">
        <v>422</v>
      </c>
      <c r="N465" s="10" t="s">
        <v>64</v>
      </c>
      <c r="O465" s="16" t="s">
        <v>426</v>
      </c>
      <c r="P465" s="11" t="s">
        <v>1059</v>
      </c>
      <c r="Q465" s="11" t="s">
        <v>422</v>
      </c>
      <c r="R465" s="11" t="s">
        <v>1062</v>
      </c>
      <c r="S465" s="10" t="s">
        <v>2884</v>
      </c>
      <c r="T465" s="81">
        <v>6.3008333333333297</v>
      </c>
      <c r="U465" s="10" t="s">
        <v>420</v>
      </c>
      <c r="V465" s="10" t="s">
        <v>2277</v>
      </c>
      <c r="X465" s="15">
        <v>4</v>
      </c>
      <c r="Y465" s="10" t="s">
        <v>36</v>
      </c>
      <c r="Z465" s="10" t="s">
        <v>2849</v>
      </c>
      <c r="AA465" s="10" t="s">
        <v>23</v>
      </c>
      <c r="AB465" s="10" t="s">
        <v>2843</v>
      </c>
    </row>
    <row r="466" spans="1:28">
      <c r="A466" s="10" t="s">
        <v>949</v>
      </c>
      <c r="B466" s="11" t="s">
        <v>285</v>
      </c>
      <c r="C466" s="11" t="s">
        <v>437</v>
      </c>
      <c r="D466" s="12">
        <v>38</v>
      </c>
      <c r="E466" s="11" t="s">
        <v>465</v>
      </c>
      <c r="F466" s="14" t="str">
        <f>_xlfn.XLOOKUP(E466,Profession!$B$2:$B$15,Profession!$A$2:$A$15,"Not Found")</f>
        <v>P010</v>
      </c>
      <c r="G466" s="11" t="s">
        <v>108</v>
      </c>
      <c r="H466" s="10" t="str">
        <f>_xlfn.XLOOKUP(G466,Region!$B$2:$B$16,Region!$A$2:$A$16,"Not Found")</f>
        <v>R010</v>
      </c>
      <c r="I466" s="10" t="s">
        <v>420</v>
      </c>
      <c r="J466" s="10" t="s">
        <v>420</v>
      </c>
      <c r="K466" s="10" t="s">
        <v>435</v>
      </c>
      <c r="L466" s="10" t="s">
        <v>1058</v>
      </c>
      <c r="M466" s="16" t="s">
        <v>422</v>
      </c>
      <c r="N466" s="10" t="s">
        <v>102</v>
      </c>
      <c r="O466" s="16" t="s">
        <v>450</v>
      </c>
      <c r="P466" s="11" t="s">
        <v>422</v>
      </c>
      <c r="Q466" s="11" t="s">
        <v>420</v>
      </c>
      <c r="R466" s="11" t="s">
        <v>107</v>
      </c>
      <c r="S466" s="10" t="s">
        <v>62</v>
      </c>
      <c r="T466" s="81">
        <v>7</v>
      </c>
      <c r="U466" s="10" t="s">
        <v>420</v>
      </c>
      <c r="V466" s="10" t="s">
        <v>450</v>
      </c>
      <c r="X466" s="15">
        <v>7</v>
      </c>
      <c r="Y466" s="10" t="s">
        <v>19</v>
      </c>
      <c r="Z466" s="10" t="s">
        <v>2849</v>
      </c>
      <c r="AA466" s="10" t="s">
        <v>23</v>
      </c>
      <c r="AB466" s="10" t="s">
        <v>2841</v>
      </c>
    </row>
    <row r="467" spans="1:28">
      <c r="A467" s="10" t="s">
        <v>950</v>
      </c>
      <c r="B467" s="11" t="s">
        <v>109</v>
      </c>
      <c r="C467" s="11" t="s">
        <v>437</v>
      </c>
      <c r="D467" s="12">
        <v>39</v>
      </c>
      <c r="E467" s="11" t="s">
        <v>458</v>
      </c>
      <c r="F467" s="14" t="str">
        <f>_xlfn.XLOOKUP(E467,Profession!$B$2:$B$15,Profession!$A$2:$A$15,"Not Found")</f>
        <v>P006</v>
      </c>
      <c r="G467" s="11" t="s">
        <v>1115</v>
      </c>
      <c r="H467" s="10" t="str">
        <f>_xlfn.XLOOKUP(G467,Region!$B$2:$B$16,Region!$A$2:$A$16,"Not Found")</f>
        <v>R002</v>
      </c>
      <c r="I467" s="10" t="s">
        <v>420</v>
      </c>
      <c r="J467" s="10" t="s">
        <v>420</v>
      </c>
      <c r="K467" s="10" t="s">
        <v>434</v>
      </c>
      <c r="L467" s="10" t="s">
        <v>1058</v>
      </c>
      <c r="M467" s="16" t="s">
        <v>432</v>
      </c>
      <c r="N467" s="10" t="s">
        <v>138</v>
      </c>
      <c r="O467" s="16" t="s">
        <v>433</v>
      </c>
      <c r="P467" s="11" t="s">
        <v>422</v>
      </c>
      <c r="Q467" s="11" t="s">
        <v>1061</v>
      </c>
      <c r="R467" s="11" t="s">
        <v>1065</v>
      </c>
      <c r="S467" s="10" t="s">
        <v>62</v>
      </c>
      <c r="T467" s="81">
        <v>6</v>
      </c>
      <c r="U467" s="10" t="s">
        <v>2274</v>
      </c>
      <c r="V467" s="10" t="s">
        <v>450</v>
      </c>
      <c r="X467" s="15">
        <v>3</v>
      </c>
      <c r="Y467" s="10" t="s">
        <v>49</v>
      </c>
      <c r="Z467" s="10" t="s">
        <v>2849</v>
      </c>
      <c r="AA467" s="10" t="s">
        <v>37</v>
      </c>
      <c r="AB467" s="10" t="s">
        <v>46</v>
      </c>
    </row>
    <row r="468" spans="1:28">
      <c r="A468" s="10" t="s">
        <v>951</v>
      </c>
      <c r="B468" s="11" t="s">
        <v>286</v>
      </c>
      <c r="C468" s="11" t="s">
        <v>437</v>
      </c>
      <c r="D468" s="12">
        <v>40</v>
      </c>
      <c r="E468" s="11" t="s">
        <v>1054</v>
      </c>
      <c r="F468" s="14" t="str">
        <f>_xlfn.XLOOKUP(E468,Profession!$B$2:$B$15,Profession!$A$2:$A$15,"Not Found")</f>
        <v>P013</v>
      </c>
      <c r="G468" s="11" t="s">
        <v>1110</v>
      </c>
      <c r="H468" s="10" t="str">
        <f>_xlfn.XLOOKUP(G468,Region!$B$2:$B$16,Region!$A$2:$A$16,"Not Found")</f>
        <v>R013</v>
      </c>
      <c r="I468" s="10" t="s">
        <v>420</v>
      </c>
      <c r="J468" s="10" t="s">
        <v>420</v>
      </c>
      <c r="K468" s="10" t="s">
        <v>435</v>
      </c>
      <c r="L468" s="10" t="s">
        <v>1058</v>
      </c>
      <c r="M468" s="16" t="s">
        <v>422</v>
      </c>
      <c r="N468" s="10" t="s">
        <v>64</v>
      </c>
      <c r="O468" s="16" t="s">
        <v>433</v>
      </c>
      <c r="P468" s="11" t="s">
        <v>435</v>
      </c>
      <c r="Q468" s="11" t="s">
        <v>420</v>
      </c>
      <c r="R468" s="11" t="s">
        <v>1067</v>
      </c>
      <c r="S468" s="10" t="s">
        <v>62</v>
      </c>
      <c r="T468" s="81">
        <v>6</v>
      </c>
      <c r="U468" s="10" t="s">
        <v>420</v>
      </c>
      <c r="V468" s="10" t="s">
        <v>450</v>
      </c>
      <c r="X468" s="15">
        <v>6</v>
      </c>
      <c r="Y468" s="10" t="s">
        <v>75</v>
      </c>
      <c r="Z468" s="10" t="s">
        <v>2847</v>
      </c>
      <c r="AA468" s="10" t="s">
        <v>70</v>
      </c>
      <c r="AB468" s="10" t="s">
        <v>149</v>
      </c>
    </row>
    <row r="469" spans="1:28">
      <c r="A469" s="10" t="s">
        <v>952</v>
      </c>
      <c r="B469" s="11" t="s">
        <v>143</v>
      </c>
      <c r="C469" s="11" t="s">
        <v>437</v>
      </c>
      <c r="D469" s="12">
        <v>41</v>
      </c>
      <c r="E469" s="11" t="s">
        <v>446</v>
      </c>
      <c r="F469" s="14" t="str">
        <f>_xlfn.XLOOKUP(E469,Profession!$B$2:$B$15,Profession!$A$2:$A$15,"Not Found")</f>
        <v>P003</v>
      </c>
      <c r="G469" s="11" t="s">
        <v>104</v>
      </c>
      <c r="H469" s="10" t="str">
        <f>_xlfn.XLOOKUP(G469,Region!$B$2:$B$16,Region!$A$2:$A$16,"Not Found")</f>
        <v>R003</v>
      </c>
      <c r="I469" s="10" t="s">
        <v>420</v>
      </c>
      <c r="J469" s="10" t="s">
        <v>420</v>
      </c>
      <c r="K469" s="10" t="s">
        <v>435</v>
      </c>
      <c r="L469" s="10" t="s">
        <v>1058</v>
      </c>
      <c r="M469" s="16" t="s">
        <v>422</v>
      </c>
      <c r="N469" s="10" t="s">
        <v>138</v>
      </c>
      <c r="O469" s="16" t="s">
        <v>433</v>
      </c>
      <c r="P469" s="11" t="s">
        <v>422</v>
      </c>
      <c r="Q469" s="11" t="s">
        <v>420</v>
      </c>
      <c r="R469" s="11" t="s">
        <v>1070</v>
      </c>
      <c r="S469" s="10" t="s">
        <v>62</v>
      </c>
      <c r="T469" s="81">
        <v>8</v>
      </c>
      <c r="U469" s="10" t="s">
        <v>420</v>
      </c>
      <c r="V469" s="10" t="s">
        <v>2277</v>
      </c>
      <c r="X469" s="15">
        <v>5</v>
      </c>
      <c r="Y469" s="10" t="s">
        <v>19</v>
      </c>
      <c r="Z469" s="10" t="s">
        <v>2849</v>
      </c>
      <c r="AA469" s="10" t="s">
        <v>23</v>
      </c>
      <c r="AB469" s="10" t="s">
        <v>28</v>
      </c>
    </row>
    <row r="470" spans="1:28">
      <c r="A470" s="10" t="s">
        <v>953</v>
      </c>
      <c r="B470" s="11" t="s">
        <v>288</v>
      </c>
      <c r="C470" s="11" t="s">
        <v>437</v>
      </c>
      <c r="D470" s="12">
        <v>42</v>
      </c>
      <c r="E470" s="11" t="s">
        <v>1088</v>
      </c>
      <c r="F470" s="14" t="str">
        <f>_xlfn.XLOOKUP(E470,Profession!$B$2:$B$15,Profession!$A$2:$A$15,"Not Found")</f>
        <v>P014</v>
      </c>
      <c r="G470" s="11" t="s">
        <v>1114</v>
      </c>
      <c r="H470" s="10" t="str">
        <f>_xlfn.XLOOKUP(G470,Region!$B$2:$B$16,Region!$A$2:$A$16,"Not Found")</f>
        <v>R014</v>
      </c>
      <c r="I470" s="10" t="s">
        <v>420</v>
      </c>
      <c r="J470" s="10" t="s">
        <v>420</v>
      </c>
      <c r="K470" s="10" t="s">
        <v>435</v>
      </c>
      <c r="L470" s="10" t="s">
        <v>1058</v>
      </c>
      <c r="M470" s="16" t="s">
        <v>422</v>
      </c>
      <c r="N470" s="10" t="s">
        <v>138</v>
      </c>
      <c r="O470" s="16" t="s">
        <v>433</v>
      </c>
      <c r="P470" s="11" t="s">
        <v>422</v>
      </c>
      <c r="Q470" s="11" t="s">
        <v>1061</v>
      </c>
      <c r="R470" s="11" t="s">
        <v>1067</v>
      </c>
      <c r="S470" s="10" t="s">
        <v>62</v>
      </c>
      <c r="T470" s="81">
        <v>6</v>
      </c>
      <c r="U470" s="10" t="s">
        <v>420</v>
      </c>
      <c r="V470" s="10" t="s">
        <v>450</v>
      </c>
      <c r="X470" s="15">
        <v>6</v>
      </c>
      <c r="Y470" s="10" t="s">
        <v>77</v>
      </c>
      <c r="Z470" s="10" t="s">
        <v>2282</v>
      </c>
      <c r="AA470" s="10" t="s">
        <v>23</v>
      </c>
      <c r="AB470" s="10" t="s">
        <v>46</v>
      </c>
    </row>
    <row r="471" spans="1:28">
      <c r="A471" s="10" t="s">
        <v>954</v>
      </c>
      <c r="B471" s="11" t="s">
        <v>125</v>
      </c>
      <c r="C471" s="11" t="s">
        <v>437</v>
      </c>
      <c r="D471" s="12">
        <v>43</v>
      </c>
      <c r="E471" s="11" t="s">
        <v>1088</v>
      </c>
      <c r="F471" s="14" t="str">
        <f>_xlfn.XLOOKUP(E471,Profession!$B$2:$B$15,Profession!$A$2:$A$15,"Not Found")</f>
        <v>P014</v>
      </c>
      <c r="G471" s="11" t="s">
        <v>477</v>
      </c>
      <c r="H471" s="10" t="str">
        <f>_xlfn.XLOOKUP(G471,Region!$B$2:$B$16,Region!$A$2:$A$16,"Not Found")</f>
        <v>R015</v>
      </c>
      <c r="I471" s="10" t="s">
        <v>420</v>
      </c>
      <c r="J471" s="10" t="s">
        <v>420</v>
      </c>
      <c r="K471" s="10" t="s">
        <v>435</v>
      </c>
      <c r="L471" s="10" t="s">
        <v>1058</v>
      </c>
      <c r="M471" s="16" t="s">
        <v>422</v>
      </c>
      <c r="N471" s="10" t="s">
        <v>138</v>
      </c>
      <c r="O471" s="16" t="s">
        <v>433</v>
      </c>
      <c r="P471" s="11" t="s">
        <v>435</v>
      </c>
      <c r="Q471" s="11" t="s">
        <v>1061</v>
      </c>
      <c r="R471" s="11" t="s">
        <v>1068</v>
      </c>
      <c r="S471" s="10" t="s">
        <v>62</v>
      </c>
      <c r="T471" s="81">
        <v>8</v>
      </c>
      <c r="U471" s="10" t="s">
        <v>420</v>
      </c>
      <c r="V471" s="10" t="s">
        <v>450</v>
      </c>
      <c r="X471" s="15">
        <v>6</v>
      </c>
      <c r="Y471" s="10" t="s">
        <v>36</v>
      </c>
      <c r="Z471" s="10" t="s">
        <v>2849</v>
      </c>
      <c r="AA471" s="10" t="s">
        <v>23</v>
      </c>
      <c r="AB471" s="10" t="s">
        <v>2841</v>
      </c>
    </row>
    <row r="472" spans="1:28">
      <c r="A472" s="10" t="s">
        <v>955</v>
      </c>
      <c r="B472" s="11" t="s">
        <v>113</v>
      </c>
      <c r="C472" s="11" t="s">
        <v>437</v>
      </c>
      <c r="D472" s="12">
        <v>20</v>
      </c>
      <c r="E472" s="11" t="s">
        <v>418</v>
      </c>
      <c r="F472" s="14" t="str">
        <f>_xlfn.XLOOKUP(E472,Profession!$B$2:$B$15,Profession!$A$2:$A$15,"Not Found")</f>
        <v>P001</v>
      </c>
      <c r="G472" s="11" t="s">
        <v>419</v>
      </c>
      <c r="H472" s="10" t="str">
        <f>_xlfn.XLOOKUP(G472,Region!$B$2:$B$16,Region!$A$2:$A$16,"Not Found")</f>
        <v>R001</v>
      </c>
      <c r="I472" s="10" t="s">
        <v>420</v>
      </c>
      <c r="J472" s="10" t="s">
        <v>420</v>
      </c>
      <c r="K472" s="10" t="s">
        <v>435</v>
      </c>
      <c r="L472" s="10" t="s">
        <v>1057</v>
      </c>
      <c r="M472" s="16" t="s">
        <v>422</v>
      </c>
      <c r="N472" s="10" t="s">
        <v>138</v>
      </c>
      <c r="O472" s="16" t="s">
        <v>423</v>
      </c>
      <c r="P472" s="11" t="s">
        <v>1059</v>
      </c>
      <c r="Q472" s="11" t="s">
        <v>422</v>
      </c>
      <c r="R472" s="11" t="s">
        <v>1062</v>
      </c>
      <c r="S472" s="10" t="s">
        <v>2884</v>
      </c>
      <c r="T472" s="81">
        <v>7</v>
      </c>
      <c r="U472" s="10" t="s">
        <v>420</v>
      </c>
      <c r="V472" s="10" t="s">
        <v>2278</v>
      </c>
      <c r="X472" s="15">
        <v>3</v>
      </c>
      <c r="Y472" s="10" t="s">
        <v>27</v>
      </c>
      <c r="Z472" s="10" t="s">
        <v>2849</v>
      </c>
      <c r="AA472" s="10" t="s">
        <v>23</v>
      </c>
      <c r="AB472" s="10" t="s">
        <v>24</v>
      </c>
    </row>
    <row r="473" spans="1:28">
      <c r="A473" s="10" t="s">
        <v>956</v>
      </c>
      <c r="B473" s="11" t="s">
        <v>144</v>
      </c>
      <c r="C473" s="11" t="s">
        <v>437</v>
      </c>
      <c r="D473" s="12">
        <v>21</v>
      </c>
      <c r="E473" s="11" t="s">
        <v>465</v>
      </c>
      <c r="F473" s="14" t="str">
        <f>_xlfn.XLOOKUP(E473,Profession!$B$2:$B$15,Profession!$A$2:$A$15,"Not Found")</f>
        <v>P010</v>
      </c>
      <c r="G473" s="11" t="s">
        <v>1115</v>
      </c>
      <c r="H473" s="10" t="str">
        <f>_xlfn.XLOOKUP(G473,Region!$B$2:$B$16,Region!$A$2:$A$16,"Not Found")</f>
        <v>R002</v>
      </c>
      <c r="I473" s="10" t="s">
        <v>420</v>
      </c>
      <c r="J473" s="10" t="s">
        <v>420</v>
      </c>
      <c r="K473" s="10" t="s">
        <v>421</v>
      </c>
      <c r="L473" s="10" t="s">
        <v>1058</v>
      </c>
      <c r="M473" s="16" t="s">
        <v>422</v>
      </c>
      <c r="N473" s="10" t="s">
        <v>26</v>
      </c>
      <c r="O473" s="16" t="s">
        <v>450</v>
      </c>
      <c r="P473" s="11" t="s">
        <v>422</v>
      </c>
      <c r="Q473" s="11" t="s">
        <v>420</v>
      </c>
      <c r="R473" s="11" t="s">
        <v>1065</v>
      </c>
      <c r="S473" s="10" t="s">
        <v>62</v>
      </c>
      <c r="T473" s="81">
        <v>8</v>
      </c>
      <c r="U473" s="10" t="s">
        <v>420</v>
      </c>
      <c r="V473" s="10" t="s">
        <v>450</v>
      </c>
      <c r="X473" s="15">
        <v>4</v>
      </c>
      <c r="Y473" s="10" t="s">
        <v>56</v>
      </c>
      <c r="Z473" s="10" t="s">
        <v>2849</v>
      </c>
      <c r="AA473" s="10" t="s">
        <v>23</v>
      </c>
      <c r="AB473" s="10" t="s">
        <v>2843</v>
      </c>
    </row>
    <row r="474" spans="1:28">
      <c r="A474" s="10" t="s">
        <v>957</v>
      </c>
      <c r="B474" s="11" t="s">
        <v>115</v>
      </c>
      <c r="C474" s="11" t="s">
        <v>437</v>
      </c>
      <c r="D474" s="12">
        <v>22</v>
      </c>
      <c r="E474" s="11" t="s">
        <v>442</v>
      </c>
      <c r="F474" s="14" t="str">
        <f>_xlfn.XLOOKUP(E474,Profession!$B$2:$B$15,Profession!$A$2:$A$15,"Not Found")</f>
        <v>P002</v>
      </c>
      <c r="G474" s="11" t="s">
        <v>419</v>
      </c>
      <c r="H474" s="10" t="str">
        <f>_xlfn.XLOOKUP(G474,Region!$B$2:$B$16,Region!$A$2:$A$16,"Not Found")</f>
        <v>R001</v>
      </c>
      <c r="I474" s="10" t="s">
        <v>420</v>
      </c>
      <c r="J474" s="10" t="s">
        <v>420</v>
      </c>
      <c r="K474" s="10" t="s">
        <v>435</v>
      </c>
      <c r="L474" s="10" t="s">
        <v>1058</v>
      </c>
      <c r="M474" s="16" t="s">
        <v>436</v>
      </c>
      <c r="N474" s="10" t="s">
        <v>138</v>
      </c>
      <c r="O474" s="16" t="s">
        <v>444</v>
      </c>
      <c r="P474" s="11" t="s">
        <v>422</v>
      </c>
      <c r="Q474" s="11" t="s">
        <v>1061</v>
      </c>
      <c r="R474" s="11" t="s">
        <v>1068</v>
      </c>
      <c r="S474" s="10" t="s">
        <v>62</v>
      </c>
      <c r="T474" s="81">
        <v>6</v>
      </c>
      <c r="U474" s="10" t="s">
        <v>420</v>
      </c>
      <c r="V474" s="10" t="s">
        <v>2277</v>
      </c>
      <c r="X474" s="15">
        <v>6</v>
      </c>
      <c r="Y474" s="10" t="s">
        <v>100</v>
      </c>
      <c r="Z474" s="10" t="s">
        <v>2849</v>
      </c>
      <c r="AA474" s="10" t="s">
        <v>37</v>
      </c>
      <c r="AB474" s="10" t="s">
        <v>2844</v>
      </c>
    </row>
    <row r="475" spans="1:28">
      <c r="A475" s="10" t="s">
        <v>958</v>
      </c>
      <c r="B475" s="11" t="s">
        <v>132</v>
      </c>
      <c r="C475" s="11" t="s">
        <v>437</v>
      </c>
      <c r="D475" s="12">
        <v>23</v>
      </c>
      <c r="E475" s="11" t="s">
        <v>462</v>
      </c>
      <c r="F475" s="14" t="str">
        <f>_xlfn.XLOOKUP(E475,Profession!$B$2:$B$15,Profession!$A$2:$A$15,"Not Found")</f>
        <v>P008</v>
      </c>
      <c r="G475" s="11" t="s">
        <v>1112</v>
      </c>
      <c r="H475" s="10" t="str">
        <f>_xlfn.XLOOKUP(G475,Region!$B$2:$B$16,Region!$A$2:$A$16,"Not Found")</f>
        <v>R008</v>
      </c>
      <c r="I475" s="10" t="s">
        <v>420</v>
      </c>
      <c r="J475" s="10" t="s">
        <v>420</v>
      </c>
      <c r="K475" s="10" t="s">
        <v>431</v>
      </c>
      <c r="L475" s="10" t="s">
        <v>1058</v>
      </c>
      <c r="M475" s="16" t="s">
        <v>422</v>
      </c>
      <c r="N475" s="10" t="s">
        <v>138</v>
      </c>
      <c r="O475" s="16" t="s">
        <v>450</v>
      </c>
      <c r="P475" s="11" t="s">
        <v>422</v>
      </c>
      <c r="Q475" s="11" t="s">
        <v>420</v>
      </c>
      <c r="R475" s="11" t="s">
        <v>107</v>
      </c>
      <c r="S475" s="10" t="s">
        <v>62</v>
      </c>
      <c r="T475" s="81">
        <v>7</v>
      </c>
      <c r="U475" s="10" t="s">
        <v>420</v>
      </c>
      <c r="V475" s="10" t="s">
        <v>450</v>
      </c>
      <c r="X475" s="15">
        <v>5</v>
      </c>
      <c r="Y475" s="10" t="s">
        <v>56</v>
      </c>
      <c r="Z475" s="10" t="s">
        <v>2849</v>
      </c>
      <c r="AA475" s="10" t="s">
        <v>23</v>
      </c>
      <c r="AB475" s="10" t="s">
        <v>2843</v>
      </c>
    </row>
    <row r="476" spans="1:28">
      <c r="A476" s="10" t="s">
        <v>959</v>
      </c>
      <c r="B476" s="11" t="s">
        <v>147</v>
      </c>
      <c r="C476" s="11" t="s">
        <v>437</v>
      </c>
      <c r="D476" s="12">
        <v>24</v>
      </c>
      <c r="E476" s="11" t="s">
        <v>473</v>
      </c>
      <c r="F476" s="14" t="str">
        <f>_xlfn.XLOOKUP(E476,Profession!$B$2:$B$15,Profession!$A$2:$A$15,"Not Found")</f>
        <v>P012</v>
      </c>
      <c r="G476" s="11" t="s">
        <v>1113</v>
      </c>
      <c r="H476" s="10" t="str">
        <f>_xlfn.XLOOKUP(G476,Region!$B$2:$B$16,Region!$A$2:$A$16,"Not Found")</f>
        <v>R012</v>
      </c>
      <c r="I476" s="10" t="s">
        <v>423</v>
      </c>
      <c r="J476" s="10" t="s">
        <v>423</v>
      </c>
      <c r="K476" s="10" t="s">
        <v>435</v>
      </c>
      <c r="L476" s="10" t="s">
        <v>1058</v>
      </c>
      <c r="M476" s="16" t="s">
        <v>422</v>
      </c>
      <c r="N476" s="10" t="s">
        <v>138</v>
      </c>
      <c r="O476" s="16" t="s">
        <v>444</v>
      </c>
      <c r="P476" s="11" t="s">
        <v>422</v>
      </c>
      <c r="Q476" s="11" t="s">
        <v>1061</v>
      </c>
      <c r="R476" s="11" t="s">
        <v>107</v>
      </c>
      <c r="S476" s="10" t="s">
        <v>62</v>
      </c>
      <c r="T476" s="81">
        <v>6</v>
      </c>
      <c r="U476" s="10" t="s">
        <v>420</v>
      </c>
      <c r="V476" s="10" t="s">
        <v>2277</v>
      </c>
      <c r="X476" s="15">
        <v>6</v>
      </c>
      <c r="Y476" s="10" t="s">
        <v>22</v>
      </c>
      <c r="Z476" s="10" t="s">
        <v>2846</v>
      </c>
      <c r="AA476" s="10" t="s">
        <v>23</v>
      </c>
      <c r="AB476" s="10" t="s">
        <v>2842</v>
      </c>
    </row>
    <row r="477" spans="1:28">
      <c r="A477" s="10" t="s">
        <v>960</v>
      </c>
      <c r="B477" s="11" t="s">
        <v>95</v>
      </c>
      <c r="C477" s="11" t="s">
        <v>437</v>
      </c>
      <c r="D477" s="12">
        <v>25</v>
      </c>
      <c r="E477" s="11" t="s">
        <v>1108</v>
      </c>
      <c r="F477" s="14" t="str">
        <f>_xlfn.XLOOKUP(E477,Profession!$B$2:$B$15,Profession!$A$2:$A$15,"Not Found")</f>
        <v>P011</v>
      </c>
      <c r="G477" s="11" t="s">
        <v>419</v>
      </c>
      <c r="H477" s="10" t="str">
        <f>_xlfn.XLOOKUP(G477,Region!$B$2:$B$16,Region!$A$2:$A$16,"Not Found")</f>
        <v>R001</v>
      </c>
      <c r="I477" s="10" t="s">
        <v>420</v>
      </c>
      <c r="J477" s="10" t="s">
        <v>420</v>
      </c>
      <c r="K477" s="10" t="s">
        <v>431</v>
      </c>
      <c r="L477" s="10" t="s">
        <v>1058</v>
      </c>
      <c r="M477" s="16" t="s">
        <v>422</v>
      </c>
      <c r="N477" s="10" t="s">
        <v>138</v>
      </c>
      <c r="O477" s="16" t="s">
        <v>444</v>
      </c>
      <c r="P477" s="11" t="s">
        <v>422</v>
      </c>
      <c r="Q477" s="11" t="s">
        <v>420</v>
      </c>
      <c r="R477" s="11" t="s">
        <v>1070</v>
      </c>
      <c r="S477" s="10" t="s">
        <v>62</v>
      </c>
      <c r="T477" s="81">
        <v>6</v>
      </c>
      <c r="U477" s="10" t="s">
        <v>420</v>
      </c>
      <c r="V477" s="10" t="s">
        <v>2277</v>
      </c>
      <c r="X477" s="15">
        <v>5</v>
      </c>
      <c r="Y477" s="10" t="s">
        <v>58</v>
      </c>
      <c r="Z477" s="10" t="s">
        <v>2849</v>
      </c>
      <c r="AA477" s="10" t="s">
        <v>23</v>
      </c>
      <c r="AB477" s="10" t="s">
        <v>2843</v>
      </c>
    </row>
    <row r="478" spans="1:28">
      <c r="A478" s="10" t="s">
        <v>961</v>
      </c>
      <c r="B478" s="11" t="s">
        <v>148</v>
      </c>
      <c r="C478" s="11" t="s">
        <v>437</v>
      </c>
      <c r="D478" s="12">
        <v>26</v>
      </c>
      <c r="E478" s="11" t="s">
        <v>459</v>
      </c>
      <c r="F478" s="14" t="str">
        <f>_xlfn.XLOOKUP(E478,Profession!$B$2:$B$15,Profession!$A$2:$A$15,"Not Found")</f>
        <v>P007</v>
      </c>
      <c r="G478" s="11" t="s">
        <v>419</v>
      </c>
      <c r="H478" s="10" t="str">
        <f>_xlfn.XLOOKUP(G478,Region!$B$2:$B$16,Region!$A$2:$A$16,"Not Found")</f>
        <v>R001</v>
      </c>
      <c r="I478" s="10" t="s">
        <v>420</v>
      </c>
      <c r="J478" s="10" t="s">
        <v>420</v>
      </c>
      <c r="K478" s="10" t="s">
        <v>421</v>
      </c>
      <c r="L478" s="10" t="s">
        <v>1058</v>
      </c>
      <c r="M478" s="16" t="s">
        <v>422</v>
      </c>
      <c r="N478" s="10" t="s">
        <v>138</v>
      </c>
      <c r="O478" s="16" t="s">
        <v>444</v>
      </c>
      <c r="P478" s="11" t="s">
        <v>422</v>
      </c>
      <c r="Q478" s="11" t="s">
        <v>420</v>
      </c>
      <c r="R478" s="11" t="s">
        <v>1070</v>
      </c>
      <c r="S478" s="10" t="s">
        <v>62</v>
      </c>
      <c r="T478" s="81">
        <v>8</v>
      </c>
      <c r="U478" s="10" t="s">
        <v>420</v>
      </c>
      <c r="V478" s="10" t="s">
        <v>450</v>
      </c>
      <c r="X478" s="15">
        <v>4</v>
      </c>
      <c r="Y478" s="10" t="s">
        <v>36</v>
      </c>
      <c r="Z478" s="10" t="s">
        <v>2849</v>
      </c>
      <c r="AA478" s="10" t="s">
        <v>37</v>
      </c>
      <c r="AB478" s="10" t="s">
        <v>24</v>
      </c>
    </row>
    <row r="479" spans="1:28">
      <c r="A479" s="10" t="s">
        <v>962</v>
      </c>
      <c r="B479" s="11" t="s">
        <v>151</v>
      </c>
      <c r="C479" s="11" t="s">
        <v>437</v>
      </c>
      <c r="D479" s="12">
        <v>27</v>
      </c>
      <c r="E479" s="11" t="s">
        <v>418</v>
      </c>
      <c r="F479" s="14" t="str">
        <f>_xlfn.XLOOKUP(E479,Profession!$B$2:$B$15,Profession!$A$2:$A$15,"Not Found")</f>
        <v>P001</v>
      </c>
      <c r="G479" s="11" t="s">
        <v>1115</v>
      </c>
      <c r="H479" s="10" t="str">
        <f>_xlfn.XLOOKUP(G479,Region!$B$2:$B$16,Region!$A$2:$A$16,"Not Found")</f>
        <v>R002</v>
      </c>
      <c r="I479" s="10" t="s">
        <v>420</v>
      </c>
      <c r="J479" s="10" t="s">
        <v>420</v>
      </c>
      <c r="K479" s="10" t="s">
        <v>435</v>
      </c>
      <c r="L479" s="10" t="s">
        <v>1058</v>
      </c>
      <c r="M479" s="16" t="s">
        <v>432</v>
      </c>
      <c r="N479" s="10" t="s">
        <v>19</v>
      </c>
      <c r="O479" s="16" t="s">
        <v>433</v>
      </c>
      <c r="P479" s="11" t="s">
        <v>422</v>
      </c>
      <c r="Q479" s="11" t="s">
        <v>1061</v>
      </c>
      <c r="R479" s="11" t="s">
        <v>1065</v>
      </c>
      <c r="S479" s="10" t="s">
        <v>62</v>
      </c>
      <c r="T479" s="81">
        <v>8</v>
      </c>
      <c r="U479" s="10" t="s">
        <v>420</v>
      </c>
      <c r="V479" s="10" t="s">
        <v>2277</v>
      </c>
      <c r="X479" s="15">
        <v>5</v>
      </c>
      <c r="Y479" s="10" t="s">
        <v>27</v>
      </c>
      <c r="Z479" s="10" t="s">
        <v>2849</v>
      </c>
      <c r="AA479" s="10" t="s">
        <v>23</v>
      </c>
      <c r="AB479" s="10" t="s">
        <v>2841</v>
      </c>
    </row>
    <row r="480" spans="1:28">
      <c r="A480" s="10" t="s">
        <v>963</v>
      </c>
      <c r="B480" s="11" t="s">
        <v>124</v>
      </c>
      <c r="C480" s="11" t="s">
        <v>437</v>
      </c>
      <c r="D480" s="12">
        <v>28</v>
      </c>
      <c r="E480" s="11" t="s">
        <v>452</v>
      </c>
      <c r="F480" s="14" t="str">
        <f>_xlfn.XLOOKUP(E480,Profession!$B$2:$B$15,Profession!$A$2:$A$15,"Not Found")</f>
        <v>P005</v>
      </c>
      <c r="G480" s="11" t="s">
        <v>453</v>
      </c>
      <c r="H480" s="10" t="str">
        <f>_xlfn.XLOOKUP(G480,Region!$B$2:$B$16,Region!$A$2:$A$16,"Not Found")</f>
        <v>R005</v>
      </c>
      <c r="I480" s="10" t="s">
        <v>420</v>
      </c>
      <c r="J480" s="10" t="s">
        <v>420</v>
      </c>
      <c r="K480" s="10" t="s">
        <v>434</v>
      </c>
      <c r="L480" s="10" t="s">
        <v>1058</v>
      </c>
      <c r="M480" s="16" t="s">
        <v>422</v>
      </c>
      <c r="N480" s="10" t="s">
        <v>138</v>
      </c>
      <c r="O480" s="16" t="s">
        <v>433</v>
      </c>
      <c r="P480" s="11" t="s">
        <v>422</v>
      </c>
      <c r="Q480" s="11" t="s">
        <v>434</v>
      </c>
      <c r="R480" s="11" t="s">
        <v>1068</v>
      </c>
      <c r="S480" s="10" t="s">
        <v>62</v>
      </c>
      <c r="T480" s="81">
        <v>7</v>
      </c>
      <c r="U480" s="10" t="s">
        <v>2272</v>
      </c>
      <c r="V480" s="10" t="s">
        <v>450</v>
      </c>
      <c r="X480" s="15">
        <v>5</v>
      </c>
      <c r="Y480" s="10" t="s">
        <v>40</v>
      </c>
      <c r="Z480" s="10" t="s">
        <v>2280</v>
      </c>
      <c r="AA480" s="10" t="s">
        <v>37</v>
      </c>
      <c r="AB480" s="10" t="s">
        <v>24</v>
      </c>
    </row>
    <row r="481" spans="1:28">
      <c r="A481" s="10" t="s">
        <v>964</v>
      </c>
      <c r="B481" s="11" t="s">
        <v>301</v>
      </c>
      <c r="C481" s="11" t="s">
        <v>437</v>
      </c>
      <c r="D481" s="12">
        <v>29</v>
      </c>
      <c r="E481" s="11" t="s">
        <v>465</v>
      </c>
      <c r="F481" s="14" t="str">
        <f>_xlfn.XLOOKUP(E481,Profession!$B$2:$B$15,Profession!$A$2:$A$15,"Not Found")</f>
        <v>P010</v>
      </c>
      <c r="G481" s="11" t="s">
        <v>467</v>
      </c>
      <c r="H481" s="10" t="str">
        <f>_xlfn.XLOOKUP(G481,Region!$B$2:$B$16,Region!$A$2:$A$16,"Not Found")</f>
        <v>R009</v>
      </c>
      <c r="I481" s="10" t="s">
        <v>420</v>
      </c>
      <c r="J481" s="10" t="s">
        <v>420</v>
      </c>
      <c r="K481" s="10" t="s">
        <v>434</v>
      </c>
      <c r="L481" s="10" t="s">
        <v>1058</v>
      </c>
      <c r="M481" s="16" t="s">
        <v>422</v>
      </c>
      <c r="N481" s="10" t="s">
        <v>105</v>
      </c>
      <c r="O481" s="16" t="s">
        <v>444</v>
      </c>
      <c r="P481" s="11" t="s">
        <v>422</v>
      </c>
      <c r="Q481" s="11" t="s">
        <v>420</v>
      </c>
      <c r="R481" s="11" t="s">
        <v>1070</v>
      </c>
      <c r="S481" s="10" t="s">
        <v>62</v>
      </c>
      <c r="T481" s="81">
        <v>6</v>
      </c>
      <c r="U481" s="10" t="s">
        <v>420</v>
      </c>
      <c r="V481" s="10" t="s">
        <v>2277</v>
      </c>
      <c r="X481" s="15">
        <v>4</v>
      </c>
      <c r="Y481" s="10" t="s">
        <v>56</v>
      </c>
      <c r="Z481" s="10" t="s">
        <v>2849</v>
      </c>
      <c r="AA481" s="10" t="s">
        <v>23</v>
      </c>
      <c r="AB481" s="10" t="s">
        <v>2843</v>
      </c>
    </row>
    <row r="482" spans="1:28">
      <c r="A482" s="10" t="s">
        <v>965</v>
      </c>
      <c r="B482" s="11" t="s">
        <v>131</v>
      </c>
      <c r="C482" s="11" t="s">
        <v>437</v>
      </c>
      <c r="D482" s="12">
        <v>30</v>
      </c>
      <c r="E482" s="11" t="s">
        <v>448</v>
      </c>
      <c r="F482" s="14" t="str">
        <f>_xlfn.XLOOKUP(E482,Profession!$B$2:$B$15,Profession!$A$2:$A$15,"Not Found")</f>
        <v>P004</v>
      </c>
      <c r="G482" s="11" t="s">
        <v>1111</v>
      </c>
      <c r="H482" s="10" t="str">
        <f>_xlfn.XLOOKUP(G482,Region!$B$2:$B$16,Region!$A$2:$A$16,"Not Found")</f>
        <v>R004</v>
      </c>
      <c r="I482" s="10" t="s">
        <v>420</v>
      </c>
      <c r="J482" s="10" t="s">
        <v>420</v>
      </c>
      <c r="K482" s="10" t="s">
        <v>431</v>
      </c>
      <c r="L482" s="10" t="s">
        <v>1057</v>
      </c>
      <c r="M482" s="16" t="s">
        <v>432</v>
      </c>
      <c r="N482" s="10" t="s">
        <v>138</v>
      </c>
      <c r="O482" s="16" t="s">
        <v>444</v>
      </c>
      <c r="P482" s="11" t="s">
        <v>422</v>
      </c>
      <c r="Q482" s="11" t="s">
        <v>420</v>
      </c>
      <c r="R482" s="11" t="s">
        <v>1070</v>
      </c>
      <c r="S482" s="10" t="s">
        <v>62</v>
      </c>
      <c r="T482" s="81">
        <v>8</v>
      </c>
      <c r="U482" s="10" t="s">
        <v>420</v>
      </c>
      <c r="V482" s="10" t="s">
        <v>450</v>
      </c>
      <c r="X482" s="15">
        <v>4</v>
      </c>
      <c r="Y482" s="10" t="s">
        <v>56</v>
      </c>
      <c r="Z482" s="10" t="s">
        <v>2849</v>
      </c>
      <c r="AA482" s="10" t="s">
        <v>23</v>
      </c>
      <c r="AB482" s="10" t="s">
        <v>46</v>
      </c>
    </row>
    <row r="483" spans="1:28">
      <c r="A483" s="10" t="s">
        <v>966</v>
      </c>
      <c r="B483" s="11" t="s">
        <v>93</v>
      </c>
      <c r="C483" s="11" t="s">
        <v>437</v>
      </c>
      <c r="D483" s="12">
        <v>31</v>
      </c>
      <c r="E483" s="11" t="s">
        <v>448</v>
      </c>
      <c r="F483" s="14" t="str">
        <f>_xlfn.XLOOKUP(E483,Profession!$B$2:$B$15,Profession!$A$2:$A$15,"Not Found")</f>
        <v>P004</v>
      </c>
      <c r="G483" s="11" t="s">
        <v>1111</v>
      </c>
      <c r="H483" s="10" t="str">
        <f>_xlfn.XLOOKUP(G483,Region!$B$2:$B$16,Region!$A$2:$A$16,"Not Found")</f>
        <v>R004</v>
      </c>
      <c r="I483" s="10" t="s">
        <v>420</v>
      </c>
      <c r="J483" s="10" t="s">
        <v>420</v>
      </c>
      <c r="K483" s="10" t="s">
        <v>431</v>
      </c>
      <c r="L483" s="10" t="s">
        <v>1058</v>
      </c>
      <c r="M483" s="16" t="s">
        <v>432</v>
      </c>
      <c r="N483" s="10" t="s">
        <v>138</v>
      </c>
      <c r="O483" s="16" t="s">
        <v>450</v>
      </c>
      <c r="P483" s="11" t="s">
        <v>422</v>
      </c>
      <c r="Q483" s="11" t="s">
        <v>420</v>
      </c>
      <c r="R483" s="11" t="s">
        <v>107</v>
      </c>
      <c r="S483" s="10" t="s">
        <v>62</v>
      </c>
      <c r="T483" s="81">
        <v>7</v>
      </c>
      <c r="U483" s="10" t="s">
        <v>420</v>
      </c>
      <c r="V483" s="10" t="s">
        <v>450</v>
      </c>
      <c r="X483" s="15">
        <v>4</v>
      </c>
      <c r="Y483" s="10" t="s">
        <v>56</v>
      </c>
      <c r="Z483" s="10" t="s">
        <v>2849</v>
      </c>
      <c r="AA483" s="10" t="s">
        <v>23</v>
      </c>
      <c r="AB483" s="10" t="s">
        <v>46</v>
      </c>
    </row>
    <row r="484" spans="1:28">
      <c r="A484" s="10" t="s">
        <v>967</v>
      </c>
      <c r="B484" s="11" t="s">
        <v>156</v>
      </c>
      <c r="C484" s="11" t="s">
        <v>437</v>
      </c>
      <c r="D484" s="12">
        <v>32</v>
      </c>
      <c r="E484" s="11" t="s">
        <v>465</v>
      </c>
      <c r="F484" s="14" t="str">
        <f>_xlfn.XLOOKUP(E484,Profession!$B$2:$B$15,Profession!$A$2:$A$15,"Not Found")</f>
        <v>P010</v>
      </c>
      <c r="G484" s="11" t="s">
        <v>419</v>
      </c>
      <c r="H484" s="10" t="str">
        <f>_xlfn.XLOOKUP(G484,Region!$B$2:$B$16,Region!$A$2:$A$16,"Not Found")</f>
        <v>R001</v>
      </c>
      <c r="I484" s="10" t="s">
        <v>423</v>
      </c>
      <c r="J484" s="10" t="s">
        <v>423</v>
      </c>
      <c r="K484" s="10" t="s">
        <v>434</v>
      </c>
      <c r="L484" s="10" t="s">
        <v>1058</v>
      </c>
      <c r="M484" s="16" t="s">
        <v>422</v>
      </c>
      <c r="N484" s="10" t="s">
        <v>138</v>
      </c>
      <c r="O484" s="16" t="s">
        <v>444</v>
      </c>
      <c r="P484" s="11" t="s">
        <v>422</v>
      </c>
      <c r="Q484" s="11" t="s">
        <v>420</v>
      </c>
      <c r="R484" s="11" t="s">
        <v>1065</v>
      </c>
      <c r="S484" s="10" t="s">
        <v>62</v>
      </c>
      <c r="T484" s="81">
        <v>8</v>
      </c>
      <c r="U484" s="10" t="s">
        <v>420</v>
      </c>
      <c r="V484" s="10" t="s">
        <v>450</v>
      </c>
      <c r="X484" s="15">
        <v>7</v>
      </c>
      <c r="Y484" s="10" t="s">
        <v>100</v>
      </c>
      <c r="Z484" s="10" t="s">
        <v>2849</v>
      </c>
      <c r="AA484" s="10" t="s">
        <v>23</v>
      </c>
      <c r="AB484" s="10" t="s">
        <v>2843</v>
      </c>
    </row>
    <row r="485" spans="1:28">
      <c r="A485" s="10" t="s">
        <v>968</v>
      </c>
      <c r="B485" s="11" t="s">
        <v>157</v>
      </c>
      <c r="C485" s="11" t="s">
        <v>437</v>
      </c>
      <c r="D485" s="12">
        <v>33</v>
      </c>
      <c r="E485" s="11" t="s">
        <v>462</v>
      </c>
      <c r="F485" s="14" t="str">
        <f>_xlfn.XLOOKUP(E485,Profession!$B$2:$B$15,Profession!$A$2:$A$15,"Not Found")</f>
        <v>P008</v>
      </c>
      <c r="G485" s="11" t="s">
        <v>464</v>
      </c>
      <c r="H485" s="10" t="str">
        <f>_xlfn.XLOOKUP(G485,Region!$B$2:$B$16,Region!$A$2:$A$16,"Not Found")</f>
        <v>R007</v>
      </c>
      <c r="I485" s="10" t="s">
        <v>423</v>
      </c>
      <c r="J485" s="10" t="s">
        <v>423</v>
      </c>
      <c r="K485" s="10" t="s">
        <v>435</v>
      </c>
      <c r="L485" s="10" t="s">
        <v>1058</v>
      </c>
      <c r="M485" s="16" t="s">
        <v>436</v>
      </c>
      <c r="N485" s="10" t="s">
        <v>138</v>
      </c>
      <c r="O485" s="16" t="s">
        <v>450</v>
      </c>
      <c r="P485" s="11" t="s">
        <v>422</v>
      </c>
      <c r="Q485" s="11" t="s">
        <v>420</v>
      </c>
      <c r="R485" s="11" t="s">
        <v>107</v>
      </c>
      <c r="S485" s="10" t="s">
        <v>62</v>
      </c>
      <c r="T485" s="81">
        <v>5</v>
      </c>
      <c r="U485" s="10" t="s">
        <v>2275</v>
      </c>
      <c r="V485" s="10" t="s">
        <v>450</v>
      </c>
      <c r="X485" s="15">
        <v>5</v>
      </c>
      <c r="Y485" s="10" t="s">
        <v>54</v>
      </c>
      <c r="Z485" s="10" t="s">
        <v>2849</v>
      </c>
      <c r="AA485" s="10" t="s">
        <v>23</v>
      </c>
      <c r="AB485" s="10" t="s">
        <v>2844</v>
      </c>
    </row>
    <row r="486" spans="1:28">
      <c r="A486" s="10" t="s">
        <v>969</v>
      </c>
      <c r="B486" s="11" t="s">
        <v>158</v>
      </c>
      <c r="C486" s="11" t="s">
        <v>437</v>
      </c>
      <c r="D486" s="12">
        <v>34</v>
      </c>
      <c r="E486" s="11" t="s">
        <v>473</v>
      </c>
      <c r="F486" s="14" t="str">
        <f>_xlfn.XLOOKUP(E486,Profession!$B$2:$B$15,Profession!$A$2:$A$15,"Not Found")</f>
        <v>P012</v>
      </c>
      <c r="G486" s="11" t="s">
        <v>419</v>
      </c>
      <c r="H486" s="10" t="str">
        <f>_xlfn.XLOOKUP(G486,Region!$B$2:$B$16,Region!$A$2:$A$16,"Not Found")</f>
        <v>R001</v>
      </c>
      <c r="I486" s="10" t="s">
        <v>423</v>
      </c>
      <c r="J486" s="10" t="s">
        <v>423</v>
      </c>
      <c r="K486" s="10" t="s">
        <v>434</v>
      </c>
      <c r="L486" s="10" t="s">
        <v>1058</v>
      </c>
      <c r="M486" s="16" t="s">
        <v>432</v>
      </c>
      <c r="N486" s="10" t="s">
        <v>138</v>
      </c>
      <c r="O486" s="16" t="s">
        <v>444</v>
      </c>
      <c r="P486" s="11" t="s">
        <v>422</v>
      </c>
      <c r="Q486" s="11" t="s">
        <v>420</v>
      </c>
      <c r="R486" s="11" t="s">
        <v>107</v>
      </c>
      <c r="S486" s="10" t="s">
        <v>62</v>
      </c>
      <c r="T486" s="81">
        <v>7</v>
      </c>
      <c r="U486" s="10" t="s">
        <v>420</v>
      </c>
      <c r="V486" s="10" t="s">
        <v>450</v>
      </c>
      <c r="X486" s="15">
        <v>5</v>
      </c>
      <c r="Y486" s="10" t="s">
        <v>87</v>
      </c>
      <c r="Z486" s="10" t="s">
        <v>2848</v>
      </c>
      <c r="AA486" s="10" t="s">
        <v>23</v>
      </c>
      <c r="AB486" s="10" t="s">
        <v>149</v>
      </c>
    </row>
    <row r="487" spans="1:28">
      <c r="A487" s="10" t="s">
        <v>970</v>
      </c>
      <c r="B487" s="11" t="s">
        <v>159</v>
      </c>
      <c r="C487" s="11" t="s">
        <v>437</v>
      </c>
      <c r="D487" s="12">
        <v>35</v>
      </c>
      <c r="E487" s="11" t="s">
        <v>452</v>
      </c>
      <c r="F487" s="14" t="str">
        <f>_xlfn.XLOOKUP(E487,Profession!$B$2:$B$15,Profession!$A$2:$A$15,"Not Found")</f>
        <v>P005</v>
      </c>
      <c r="G487" s="11" t="s">
        <v>455</v>
      </c>
      <c r="H487" s="10" t="str">
        <f>_xlfn.XLOOKUP(G487,Region!$B$2:$B$16,Region!$A$2:$A$16,"Not Found")</f>
        <v>R006</v>
      </c>
      <c r="I487" s="10" t="s">
        <v>420</v>
      </c>
      <c r="J487" s="10" t="s">
        <v>420</v>
      </c>
      <c r="K487" s="10" t="s">
        <v>434</v>
      </c>
      <c r="L487" s="10" t="s">
        <v>1058</v>
      </c>
      <c r="M487" s="16" t="s">
        <v>422</v>
      </c>
      <c r="N487" s="10" t="s">
        <v>138</v>
      </c>
      <c r="O487" s="16" t="s">
        <v>436</v>
      </c>
      <c r="P487" s="11" t="s">
        <v>422</v>
      </c>
      <c r="Q487" s="11" t="s">
        <v>435</v>
      </c>
      <c r="R487" s="11" t="s">
        <v>1071</v>
      </c>
      <c r="S487" s="10" t="s">
        <v>62</v>
      </c>
      <c r="T487" s="81">
        <v>6</v>
      </c>
      <c r="U487" s="10" t="s">
        <v>420</v>
      </c>
      <c r="V487" s="10" t="s">
        <v>2277</v>
      </c>
      <c r="X487" s="15">
        <v>8</v>
      </c>
      <c r="Y487" s="10" t="s">
        <v>42</v>
      </c>
      <c r="Z487" s="10" t="s">
        <v>2849</v>
      </c>
      <c r="AA487" s="10" t="s">
        <v>43</v>
      </c>
      <c r="AB487" s="10" t="s">
        <v>46</v>
      </c>
    </row>
    <row r="488" spans="1:28">
      <c r="A488" s="10" t="s">
        <v>971</v>
      </c>
      <c r="B488" s="11" t="s">
        <v>161</v>
      </c>
      <c r="C488" s="11" t="s">
        <v>437</v>
      </c>
      <c r="D488" s="12">
        <v>36</v>
      </c>
      <c r="E488" s="11" t="s">
        <v>452</v>
      </c>
      <c r="F488" s="14" t="str">
        <f>_xlfn.XLOOKUP(E488,Profession!$B$2:$B$15,Profession!$A$2:$A$15,"Not Found")</f>
        <v>P005</v>
      </c>
      <c r="G488" s="11" t="s">
        <v>1115</v>
      </c>
      <c r="H488" s="10" t="str">
        <f>_xlfn.XLOOKUP(G488,Region!$B$2:$B$16,Region!$A$2:$A$16,"Not Found")</f>
        <v>R002</v>
      </c>
      <c r="I488" s="10" t="s">
        <v>420</v>
      </c>
      <c r="J488" s="10" t="s">
        <v>420</v>
      </c>
      <c r="K488" s="10" t="s">
        <v>435</v>
      </c>
      <c r="L488" s="10" t="s">
        <v>1058</v>
      </c>
      <c r="M488" s="16" t="s">
        <v>429</v>
      </c>
      <c r="N488" s="10" t="s">
        <v>106</v>
      </c>
      <c r="O488" s="16" t="s">
        <v>433</v>
      </c>
      <c r="P488" s="11" t="s">
        <v>422</v>
      </c>
      <c r="Q488" s="11" t="s">
        <v>420</v>
      </c>
      <c r="R488" s="11" t="s">
        <v>1072</v>
      </c>
      <c r="S488" s="10" t="s">
        <v>2885</v>
      </c>
      <c r="T488" s="81">
        <v>6</v>
      </c>
      <c r="U488" s="10" t="s">
        <v>2273</v>
      </c>
      <c r="V488" s="10" t="s">
        <v>2277</v>
      </c>
      <c r="X488" s="15">
        <v>3</v>
      </c>
      <c r="Y488" s="10" t="s">
        <v>45</v>
      </c>
      <c r="Z488" s="10" t="s">
        <v>2849</v>
      </c>
      <c r="AA488" s="10" t="s">
        <v>37</v>
      </c>
      <c r="AB488" s="10" t="s">
        <v>149</v>
      </c>
    </row>
    <row r="489" spans="1:28">
      <c r="A489" s="10" t="s">
        <v>972</v>
      </c>
      <c r="B489" s="11" t="s">
        <v>111</v>
      </c>
      <c r="C489" s="11" t="s">
        <v>437</v>
      </c>
      <c r="D489" s="12">
        <v>37</v>
      </c>
      <c r="E489" s="11" t="s">
        <v>442</v>
      </c>
      <c r="F489" s="14" t="str">
        <f>_xlfn.XLOOKUP(E489,Profession!$B$2:$B$15,Profession!$A$2:$A$15,"Not Found")</f>
        <v>P002</v>
      </c>
      <c r="G489" s="11" t="s">
        <v>419</v>
      </c>
      <c r="H489" s="10" t="str">
        <f>_xlfn.XLOOKUP(G489,Region!$B$2:$B$16,Region!$A$2:$A$16,"Not Found")</f>
        <v>R001</v>
      </c>
      <c r="I489" s="10" t="s">
        <v>420</v>
      </c>
      <c r="J489" s="10" t="s">
        <v>420</v>
      </c>
      <c r="K489" s="10" t="s">
        <v>426</v>
      </c>
      <c r="L489" s="10" t="s">
        <v>1058</v>
      </c>
      <c r="M489" s="16" t="s">
        <v>422</v>
      </c>
      <c r="N489" s="10" t="s">
        <v>64</v>
      </c>
      <c r="O489" s="16" t="s">
        <v>426</v>
      </c>
      <c r="P489" s="11" t="s">
        <v>1059</v>
      </c>
      <c r="Q489" s="11" t="s">
        <v>422</v>
      </c>
      <c r="R489" s="11" t="s">
        <v>1062</v>
      </c>
      <c r="S489" s="10" t="s">
        <v>2884</v>
      </c>
      <c r="T489" s="81">
        <v>6.3008333333333297</v>
      </c>
      <c r="U489" s="10" t="s">
        <v>420</v>
      </c>
      <c r="V489" s="10" t="s">
        <v>2277</v>
      </c>
      <c r="X489" s="15">
        <v>4</v>
      </c>
      <c r="Y489" s="10" t="s">
        <v>36</v>
      </c>
      <c r="Z489" s="10" t="s">
        <v>2849</v>
      </c>
      <c r="AA489" s="10" t="s">
        <v>23</v>
      </c>
      <c r="AB489" s="10" t="s">
        <v>2843</v>
      </c>
    </row>
    <row r="490" spans="1:28">
      <c r="A490" s="10" t="s">
        <v>973</v>
      </c>
      <c r="B490" s="11" t="s">
        <v>164</v>
      </c>
      <c r="C490" s="11" t="s">
        <v>437</v>
      </c>
      <c r="D490" s="12">
        <v>38</v>
      </c>
      <c r="E490" s="11" t="s">
        <v>465</v>
      </c>
      <c r="F490" s="14" t="str">
        <f>_xlfn.XLOOKUP(E490,Profession!$B$2:$B$15,Profession!$A$2:$A$15,"Not Found")</f>
        <v>P010</v>
      </c>
      <c r="G490" s="11" t="s">
        <v>108</v>
      </c>
      <c r="H490" s="10" t="str">
        <f>_xlfn.XLOOKUP(G490,Region!$B$2:$B$16,Region!$A$2:$A$16,"Not Found")</f>
        <v>R010</v>
      </c>
      <c r="I490" s="10" t="s">
        <v>420</v>
      </c>
      <c r="J490" s="10" t="s">
        <v>420</v>
      </c>
      <c r="K490" s="10" t="s">
        <v>435</v>
      </c>
      <c r="L490" s="10" t="s">
        <v>1058</v>
      </c>
      <c r="M490" s="16" t="s">
        <v>422</v>
      </c>
      <c r="N490" s="10" t="s">
        <v>102</v>
      </c>
      <c r="O490" s="16" t="s">
        <v>450</v>
      </c>
      <c r="P490" s="11" t="s">
        <v>422</v>
      </c>
      <c r="Q490" s="11" t="s">
        <v>420</v>
      </c>
      <c r="R490" s="11" t="s">
        <v>107</v>
      </c>
      <c r="S490" s="10" t="s">
        <v>62</v>
      </c>
      <c r="T490" s="81">
        <v>7</v>
      </c>
      <c r="U490" s="10" t="s">
        <v>420</v>
      </c>
      <c r="V490" s="10" t="s">
        <v>450</v>
      </c>
      <c r="X490" s="15">
        <v>7</v>
      </c>
      <c r="Y490" s="10" t="s">
        <v>19</v>
      </c>
      <c r="Z490" s="10" t="s">
        <v>2849</v>
      </c>
      <c r="AA490" s="10" t="s">
        <v>23</v>
      </c>
      <c r="AB490" s="10" t="s">
        <v>2841</v>
      </c>
    </row>
    <row r="491" spans="1:28">
      <c r="A491" s="10" t="s">
        <v>974</v>
      </c>
      <c r="B491" s="11" t="s">
        <v>165</v>
      </c>
      <c r="C491" s="11" t="s">
        <v>437</v>
      </c>
      <c r="D491" s="12">
        <v>39</v>
      </c>
      <c r="E491" s="11" t="s">
        <v>458</v>
      </c>
      <c r="F491" s="14" t="str">
        <f>_xlfn.XLOOKUP(E491,Profession!$B$2:$B$15,Profession!$A$2:$A$15,"Not Found")</f>
        <v>P006</v>
      </c>
      <c r="G491" s="11" t="s">
        <v>1115</v>
      </c>
      <c r="H491" s="10" t="str">
        <f>_xlfn.XLOOKUP(G491,Region!$B$2:$B$16,Region!$A$2:$A$16,"Not Found")</f>
        <v>R002</v>
      </c>
      <c r="I491" s="10" t="s">
        <v>420</v>
      </c>
      <c r="J491" s="10" t="s">
        <v>420</v>
      </c>
      <c r="K491" s="10" t="s">
        <v>434</v>
      </c>
      <c r="L491" s="10" t="s">
        <v>1058</v>
      </c>
      <c r="M491" s="16" t="s">
        <v>432</v>
      </c>
      <c r="N491" s="10" t="s">
        <v>138</v>
      </c>
      <c r="O491" s="16" t="s">
        <v>433</v>
      </c>
      <c r="P491" s="11" t="s">
        <v>422</v>
      </c>
      <c r="Q491" s="11" t="s">
        <v>1061</v>
      </c>
      <c r="R491" s="11" t="s">
        <v>1065</v>
      </c>
      <c r="S491" s="10" t="s">
        <v>62</v>
      </c>
      <c r="T491" s="81">
        <v>6</v>
      </c>
      <c r="U491" s="10" t="s">
        <v>2274</v>
      </c>
      <c r="V491" s="10" t="s">
        <v>450</v>
      </c>
      <c r="X491" s="15">
        <v>3</v>
      </c>
      <c r="Y491" s="10" t="s">
        <v>49</v>
      </c>
      <c r="Z491" s="10" t="s">
        <v>2849</v>
      </c>
      <c r="AA491" s="10" t="s">
        <v>37</v>
      </c>
      <c r="AB491" s="10" t="s">
        <v>46</v>
      </c>
    </row>
    <row r="492" spans="1:28">
      <c r="A492" s="10" t="s">
        <v>975</v>
      </c>
      <c r="B492" s="11" t="s">
        <v>117</v>
      </c>
      <c r="C492" s="11" t="s">
        <v>437</v>
      </c>
      <c r="D492" s="12">
        <v>40</v>
      </c>
      <c r="E492" s="11" t="s">
        <v>1054</v>
      </c>
      <c r="F492" s="14" t="str">
        <f>_xlfn.XLOOKUP(E492,Profession!$B$2:$B$15,Profession!$A$2:$A$15,"Not Found")</f>
        <v>P013</v>
      </c>
      <c r="G492" s="11" t="s">
        <v>1110</v>
      </c>
      <c r="H492" s="10" t="str">
        <f>_xlfn.XLOOKUP(G492,Region!$B$2:$B$16,Region!$A$2:$A$16,"Not Found")</f>
        <v>R013</v>
      </c>
      <c r="I492" s="10" t="s">
        <v>420</v>
      </c>
      <c r="J492" s="10" t="s">
        <v>420</v>
      </c>
      <c r="K492" s="10" t="s">
        <v>435</v>
      </c>
      <c r="L492" s="10" t="s">
        <v>1058</v>
      </c>
      <c r="M492" s="16" t="s">
        <v>422</v>
      </c>
      <c r="N492" s="10" t="s">
        <v>64</v>
      </c>
      <c r="O492" s="16" t="s">
        <v>433</v>
      </c>
      <c r="P492" s="11" t="s">
        <v>435</v>
      </c>
      <c r="Q492" s="11" t="s">
        <v>420</v>
      </c>
      <c r="R492" s="11" t="s">
        <v>1067</v>
      </c>
      <c r="S492" s="10" t="s">
        <v>62</v>
      </c>
      <c r="T492" s="81">
        <v>6</v>
      </c>
      <c r="U492" s="10" t="s">
        <v>420</v>
      </c>
      <c r="V492" s="10" t="s">
        <v>450</v>
      </c>
      <c r="X492" s="15">
        <v>6</v>
      </c>
      <c r="Y492" s="10" t="s">
        <v>75</v>
      </c>
      <c r="Z492" s="10" t="s">
        <v>2847</v>
      </c>
      <c r="AA492" s="10" t="s">
        <v>70</v>
      </c>
      <c r="AB492" s="10" t="s">
        <v>149</v>
      </c>
    </row>
    <row r="493" spans="1:28">
      <c r="A493" s="10" t="s">
        <v>976</v>
      </c>
      <c r="B493" s="11" t="s">
        <v>167</v>
      </c>
      <c r="C493" s="11" t="s">
        <v>437</v>
      </c>
      <c r="D493" s="12">
        <v>41</v>
      </c>
      <c r="E493" s="11" t="s">
        <v>446</v>
      </c>
      <c r="F493" s="14" t="str">
        <f>_xlfn.XLOOKUP(E493,Profession!$B$2:$B$15,Profession!$A$2:$A$15,"Not Found")</f>
        <v>P003</v>
      </c>
      <c r="G493" s="11" t="s">
        <v>104</v>
      </c>
      <c r="H493" s="10" t="str">
        <f>_xlfn.XLOOKUP(G493,Region!$B$2:$B$16,Region!$A$2:$A$16,"Not Found")</f>
        <v>R003</v>
      </c>
      <c r="I493" s="10" t="s">
        <v>420</v>
      </c>
      <c r="J493" s="10" t="s">
        <v>420</v>
      </c>
      <c r="K493" s="10" t="s">
        <v>435</v>
      </c>
      <c r="L493" s="10" t="s">
        <v>1058</v>
      </c>
      <c r="M493" s="16" t="s">
        <v>422</v>
      </c>
      <c r="N493" s="10" t="s">
        <v>138</v>
      </c>
      <c r="O493" s="16" t="s">
        <v>433</v>
      </c>
      <c r="P493" s="11" t="s">
        <v>422</v>
      </c>
      <c r="Q493" s="11" t="s">
        <v>420</v>
      </c>
      <c r="R493" s="11" t="s">
        <v>1070</v>
      </c>
      <c r="S493" s="10" t="s">
        <v>62</v>
      </c>
      <c r="T493" s="81">
        <v>8</v>
      </c>
      <c r="U493" s="10" t="s">
        <v>420</v>
      </c>
      <c r="V493" s="10" t="s">
        <v>2277</v>
      </c>
      <c r="X493" s="15">
        <v>5</v>
      </c>
      <c r="Y493" s="10" t="s">
        <v>19</v>
      </c>
      <c r="Z493" s="10" t="s">
        <v>2849</v>
      </c>
      <c r="AA493" s="10" t="s">
        <v>23</v>
      </c>
      <c r="AB493" s="10" t="s">
        <v>28</v>
      </c>
    </row>
    <row r="494" spans="1:28">
      <c r="A494" s="10" t="s">
        <v>977</v>
      </c>
      <c r="B494" s="11" t="s">
        <v>129</v>
      </c>
      <c r="C494" s="11" t="s">
        <v>437</v>
      </c>
      <c r="D494" s="12">
        <v>42</v>
      </c>
      <c r="E494" s="11" t="s">
        <v>1088</v>
      </c>
      <c r="F494" s="14" t="str">
        <f>_xlfn.XLOOKUP(E494,Profession!$B$2:$B$15,Profession!$A$2:$A$15,"Not Found")</f>
        <v>P014</v>
      </c>
      <c r="G494" s="11" t="s">
        <v>1114</v>
      </c>
      <c r="H494" s="10" t="str">
        <f>_xlfn.XLOOKUP(G494,Region!$B$2:$B$16,Region!$A$2:$A$16,"Not Found")</f>
        <v>R014</v>
      </c>
      <c r="I494" s="10" t="s">
        <v>420</v>
      </c>
      <c r="J494" s="10" t="s">
        <v>420</v>
      </c>
      <c r="K494" s="10" t="s">
        <v>435</v>
      </c>
      <c r="L494" s="10" t="s">
        <v>1058</v>
      </c>
      <c r="M494" s="16" t="s">
        <v>422</v>
      </c>
      <c r="N494" s="10" t="s">
        <v>138</v>
      </c>
      <c r="O494" s="16" t="s">
        <v>433</v>
      </c>
      <c r="P494" s="11" t="s">
        <v>422</v>
      </c>
      <c r="Q494" s="11" t="s">
        <v>1061</v>
      </c>
      <c r="R494" s="11" t="s">
        <v>1067</v>
      </c>
      <c r="S494" s="10" t="s">
        <v>62</v>
      </c>
      <c r="T494" s="81">
        <v>6</v>
      </c>
      <c r="U494" s="10" t="s">
        <v>420</v>
      </c>
      <c r="V494" s="10" t="s">
        <v>450</v>
      </c>
      <c r="X494" s="15">
        <v>6</v>
      </c>
      <c r="Y494" s="10" t="s">
        <v>77</v>
      </c>
      <c r="Z494" s="10" t="s">
        <v>2282</v>
      </c>
      <c r="AA494" s="10" t="s">
        <v>23</v>
      </c>
      <c r="AB494" s="10" t="s">
        <v>46</v>
      </c>
    </row>
    <row r="495" spans="1:28">
      <c r="A495" s="10" t="s">
        <v>978</v>
      </c>
      <c r="B495" s="11" t="s">
        <v>134</v>
      </c>
      <c r="C495" s="11" t="s">
        <v>437</v>
      </c>
      <c r="D495" s="12">
        <v>43</v>
      </c>
      <c r="E495" s="11" t="s">
        <v>1088</v>
      </c>
      <c r="F495" s="14" t="str">
        <f>_xlfn.XLOOKUP(E495,Profession!$B$2:$B$15,Profession!$A$2:$A$15,"Not Found")</f>
        <v>P014</v>
      </c>
      <c r="G495" s="11" t="s">
        <v>477</v>
      </c>
      <c r="H495" s="10" t="str">
        <f>_xlfn.XLOOKUP(G495,Region!$B$2:$B$16,Region!$A$2:$A$16,"Not Found")</f>
        <v>R015</v>
      </c>
      <c r="I495" s="10" t="s">
        <v>420</v>
      </c>
      <c r="J495" s="10" t="s">
        <v>420</v>
      </c>
      <c r="K495" s="10" t="s">
        <v>435</v>
      </c>
      <c r="L495" s="10" t="s">
        <v>1058</v>
      </c>
      <c r="M495" s="16" t="s">
        <v>422</v>
      </c>
      <c r="N495" s="10" t="s">
        <v>138</v>
      </c>
      <c r="O495" s="16" t="s">
        <v>433</v>
      </c>
      <c r="P495" s="11" t="s">
        <v>435</v>
      </c>
      <c r="Q495" s="11" t="s">
        <v>1061</v>
      </c>
      <c r="R495" s="11" t="s">
        <v>1068</v>
      </c>
      <c r="S495" s="10" t="s">
        <v>62</v>
      </c>
      <c r="T495" s="81">
        <v>8</v>
      </c>
      <c r="U495" s="10" t="s">
        <v>420</v>
      </c>
      <c r="V495" s="10" t="s">
        <v>450</v>
      </c>
      <c r="X495" s="15">
        <v>6</v>
      </c>
      <c r="Y495" s="10" t="s">
        <v>36</v>
      </c>
      <c r="Z495" s="10" t="s">
        <v>2849</v>
      </c>
      <c r="AA495" s="10" t="s">
        <v>23</v>
      </c>
      <c r="AB495" s="10" t="s">
        <v>2841</v>
      </c>
    </row>
    <row r="496" spans="1:28">
      <c r="A496" s="10" t="s">
        <v>979</v>
      </c>
      <c r="B496" s="11" t="s">
        <v>120</v>
      </c>
      <c r="C496" s="11" t="s">
        <v>437</v>
      </c>
      <c r="D496" s="12">
        <v>20</v>
      </c>
      <c r="E496" s="11" t="s">
        <v>418</v>
      </c>
      <c r="F496" s="14" t="str">
        <f>_xlfn.XLOOKUP(E496,Profession!$B$2:$B$15,Profession!$A$2:$A$15,"Not Found")</f>
        <v>P001</v>
      </c>
      <c r="G496" s="11" t="s">
        <v>419</v>
      </c>
      <c r="H496" s="10" t="str">
        <f>_xlfn.XLOOKUP(G496,Region!$B$2:$B$16,Region!$A$2:$A$16,"Not Found")</f>
        <v>R001</v>
      </c>
      <c r="I496" s="10" t="s">
        <v>420</v>
      </c>
      <c r="J496" s="10" t="s">
        <v>420</v>
      </c>
      <c r="K496" s="10" t="s">
        <v>435</v>
      </c>
      <c r="L496" s="10" t="s">
        <v>1057</v>
      </c>
      <c r="M496" s="16" t="s">
        <v>422</v>
      </c>
      <c r="N496" s="10" t="s">
        <v>138</v>
      </c>
      <c r="O496" s="16" t="s">
        <v>423</v>
      </c>
      <c r="P496" s="11" t="s">
        <v>1059</v>
      </c>
      <c r="Q496" s="11" t="s">
        <v>422</v>
      </c>
      <c r="R496" s="11" t="s">
        <v>1062</v>
      </c>
      <c r="S496" s="10" t="s">
        <v>2884</v>
      </c>
      <c r="T496" s="81">
        <v>7</v>
      </c>
      <c r="U496" s="10" t="s">
        <v>420</v>
      </c>
      <c r="V496" s="10" t="s">
        <v>2278</v>
      </c>
      <c r="X496" s="15">
        <v>3</v>
      </c>
      <c r="Y496" s="10" t="s">
        <v>27</v>
      </c>
      <c r="Z496" s="10" t="s">
        <v>2849</v>
      </c>
      <c r="AA496" s="10" t="s">
        <v>23</v>
      </c>
      <c r="AB496" s="10" t="s">
        <v>24</v>
      </c>
    </row>
    <row r="497" spans="1:28">
      <c r="A497" s="10" t="s">
        <v>980</v>
      </c>
      <c r="B497" s="11" t="s">
        <v>88</v>
      </c>
      <c r="C497" s="11" t="s">
        <v>437</v>
      </c>
      <c r="D497" s="12">
        <v>21</v>
      </c>
      <c r="E497" s="11" t="s">
        <v>465</v>
      </c>
      <c r="F497" s="14" t="str">
        <f>_xlfn.XLOOKUP(E497,Profession!$B$2:$B$15,Profession!$A$2:$A$15,"Not Found")</f>
        <v>P010</v>
      </c>
      <c r="G497" s="11" t="s">
        <v>1115</v>
      </c>
      <c r="H497" s="10" t="str">
        <f>_xlfn.XLOOKUP(G497,Region!$B$2:$B$16,Region!$A$2:$A$16,"Not Found")</f>
        <v>R002</v>
      </c>
      <c r="I497" s="10" t="s">
        <v>420</v>
      </c>
      <c r="J497" s="10" t="s">
        <v>420</v>
      </c>
      <c r="K497" s="10" t="s">
        <v>421</v>
      </c>
      <c r="L497" s="10" t="s">
        <v>1058</v>
      </c>
      <c r="M497" s="16" t="s">
        <v>422</v>
      </c>
      <c r="N497" s="10" t="s">
        <v>26</v>
      </c>
      <c r="O497" s="16" t="s">
        <v>450</v>
      </c>
      <c r="P497" s="11" t="s">
        <v>422</v>
      </c>
      <c r="Q497" s="11" t="s">
        <v>420</v>
      </c>
      <c r="R497" s="11" t="s">
        <v>1065</v>
      </c>
      <c r="S497" s="10" t="s">
        <v>62</v>
      </c>
      <c r="T497" s="81">
        <v>8</v>
      </c>
      <c r="U497" s="10" t="s">
        <v>420</v>
      </c>
      <c r="V497" s="10" t="s">
        <v>450</v>
      </c>
      <c r="X497" s="15">
        <v>4</v>
      </c>
      <c r="Y497" s="10" t="s">
        <v>56</v>
      </c>
      <c r="Z497" s="10" t="s">
        <v>2849</v>
      </c>
      <c r="AA497" s="10" t="s">
        <v>23</v>
      </c>
      <c r="AB497" s="10" t="s">
        <v>2843</v>
      </c>
    </row>
    <row r="498" spans="1:28">
      <c r="A498" s="10" t="s">
        <v>981</v>
      </c>
      <c r="B498" s="11" t="s">
        <v>318</v>
      </c>
      <c r="C498" s="11" t="s">
        <v>437</v>
      </c>
      <c r="D498" s="12">
        <v>22</v>
      </c>
      <c r="E498" s="11" t="s">
        <v>442</v>
      </c>
      <c r="F498" s="14" t="str">
        <f>_xlfn.XLOOKUP(E498,Profession!$B$2:$B$15,Profession!$A$2:$A$15,"Not Found")</f>
        <v>P002</v>
      </c>
      <c r="G498" s="11" t="s">
        <v>419</v>
      </c>
      <c r="H498" s="10" t="str">
        <f>_xlfn.XLOOKUP(G498,Region!$B$2:$B$16,Region!$A$2:$A$16,"Not Found")</f>
        <v>R001</v>
      </c>
      <c r="I498" s="10" t="s">
        <v>420</v>
      </c>
      <c r="J498" s="10" t="s">
        <v>420</v>
      </c>
      <c r="K498" s="10" t="s">
        <v>435</v>
      </c>
      <c r="L498" s="10" t="s">
        <v>1058</v>
      </c>
      <c r="M498" s="16" t="s">
        <v>436</v>
      </c>
      <c r="N498" s="10" t="s">
        <v>138</v>
      </c>
      <c r="O498" s="16" t="s">
        <v>444</v>
      </c>
      <c r="P498" s="11" t="s">
        <v>422</v>
      </c>
      <c r="Q498" s="11" t="s">
        <v>1061</v>
      </c>
      <c r="R498" s="11" t="s">
        <v>1068</v>
      </c>
      <c r="S498" s="10" t="s">
        <v>62</v>
      </c>
      <c r="T498" s="81">
        <v>6</v>
      </c>
      <c r="U498" s="10" t="s">
        <v>420</v>
      </c>
      <c r="V498" s="10" t="s">
        <v>2277</v>
      </c>
      <c r="X498" s="15">
        <v>6</v>
      </c>
      <c r="Y498" s="10" t="s">
        <v>100</v>
      </c>
      <c r="Z498" s="10" t="s">
        <v>2849</v>
      </c>
      <c r="AA498" s="10" t="s">
        <v>37</v>
      </c>
      <c r="AB498" s="10" t="s">
        <v>2844</v>
      </c>
    </row>
    <row r="499" spans="1:28">
      <c r="A499" s="10" t="s">
        <v>982</v>
      </c>
      <c r="B499" s="11" t="s">
        <v>172</v>
      </c>
      <c r="C499" s="11" t="s">
        <v>437</v>
      </c>
      <c r="D499" s="12">
        <v>23</v>
      </c>
      <c r="E499" s="11" t="s">
        <v>462</v>
      </c>
      <c r="F499" s="14" t="str">
        <f>_xlfn.XLOOKUP(E499,Profession!$B$2:$B$15,Profession!$A$2:$A$15,"Not Found")</f>
        <v>P008</v>
      </c>
      <c r="G499" s="11" t="s">
        <v>1112</v>
      </c>
      <c r="H499" s="10" t="str">
        <f>_xlfn.XLOOKUP(G499,Region!$B$2:$B$16,Region!$A$2:$A$16,"Not Found")</f>
        <v>R008</v>
      </c>
      <c r="I499" s="10" t="s">
        <v>420</v>
      </c>
      <c r="J499" s="10" t="s">
        <v>420</v>
      </c>
      <c r="K499" s="10" t="s">
        <v>431</v>
      </c>
      <c r="L499" s="10" t="s">
        <v>1058</v>
      </c>
      <c r="M499" s="16" t="s">
        <v>422</v>
      </c>
      <c r="N499" s="10" t="s">
        <v>138</v>
      </c>
      <c r="O499" s="16" t="s">
        <v>450</v>
      </c>
      <c r="P499" s="11" t="s">
        <v>422</v>
      </c>
      <c r="Q499" s="11" t="s">
        <v>420</v>
      </c>
      <c r="R499" s="11" t="s">
        <v>107</v>
      </c>
      <c r="S499" s="10" t="s">
        <v>62</v>
      </c>
      <c r="T499" s="81">
        <v>7</v>
      </c>
      <c r="U499" s="10" t="s">
        <v>420</v>
      </c>
      <c r="V499" s="10" t="s">
        <v>450</v>
      </c>
      <c r="X499" s="15">
        <v>5</v>
      </c>
      <c r="Y499" s="10" t="s">
        <v>56</v>
      </c>
      <c r="Z499" s="10" t="s">
        <v>2849</v>
      </c>
      <c r="AA499" s="10" t="s">
        <v>23</v>
      </c>
      <c r="AB499" s="10" t="s">
        <v>2843</v>
      </c>
    </row>
    <row r="500" spans="1:28">
      <c r="A500" s="10" t="s">
        <v>983</v>
      </c>
      <c r="B500" s="11" t="s">
        <v>173</v>
      </c>
      <c r="C500" s="11" t="s">
        <v>437</v>
      </c>
      <c r="D500" s="12">
        <v>24</v>
      </c>
      <c r="E500" s="11" t="s">
        <v>473</v>
      </c>
      <c r="F500" s="14" t="str">
        <f>_xlfn.XLOOKUP(E500,Profession!$B$2:$B$15,Profession!$A$2:$A$15,"Not Found")</f>
        <v>P012</v>
      </c>
      <c r="G500" s="11" t="s">
        <v>1113</v>
      </c>
      <c r="H500" s="10" t="str">
        <f>_xlfn.XLOOKUP(G500,Region!$B$2:$B$16,Region!$A$2:$A$16,"Not Found")</f>
        <v>R012</v>
      </c>
      <c r="I500" s="10" t="s">
        <v>423</v>
      </c>
      <c r="J500" s="10" t="s">
        <v>423</v>
      </c>
      <c r="K500" s="10" t="s">
        <v>435</v>
      </c>
      <c r="L500" s="10" t="s">
        <v>1058</v>
      </c>
      <c r="M500" s="16" t="s">
        <v>422</v>
      </c>
      <c r="N500" s="10" t="s">
        <v>138</v>
      </c>
      <c r="O500" s="16" t="s">
        <v>444</v>
      </c>
      <c r="P500" s="11" t="s">
        <v>422</v>
      </c>
      <c r="Q500" s="11" t="s">
        <v>1061</v>
      </c>
      <c r="R500" s="11" t="s">
        <v>107</v>
      </c>
      <c r="S500" s="10" t="s">
        <v>62</v>
      </c>
      <c r="T500" s="81">
        <v>6</v>
      </c>
      <c r="U500" s="10" t="s">
        <v>420</v>
      </c>
      <c r="V500" s="10" t="s">
        <v>2277</v>
      </c>
      <c r="X500" s="15">
        <v>6</v>
      </c>
      <c r="Y500" s="10" t="s">
        <v>22</v>
      </c>
      <c r="Z500" s="10" t="s">
        <v>2846</v>
      </c>
      <c r="AA500" s="10" t="s">
        <v>23</v>
      </c>
      <c r="AB500" s="10" t="s">
        <v>2842</v>
      </c>
    </row>
    <row r="501" spans="1:28">
      <c r="A501" s="10" t="s">
        <v>984</v>
      </c>
      <c r="B501" s="11" t="s">
        <v>174</v>
      </c>
      <c r="C501" s="11" t="s">
        <v>437</v>
      </c>
      <c r="D501" s="12">
        <v>25</v>
      </c>
      <c r="E501" s="11" t="s">
        <v>1108</v>
      </c>
      <c r="F501" s="14" t="str">
        <f>_xlfn.XLOOKUP(E501,Profession!$B$2:$B$15,Profession!$A$2:$A$15,"Not Found")</f>
        <v>P011</v>
      </c>
      <c r="G501" s="11" t="s">
        <v>419</v>
      </c>
      <c r="H501" s="10" t="str">
        <f>_xlfn.XLOOKUP(G501,Region!$B$2:$B$16,Region!$A$2:$A$16,"Not Found")</f>
        <v>R001</v>
      </c>
      <c r="I501" s="10" t="s">
        <v>420</v>
      </c>
      <c r="J501" s="10" t="s">
        <v>420</v>
      </c>
      <c r="K501" s="10" t="s">
        <v>431</v>
      </c>
      <c r="L501" s="10" t="s">
        <v>1058</v>
      </c>
      <c r="M501" s="16" t="s">
        <v>422</v>
      </c>
      <c r="N501" s="10" t="s">
        <v>138</v>
      </c>
      <c r="O501" s="16" t="s">
        <v>444</v>
      </c>
      <c r="P501" s="11" t="s">
        <v>422</v>
      </c>
      <c r="Q501" s="11" t="s">
        <v>420</v>
      </c>
      <c r="R501" s="11" t="s">
        <v>1070</v>
      </c>
      <c r="S501" s="10" t="s">
        <v>62</v>
      </c>
      <c r="T501" s="81">
        <v>6</v>
      </c>
      <c r="U501" s="10" t="s">
        <v>420</v>
      </c>
      <c r="V501" s="10" t="s">
        <v>2277</v>
      </c>
      <c r="X501" s="15">
        <v>5</v>
      </c>
      <c r="Y501" s="10" t="s">
        <v>58</v>
      </c>
      <c r="Z501" s="10" t="s">
        <v>2849</v>
      </c>
      <c r="AA501" s="10" t="s">
        <v>23</v>
      </c>
      <c r="AB501" s="10" t="s">
        <v>2843</v>
      </c>
    </row>
    <row r="502" spans="1:28">
      <c r="A502" s="10" t="s">
        <v>985</v>
      </c>
      <c r="B502" s="11" t="s">
        <v>175</v>
      </c>
      <c r="C502" s="11" t="s">
        <v>437</v>
      </c>
      <c r="D502" s="12">
        <v>26</v>
      </c>
      <c r="E502" s="11" t="s">
        <v>459</v>
      </c>
      <c r="F502" s="14" t="str">
        <f>_xlfn.XLOOKUP(E502,Profession!$B$2:$B$15,Profession!$A$2:$A$15,"Not Found")</f>
        <v>P007</v>
      </c>
      <c r="G502" s="11" t="s">
        <v>419</v>
      </c>
      <c r="H502" s="10" t="str">
        <f>_xlfn.XLOOKUP(G502,Region!$B$2:$B$16,Region!$A$2:$A$16,"Not Found")</f>
        <v>R001</v>
      </c>
      <c r="I502" s="10" t="s">
        <v>420</v>
      </c>
      <c r="J502" s="10" t="s">
        <v>420</v>
      </c>
      <c r="K502" s="10" t="s">
        <v>421</v>
      </c>
      <c r="L502" s="10" t="s">
        <v>1058</v>
      </c>
      <c r="M502" s="16" t="s">
        <v>422</v>
      </c>
      <c r="N502" s="10" t="s">
        <v>138</v>
      </c>
      <c r="O502" s="16" t="s">
        <v>444</v>
      </c>
      <c r="P502" s="11" t="s">
        <v>422</v>
      </c>
      <c r="Q502" s="11" t="s">
        <v>420</v>
      </c>
      <c r="R502" s="11" t="s">
        <v>1070</v>
      </c>
      <c r="S502" s="10" t="s">
        <v>62</v>
      </c>
      <c r="T502" s="81">
        <v>8</v>
      </c>
      <c r="U502" s="10" t="s">
        <v>420</v>
      </c>
      <c r="V502" s="10" t="s">
        <v>450</v>
      </c>
      <c r="X502" s="15">
        <v>4</v>
      </c>
      <c r="Y502" s="10" t="s">
        <v>36</v>
      </c>
      <c r="Z502" s="10" t="s">
        <v>2849</v>
      </c>
      <c r="AA502" s="10" t="s">
        <v>37</v>
      </c>
      <c r="AB502" s="10" t="s">
        <v>24</v>
      </c>
    </row>
    <row r="503" spans="1:28">
      <c r="A503" s="10" t="s">
        <v>986</v>
      </c>
      <c r="B503" s="11" t="s">
        <v>110</v>
      </c>
      <c r="C503" s="11" t="s">
        <v>437</v>
      </c>
      <c r="D503" s="12">
        <v>27</v>
      </c>
      <c r="E503" s="11" t="s">
        <v>418</v>
      </c>
      <c r="F503" s="14" t="str">
        <f>_xlfn.XLOOKUP(E503,Profession!$B$2:$B$15,Profession!$A$2:$A$15,"Not Found")</f>
        <v>P001</v>
      </c>
      <c r="G503" s="11" t="s">
        <v>1115</v>
      </c>
      <c r="H503" s="10" t="str">
        <f>_xlfn.XLOOKUP(G503,Region!$B$2:$B$16,Region!$A$2:$A$16,"Not Found")</f>
        <v>R002</v>
      </c>
      <c r="I503" s="10" t="s">
        <v>420</v>
      </c>
      <c r="J503" s="10" t="s">
        <v>420</v>
      </c>
      <c r="K503" s="10" t="s">
        <v>435</v>
      </c>
      <c r="L503" s="10" t="s">
        <v>1058</v>
      </c>
      <c r="M503" s="16" t="s">
        <v>432</v>
      </c>
      <c r="N503" s="10" t="s">
        <v>19</v>
      </c>
      <c r="O503" s="16" t="s">
        <v>433</v>
      </c>
      <c r="P503" s="11" t="s">
        <v>422</v>
      </c>
      <c r="Q503" s="11" t="s">
        <v>1061</v>
      </c>
      <c r="R503" s="11" t="s">
        <v>1065</v>
      </c>
      <c r="S503" s="10" t="s">
        <v>62</v>
      </c>
      <c r="T503" s="81">
        <v>8</v>
      </c>
      <c r="U503" s="10" t="s">
        <v>420</v>
      </c>
      <c r="V503" s="10" t="s">
        <v>2277</v>
      </c>
      <c r="X503" s="15">
        <v>5</v>
      </c>
      <c r="Y503" s="10" t="s">
        <v>27</v>
      </c>
      <c r="Z503" s="10" t="s">
        <v>2849</v>
      </c>
      <c r="AA503" s="10" t="s">
        <v>23</v>
      </c>
      <c r="AB503" s="10" t="s">
        <v>2841</v>
      </c>
    </row>
    <row r="504" spans="1:28">
      <c r="A504" s="10" t="s">
        <v>987</v>
      </c>
      <c r="B504" s="11" t="s">
        <v>85</v>
      </c>
      <c r="C504" s="11" t="s">
        <v>437</v>
      </c>
      <c r="D504" s="12">
        <v>28</v>
      </c>
      <c r="E504" s="11" t="s">
        <v>452</v>
      </c>
      <c r="F504" s="14" t="str">
        <f>_xlfn.XLOOKUP(E504,Profession!$B$2:$B$15,Profession!$A$2:$A$15,"Not Found")</f>
        <v>P005</v>
      </c>
      <c r="G504" s="11" t="s">
        <v>453</v>
      </c>
      <c r="H504" s="10" t="str">
        <f>_xlfn.XLOOKUP(G504,Region!$B$2:$B$16,Region!$A$2:$A$16,"Not Found")</f>
        <v>R005</v>
      </c>
      <c r="I504" s="10" t="s">
        <v>420</v>
      </c>
      <c r="J504" s="10" t="s">
        <v>420</v>
      </c>
      <c r="K504" s="10" t="s">
        <v>434</v>
      </c>
      <c r="L504" s="10" t="s">
        <v>1058</v>
      </c>
      <c r="M504" s="16" t="s">
        <v>422</v>
      </c>
      <c r="N504" s="10" t="s">
        <v>138</v>
      </c>
      <c r="O504" s="16" t="s">
        <v>433</v>
      </c>
      <c r="P504" s="11" t="s">
        <v>422</v>
      </c>
      <c r="Q504" s="11" t="s">
        <v>434</v>
      </c>
      <c r="R504" s="11" t="s">
        <v>1068</v>
      </c>
      <c r="S504" s="10" t="s">
        <v>62</v>
      </c>
      <c r="T504" s="81">
        <v>7</v>
      </c>
      <c r="U504" s="10" t="s">
        <v>2272</v>
      </c>
      <c r="V504" s="10" t="s">
        <v>450</v>
      </c>
      <c r="X504" s="15">
        <v>5</v>
      </c>
      <c r="Y504" s="10" t="s">
        <v>40</v>
      </c>
      <c r="Z504" s="10" t="s">
        <v>2280</v>
      </c>
      <c r="AA504" s="10" t="s">
        <v>37</v>
      </c>
      <c r="AB504" s="10" t="s">
        <v>24</v>
      </c>
    </row>
    <row r="505" spans="1:28">
      <c r="A505" s="10" t="s">
        <v>988</v>
      </c>
      <c r="B505" s="11" t="s">
        <v>177</v>
      </c>
      <c r="C505" s="11" t="s">
        <v>437</v>
      </c>
      <c r="D505" s="12">
        <v>29</v>
      </c>
      <c r="E505" s="11" t="s">
        <v>465</v>
      </c>
      <c r="F505" s="14" t="str">
        <f>_xlfn.XLOOKUP(E505,Profession!$B$2:$B$15,Profession!$A$2:$A$15,"Not Found")</f>
        <v>P010</v>
      </c>
      <c r="G505" s="11" t="s">
        <v>467</v>
      </c>
      <c r="H505" s="10" t="str">
        <f>_xlfn.XLOOKUP(G505,Region!$B$2:$B$16,Region!$A$2:$A$16,"Not Found")</f>
        <v>R009</v>
      </c>
      <c r="I505" s="10" t="s">
        <v>420</v>
      </c>
      <c r="J505" s="10" t="s">
        <v>420</v>
      </c>
      <c r="K505" s="10" t="s">
        <v>434</v>
      </c>
      <c r="L505" s="10" t="s">
        <v>1058</v>
      </c>
      <c r="M505" s="16" t="s">
        <v>422</v>
      </c>
      <c r="N505" s="10" t="s">
        <v>105</v>
      </c>
      <c r="O505" s="16" t="s">
        <v>444</v>
      </c>
      <c r="P505" s="11" t="s">
        <v>422</v>
      </c>
      <c r="Q505" s="11" t="s">
        <v>420</v>
      </c>
      <c r="R505" s="11" t="s">
        <v>1070</v>
      </c>
      <c r="S505" s="10" t="s">
        <v>62</v>
      </c>
      <c r="T505" s="81">
        <v>6</v>
      </c>
      <c r="U505" s="10" t="s">
        <v>420</v>
      </c>
      <c r="V505" s="10" t="s">
        <v>2277</v>
      </c>
      <c r="X505" s="15">
        <v>4</v>
      </c>
      <c r="Y505" s="10" t="s">
        <v>56</v>
      </c>
      <c r="Z505" s="10" t="s">
        <v>2849</v>
      </c>
      <c r="AA505" s="10" t="s">
        <v>23</v>
      </c>
      <c r="AB505" s="10" t="s">
        <v>2843</v>
      </c>
    </row>
    <row r="506" spans="1:28">
      <c r="A506" s="10" t="s">
        <v>989</v>
      </c>
      <c r="B506" s="11" t="s">
        <v>91</v>
      </c>
      <c r="C506" s="11" t="s">
        <v>437</v>
      </c>
      <c r="D506" s="12">
        <v>30</v>
      </c>
      <c r="E506" s="11" t="s">
        <v>448</v>
      </c>
      <c r="F506" s="14" t="str">
        <f>_xlfn.XLOOKUP(E506,Profession!$B$2:$B$15,Profession!$A$2:$A$15,"Not Found")</f>
        <v>P004</v>
      </c>
      <c r="G506" s="11" t="s">
        <v>1111</v>
      </c>
      <c r="H506" s="10" t="str">
        <f>_xlfn.XLOOKUP(G506,Region!$B$2:$B$16,Region!$A$2:$A$16,"Not Found")</f>
        <v>R004</v>
      </c>
      <c r="I506" s="10" t="s">
        <v>420</v>
      </c>
      <c r="J506" s="10" t="s">
        <v>420</v>
      </c>
      <c r="K506" s="10" t="s">
        <v>431</v>
      </c>
      <c r="L506" s="10" t="s">
        <v>1057</v>
      </c>
      <c r="M506" s="16" t="s">
        <v>432</v>
      </c>
      <c r="N506" s="10" t="s">
        <v>138</v>
      </c>
      <c r="O506" s="16" t="s">
        <v>444</v>
      </c>
      <c r="P506" s="11" t="s">
        <v>422</v>
      </c>
      <c r="Q506" s="11" t="s">
        <v>420</v>
      </c>
      <c r="R506" s="11" t="s">
        <v>1070</v>
      </c>
      <c r="S506" s="10" t="s">
        <v>62</v>
      </c>
      <c r="T506" s="81">
        <v>8</v>
      </c>
      <c r="U506" s="10" t="s">
        <v>420</v>
      </c>
      <c r="V506" s="10" t="s">
        <v>450</v>
      </c>
      <c r="X506" s="15">
        <v>4</v>
      </c>
      <c r="Y506" s="10" t="s">
        <v>56</v>
      </c>
      <c r="Z506" s="10" t="s">
        <v>2849</v>
      </c>
      <c r="AA506" s="10" t="s">
        <v>23</v>
      </c>
      <c r="AB506" s="10" t="s">
        <v>46</v>
      </c>
    </row>
    <row r="507" spans="1:28">
      <c r="A507" s="10" t="s">
        <v>990</v>
      </c>
      <c r="B507" s="11" t="s">
        <v>179</v>
      </c>
      <c r="C507" s="11" t="s">
        <v>437</v>
      </c>
      <c r="D507" s="12">
        <v>31</v>
      </c>
      <c r="E507" s="11" t="s">
        <v>448</v>
      </c>
      <c r="F507" s="14" t="str">
        <f>_xlfn.XLOOKUP(E507,Profession!$B$2:$B$15,Profession!$A$2:$A$15,"Not Found")</f>
        <v>P004</v>
      </c>
      <c r="G507" s="11" t="s">
        <v>1111</v>
      </c>
      <c r="H507" s="10" t="str">
        <f>_xlfn.XLOOKUP(G507,Region!$B$2:$B$16,Region!$A$2:$A$16,"Not Found")</f>
        <v>R004</v>
      </c>
      <c r="I507" s="10" t="s">
        <v>420</v>
      </c>
      <c r="J507" s="10" t="s">
        <v>420</v>
      </c>
      <c r="K507" s="10" t="s">
        <v>431</v>
      </c>
      <c r="L507" s="10" t="s">
        <v>1058</v>
      </c>
      <c r="M507" s="16" t="s">
        <v>432</v>
      </c>
      <c r="N507" s="10" t="s">
        <v>138</v>
      </c>
      <c r="O507" s="16" t="s">
        <v>450</v>
      </c>
      <c r="P507" s="11" t="s">
        <v>422</v>
      </c>
      <c r="Q507" s="11" t="s">
        <v>420</v>
      </c>
      <c r="R507" s="11" t="s">
        <v>107</v>
      </c>
      <c r="S507" s="10" t="s">
        <v>62</v>
      </c>
      <c r="T507" s="81">
        <v>7</v>
      </c>
      <c r="U507" s="10" t="s">
        <v>420</v>
      </c>
      <c r="V507" s="10" t="s">
        <v>450</v>
      </c>
      <c r="X507" s="15">
        <v>4</v>
      </c>
      <c r="Y507" s="10" t="s">
        <v>56</v>
      </c>
      <c r="Z507" s="10" t="s">
        <v>2849</v>
      </c>
      <c r="AA507" s="10" t="s">
        <v>23</v>
      </c>
      <c r="AB507" s="10" t="s">
        <v>46</v>
      </c>
    </row>
    <row r="508" spans="1:28">
      <c r="A508" s="10" t="s">
        <v>991</v>
      </c>
      <c r="B508" s="11" t="s">
        <v>123</v>
      </c>
      <c r="C508" s="11" t="s">
        <v>437</v>
      </c>
      <c r="D508" s="12">
        <v>32</v>
      </c>
      <c r="E508" s="11" t="s">
        <v>465</v>
      </c>
      <c r="F508" s="14" t="str">
        <f>_xlfn.XLOOKUP(E508,Profession!$B$2:$B$15,Profession!$A$2:$A$15,"Not Found")</f>
        <v>P010</v>
      </c>
      <c r="G508" s="11" t="s">
        <v>419</v>
      </c>
      <c r="H508" s="10" t="str">
        <f>_xlfn.XLOOKUP(G508,Region!$B$2:$B$16,Region!$A$2:$A$16,"Not Found")</f>
        <v>R001</v>
      </c>
      <c r="I508" s="10" t="s">
        <v>423</v>
      </c>
      <c r="J508" s="10" t="s">
        <v>423</v>
      </c>
      <c r="K508" s="10" t="s">
        <v>434</v>
      </c>
      <c r="L508" s="10" t="s">
        <v>1058</v>
      </c>
      <c r="M508" s="16" t="s">
        <v>422</v>
      </c>
      <c r="N508" s="10" t="s">
        <v>138</v>
      </c>
      <c r="O508" s="16" t="s">
        <v>444</v>
      </c>
      <c r="P508" s="11" t="s">
        <v>422</v>
      </c>
      <c r="Q508" s="11" t="s">
        <v>420</v>
      </c>
      <c r="R508" s="11" t="s">
        <v>1065</v>
      </c>
      <c r="S508" s="10" t="s">
        <v>62</v>
      </c>
      <c r="T508" s="81">
        <v>8</v>
      </c>
      <c r="U508" s="10" t="s">
        <v>420</v>
      </c>
      <c r="V508" s="10" t="s">
        <v>450</v>
      </c>
      <c r="X508" s="15">
        <v>7</v>
      </c>
      <c r="Y508" s="10" t="s">
        <v>100</v>
      </c>
      <c r="Z508" s="10" t="s">
        <v>2849</v>
      </c>
      <c r="AA508" s="10" t="s">
        <v>23</v>
      </c>
      <c r="AB508" s="10" t="s">
        <v>2843</v>
      </c>
    </row>
    <row r="509" spans="1:28">
      <c r="A509" s="10" t="s">
        <v>992</v>
      </c>
      <c r="B509" s="11" t="s">
        <v>180</v>
      </c>
      <c r="C509" s="11" t="s">
        <v>437</v>
      </c>
      <c r="D509" s="12">
        <v>33</v>
      </c>
      <c r="E509" s="11" t="s">
        <v>462</v>
      </c>
      <c r="F509" s="14" t="str">
        <f>_xlfn.XLOOKUP(E509,Profession!$B$2:$B$15,Profession!$A$2:$A$15,"Not Found")</f>
        <v>P008</v>
      </c>
      <c r="G509" s="11" t="s">
        <v>464</v>
      </c>
      <c r="H509" s="10" t="str">
        <f>_xlfn.XLOOKUP(G509,Region!$B$2:$B$16,Region!$A$2:$A$16,"Not Found")</f>
        <v>R007</v>
      </c>
      <c r="I509" s="10" t="s">
        <v>423</v>
      </c>
      <c r="J509" s="10" t="s">
        <v>423</v>
      </c>
      <c r="K509" s="10" t="s">
        <v>435</v>
      </c>
      <c r="L509" s="10" t="s">
        <v>1058</v>
      </c>
      <c r="M509" s="16" t="s">
        <v>436</v>
      </c>
      <c r="N509" s="10" t="s">
        <v>138</v>
      </c>
      <c r="O509" s="16" t="s">
        <v>450</v>
      </c>
      <c r="P509" s="11" t="s">
        <v>422</v>
      </c>
      <c r="Q509" s="11" t="s">
        <v>420</v>
      </c>
      <c r="R509" s="11" t="s">
        <v>107</v>
      </c>
      <c r="S509" s="10" t="s">
        <v>62</v>
      </c>
      <c r="T509" s="81">
        <v>5</v>
      </c>
      <c r="U509" s="10" t="s">
        <v>2275</v>
      </c>
      <c r="V509" s="10" t="s">
        <v>450</v>
      </c>
      <c r="X509" s="15">
        <v>5</v>
      </c>
      <c r="Y509" s="10" t="s">
        <v>54</v>
      </c>
      <c r="Z509" s="10" t="s">
        <v>2849</v>
      </c>
      <c r="AA509" s="10" t="s">
        <v>23</v>
      </c>
      <c r="AB509" s="10" t="s">
        <v>2844</v>
      </c>
    </row>
    <row r="510" spans="1:28">
      <c r="A510" s="10" t="s">
        <v>993</v>
      </c>
      <c r="B510" s="11" t="s">
        <v>181</v>
      </c>
      <c r="C510" s="11" t="s">
        <v>437</v>
      </c>
      <c r="D510" s="12">
        <v>34</v>
      </c>
      <c r="E510" s="11" t="s">
        <v>473</v>
      </c>
      <c r="F510" s="14" t="str">
        <f>_xlfn.XLOOKUP(E510,Profession!$B$2:$B$15,Profession!$A$2:$A$15,"Not Found")</f>
        <v>P012</v>
      </c>
      <c r="G510" s="11" t="s">
        <v>419</v>
      </c>
      <c r="H510" s="10" t="str">
        <f>_xlfn.XLOOKUP(G510,Region!$B$2:$B$16,Region!$A$2:$A$16,"Not Found")</f>
        <v>R001</v>
      </c>
      <c r="I510" s="10" t="s">
        <v>423</v>
      </c>
      <c r="J510" s="10" t="s">
        <v>423</v>
      </c>
      <c r="K510" s="10" t="s">
        <v>434</v>
      </c>
      <c r="L510" s="10" t="s">
        <v>1058</v>
      </c>
      <c r="M510" s="16" t="s">
        <v>432</v>
      </c>
      <c r="N510" s="10" t="s">
        <v>138</v>
      </c>
      <c r="O510" s="16" t="s">
        <v>444</v>
      </c>
      <c r="P510" s="11" t="s">
        <v>422</v>
      </c>
      <c r="Q510" s="11" t="s">
        <v>420</v>
      </c>
      <c r="R510" s="11" t="s">
        <v>107</v>
      </c>
      <c r="S510" s="10" t="s">
        <v>62</v>
      </c>
      <c r="T510" s="81">
        <v>7</v>
      </c>
      <c r="U510" s="10" t="s">
        <v>420</v>
      </c>
      <c r="V510" s="10" t="s">
        <v>450</v>
      </c>
      <c r="X510" s="15">
        <v>5</v>
      </c>
      <c r="Y510" s="10" t="s">
        <v>87</v>
      </c>
      <c r="Z510" s="10" t="s">
        <v>2848</v>
      </c>
      <c r="AA510" s="10" t="s">
        <v>23</v>
      </c>
      <c r="AB510" s="10" t="s">
        <v>149</v>
      </c>
    </row>
    <row r="511" spans="1:28">
      <c r="A511" s="10" t="s">
        <v>994</v>
      </c>
      <c r="B511" s="11" t="s">
        <v>182</v>
      </c>
      <c r="C511" s="11" t="s">
        <v>437</v>
      </c>
      <c r="D511" s="12">
        <v>35</v>
      </c>
      <c r="E511" s="11" t="s">
        <v>452</v>
      </c>
      <c r="F511" s="14" t="str">
        <f>_xlfn.XLOOKUP(E511,Profession!$B$2:$B$15,Profession!$A$2:$A$15,"Not Found")</f>
        <v>P005</v>
      </c>
      <c r="G511" s="11" t="s">
        <v>455</v>
      </c>
      <c r="H511" s="10" t="str">
        <f>_xlfn.XLOOKUP(G511,Region!$B$2:$B$16,Region!$A$2:$A$16,"Not Found")</f>
        <v>R006</v>
      </c>
      <c r="I511" s="10" t="s">
        <v>420</v>
      </c>
      <c r="J511" s="10" t="s">
        <v>420</v>
      </c>
      <c r="K511" s="10" t="s">
        <v>434</v>
      </c>
      <c r="L511" s="10" t="s">
        <v>1058</v>
      </c>
      <c r="M511" s="16" t="s">
        <v>422</v>
      </c>
      <c r="N511" s="10" t="s">
        <v>138</v>
      </c>
      <c r="O511" s="16" t="s">
        <v>436</v>
      </c>
      <c r="P511" s="11" t="s">
        <v>422</v>
      </c>
      <c r="Q511" s="11" t="s">
        <v>435</v>
      </c>
      <c r="R511" s="11" t="s">
        <v>1071</v>
      </c>
      <c r="S511" s="10" t="s">
        <v>62</v>
      </c>
      <c r="T511" s="81">
        <v>6</v>
      </c>
      <c r="U511" s="10" t="s">
        <v>420</v>
      </c>
      <c r="V511" s="10" t="s">
        <v>2277</v>
      </c>
      <c r="X511" s="15">
        <v>8</v>
      </c>
      <c r="Y511" s="10" t="s">
        <v>42</v>
      </c>
      <c r="Z511" s="10" t="s">
        <v>2849</v>
      </c>
      <c r="AA511" s="10" t="s">
        <v>43</v>
      </c>
      <c r="AB511" s="10" t="s">
        <v>46</v>
      </c>
    </row>
    <row r="512" spans="1:28">
      <c r="A512" s="10" t="s">
        <v>995</v>
      </c>
      <c r="B512" s="11" t="s">
        <v>122</v>
      </c>
      <c r="C512" s="11" t="s">
        <v>437</v>
      </c>
      <c r="D512" s="12">
        <v>36</v>
      </c>
      <c r="E512" s="11" t="s">
        <v>452</v>
      </c>
      <c r="F512" s="14" t="str">
        <f>_xlfn.XLOOKUP(E512,Profession!$B$2:$B$15,Profession!$A$2:$A$15,"Not Found")</f>
        <v>P005</v>
      </c>
      <c r="G512" s="11" t="s">
        <v>1115</v>
      </c>
      <c r="H512" s="10" t="str">
        <f>_xlfn.XLOOKUP(G512,Region!$B$2:$B$16,Region!$A$2:$A$16,"Not Found")</f>
        <v>R002</v>
      </c>
      <c r="I512" s="10" t="s">
        <v>420</v>
      </c>
      <c r="J512" s="10" t="s">
        <v>420</v>
      </c>
      <c r="K512" s="10" t="s">
        <v>435</v>
      </c>
      <c r="L512" s="10" t="s">
        <v>1058</v>
      </c>
      <c r="M512" s="16" t="s">
        <v>429</v>
      </c>
      <c r="N512" s="10" t="s">
        <v>106</v>
      </c>
      <c r="O512" s="16" t="s">
        <v>433</v>
      </c>
      <c r="P512" s="11" t="s">
        <v>422</v>
      </c>
      <c r="Q512" s="11" t="s">
        <v>420</v>
      </c>
      <c r="R512" s="11" t="s">
        <v>1072</v>
      </c>
      <c r="S512" s="10" t="s">
        <v>2885</v>
      </c>
      <c r="T512" s="81">
        <v>6</v>
      </c>
      <c r="U512" s="10" t="s">
        <v>2273</v>
      </c>
      <c r="V512" s="10" t="s">
        <v>2277</v>
      </c>
      <c r="X512" s="15">
        <v>3</v>
      </c>
      <c r="Y512" s="10" t="s">
        <v>45</v>
      </c>
      <c r="Z512" s="10" t="s">
        <v>2849</v>
      </c>
      <c r="AA512" s="10" t="s">
        <v>37</v>
      </c>
      <c r="AB512" s="10" t="s">
        <v>149</v>
      </c>
    </row>
    <row r="513" spans="1:28">
      <c r="A513" s="10" t="s">
        <v>996</v>
      </c>
      <c r="B513" s="11" t="s">
        <v>187</v>
      </c>
      <c r="C513" s="11" t="s">
        <v>437</v>
      </c>
      <c r="D513" s="12">
        <v>38</v>
      </c>
      <c r="E513" s="11" t="s">
        <v>465</v>
      </c>
      <c r="F513" s="14" t="str">
        <f>_xlfn.XLOOKUP(E513,Profession!$B$2:$B$15,Profession!$A$2:$A$15,"Not Found")</f>
        <v>P010</v>
      </c>
      <c r="G513" s="11" t="s">
        <v>108</v>
      </c>
      <c r="H513" s="10" t="str">
        <f>_xlfn.XLOOKUP(G513,Region!$B$2:$B$16,Region!$A$2:$A$16,"Not Found")</f>
        <v>R010</v>
      </c>
      <c r="I513" s="10" t="s">
        <v>420</v>
      </c>
      <c r="J513" s="10" t="s">
        <v>420</v>
      </c>
      <c r="K513" s="10" t="s">
        <v>435</v>
      </c>
      <c r="L513" s="10" t="s">
        <v>1058</v>
      </c>
      <c r="M513" s="16" t="s">
        <v>422</v>
      </c>
      <c r="N513" s="10" t="s">
        <v>64</v>
      </c>
      <c r="O513" s="16" t="s">
        <v>450</v>
      </c>
      <c r="P513" s="11" t="s">
        <v>422</v>
      </c>
      <c r="Q513" s="11" t="s">
        <v>420</v>
      </c>
      <c r="R513" s="11" t="s">
        <v>107</v>
      </c>
      <c r="S513" s="10" t="s">
        <v>62</v>
      </c>
      <c r="T513" s="81">
        <v>7</v>
      </c>
      <c r="U513" s="10" t="s">
        <v>420</v>
      </c>
      <c r="V513" s="10" t="s">
        <v>450</v>
      </c>
      <c r="X513" s="15">
        <v>7</v>
      </c>
      <c r="Y513" s="10" t="s">
        <v>19</v>
      </c>
      <c r="Z513" s="10" t="s">
        <v>2849</v>
      </c>
      <c r="AA513" s="10" t="s">
        <v>23</v>
      </c>
      <c r="AB513" s="10" t="s">
        <v>2841</v>
      </c>
    </row>
    <row r="514" spans="1:28">
      <c r="A514" s="10" t="s">
        <v>997</v>
      </c>
      <c r="B514" s="11" t="s">
        <v>112</v>
      </c>
      <c r="C514" s="11" t="s">
        <v>437</v>
      </c>
      <c r="D514" s="12">
        <v>39</v>
      </c>
      <c r="E514" s="11" t="s">
        <v>458</v>
      </c>
      <c r="F514" s="14" t="str">
        <f>_xlfn.XLOOKUP(E514,Profession!$B$2:$B$15,Profession!$A$2:$A$15,"Not Found")</f>
        <v>P006</v>
      </c>
      <c r="G514" s="11" t="s">
        <v>1115</v>
      </c>
      <c r="H514" s="10" t="str">
        <f>_xlfn.XLOOKUP(G514,Region!$B$2:$B$16,Region!$A$2:$A$16,"Not Found")</f>
        <v>R002</v>
      </c>
      <c r="I514" s="10" t="s">
        <v>420</v>
      </c>
      <c r="J514" s="10" t="s">
        <v>420</v>
      </c>
      <c r="K514" s="10" t="s">
        <v>434</v>
      </c>
      <c r="L514" s="10" t="s">
        <v>1058</v>
      </c>
      <c r="M514" s="16" t="s">
        <v>432</v>
      </c>
      <c r="N514" s="10" t="s">
        <v>102</v>
      </c>
      <c r="O514" s="16" t="s">
        <v>433</v>
      </c>
      <c r="P514" s="11" t="s">
        <v>422</v>
      </c>
      <c r="Q514" s="11" t="s">
        <v>1061</v>
      </c>
      <c r="R514" s="11" t="s">
        <v>1065</v>
      </c>
      <c r="S514" s="10" t="s">
        <v>62</v>
      </c>
      <c r="T514" s="81">
        <v>6</v>
      </c>
      <c r="U514" s="10" t="s">
        <v>2274</v>
      </c>
      <c r="V514" s="10" t="s">
        <v>450</v>
      </c>
      <c r="X514" s="15">
        <v>3</v>
      </c>
      <c r="Y514" s="10" t="s">
        <v>49</v>
      </c>
      <c r="Z514" s="10" t="s">
        <v>2849</v>
      </c>
      <c r="AA514" s="10" t="s">
        <v>37</v>
      </c>
      <c r="AB514" s="10" t="s">
        <v>46</v>
      </c>
    </row>
    <row r="515" spans="1:28">
      <c r="A515" s="10" t="s">
        <v>998</v>
      </c>
      <c r="B515" s="11" t="s">
        <v>188</v>
      </c>
      <c r="C515" s="11" t="s">
        <v>437</v>
      </c>
      <c r="D515" s="12">
        <v>40</v>
      </c>
      <c r="E515" s="11" t="s">
        <v>1054</v>
      </c>
      <c r="F515" s="14" t="str">
        <f>_xlfn.XLOOKUP(E515,Profession!$B$2:$B$15,Profession!$A$2:$A$15,"Not Found")</f>
        <v>P013</v>
      </c>
      <c r="G515" s="11" t="s">
        <v>1110</v>
      </c>
      <c r="H515" s="10" t="str">
        <f>_xlfn.XLOOKUP(G515,Region!$B$2:$B$16,Region!$A$2:$A$16,"Not Found")</f>
        <v>R013</v>
      </c>
      <c r="I515" s="10" t="s">
        <v>420</v>
      </c>
      <c r="J515" s="10" t="s">
        <v>420</v>
      </c>
      <c r="K515" s="10" t="s">
        <v>435</v>
      </c>
      <c r="L515" s="10" t="s">
        <v>1058</v>
      </c>
      <c r="M515" s="16" t="s">
        <v>422</v>
      </c>
      <c r="N515" s="10" t="s">
        <v>138</v>
      </c>
      <c r="O515" s="16" t="s">
        <v>433</v>
      </c>
      <c r="P515" s="11" t="s">
        <v>435</v>
      </c>
      <c r="Q515" s="11" t="s">
        <v>420</v>
      </c>
      <c r="R515" s="11" t="s">
        <v>1067</v>
      </c>
      <c r="S515" s="10" t="s">
        <v>62</v>
      </c>
      <c r="T515" s="81">
        <v>6</v>
      </c>
      <c r="U515" s="10" t="s">
        <v>420</v>
      </c>
      <c r="V515" s="10" t="s">
        <v>450</v>
      </c>
      <c r="X515" s="15">
        <v>6</v>
      </c>
      <c r="Y515" s="10" t="s">
        <v>75</v>
      </c>
      <c r="Z515" s="10" t="s">
        <v>2847</v>
      </c>
      <c r="AA515" s="10" t="s">
        <v>70</v>
      </c>
      <c r="AB515" s="10" t="s">
        <v>149</v>
      </c>
    </row>
    <row r="516" spans="1:28">
      <c r="A516" s="10" t="s">
        <v>999</v>
      </c>
      <c r="B516" s="11" t="s">
        <v>133</v>
      </c>
      <c r="C516" s="11" t="s">
        <v>437</v>
      </c>
      <c r="D516" s="12">
        <v>41</v>
      </c>
      <c r="E516" s="11" t="s">
        <v>446</v>
      </c>
      <c r="F516" s="14" t="str">
        <f>_xlfn.XLOOKUP(E516,Profession!$B$2:$B$15,Profession!$A$2:$A$15,"Not Found")</f>
        <v>P003</v>
      </c>
      <c r="G516" s="11" t="s">
        <v>104</v>
      </c>
      <c r="H516" s="10" t="str">
        <f>_xlfn.XLOOKUP(G516,Region!$B$2:$B$16,Region!$A$2:$A$16,"Not Found")</f>
        <v>R003</v>
      </c>
      <c r="I516" s="10" t="s">
        <v>420</v>
      </c>
      <c r="J516" s="10" t="s">
        <v>420</v>
      </c>
      <c r="K516" s="10" t="s">
        <v>435</v>
      </c>
      <c r="L516" s="10" t="s">
        <v>1058</v>
      </c>
      <c r="M516" s="16" t="s">
        <v>422</v>
      </c>
      <c r="N516" s="10" t="s">
        <v>64</v>
      </c>
      <c r="O516" s="16" t="s">
        <v>433</v>
      </c>
      <c r="P516" s="11" t="s">
        <v>422</v>
      </c>
      <c r="Q516" s="11" t="s">
        <v>420</v>
      </c>
      <c r="R516" s="11" t="s">
        <v>1070</v>
      </c>
      <c r="S516" s="10" t="s">
        <v>62</v>
      </c>
      <c r="T516" s="81">
        <v>8</v>
      </c>
      <c r="U516" s="10" t="s">
        <v>420</v>
      </c>
      <c r="V516" s="10" t="s">
        <v>2277</v>
      </c>
      <c r="X516" s="15">
        <v>5</v>
      </c>
      <c r="Y516" s="10" t="s">
        <v>19</v>
      </c>
      <c r="Z516" s="10" t="s">
        <v>2849</v>
      </c>
      <c r="AA516" s="10" t="s">
        <v>23</v>
      </c>
      <c r="AB516" s="10" t="s">
        <v>28</v>
      </c>
    </row>
    <row r="517" spans="1:28">
      <c r="A517" s="10" t="s">
        <v>1000</v>
      </c>
      <c r="B517" s="11" t="s">
        <v>192</v>
      </c>
      <c r="C517" s="11" t="s">
        <v>437</v>
      </c>
      <c r="D517" s="12">
        <v>42</v>
      </c>
      <c r="E517" s="11" t="s">
        <v>1088</v>
      </c>
      <c r="F517" s="14" t="str">
        <f>_xlfn.XLOOKUP(E517,Profession!$B$2:$B$15,Profession!$A$2:$A$15,"Not Found")</f>
        <v>P014</v>
      </c>
      <c r="G517" s="11" t="s">
        <v>1114</v>
      </c>
      <c r="H517" s="10" t="str">
        <f>_xlfn.XLOOKUP(G517,Region!$B$2:$B$16,Region!$A$2:$A$16,"Not Found")</f>
        <v>R014</v>
      </c>
      <c r="I517" s="10" t="s">
        <v>420</v>
      </c>
      <c r="J517" s="10" t="s">
        <v>420</v>
      </c>
      <c r="K517" s="10" t="s">
        <v>435</v>
      </c>
      <c r="L517" s="10" t="s">
        <v>1058</v>
      </c>
      <c r="M517" s="16" t="s">
        <v>422</v>
      </c>
      <c r="N517" s="10" t="s">
        <v>138</v>
      </c>
      <c r="O517" s="16" t="s">
        <v>433</v>
      </c>
      <c r="P517" s="11" t="s">
        <v>422</v>
      </c>
      <c r="Q517" s="11" t="s">
        <v>1061</v>
      </c>
      <c r="R517" s="11" t="s">
        <v>1067</v>
      </c>
      <c r="S517" s="10" t="s">
        <v>62</v>
      </c>
      <c r="T517" s="81">
        <v>6</v>
      </c>
      <c r="U517" s="10" t="s">
        <v>420</v>
      </c>
      <c r="V517" s="10" t="s">
        <v>450</v>
      </c>
      <c r="X517" s="15">
        <v>6</v>
      </c>
      <c r="Y517" s="10" t="s">
        <v>77</v>
      </c>
      <c r="Z517" s="10" t="s">
        <v>2282</v>
      </c>
      <c r="AA517" s="10" t="s">
        <v>23</v>
      </c>
      <c r="AB517" s="10" t="s">
        <v>46</v>
      </c>
    </row>
    <row r="518" spans="1:28">
      <c r="A518" s="10" t="s">
        <v>1001</v>
      </c>
      <c r="B518" s="11" t="s">
        <v>135</v>
      </c>
      <c r="C518" s="11" t="s">
        <v>437</v>
      </c>
      <c r="D518" s="12">
        <v>43</v>
      </c>
      <c r="E518" s="11" t="s">
        <v>1088</v>
      </c>
      <c r="F518" s="14" t="str">
        <f>_xlfn.XLOOKUP(E518,Profession!$B$2:$B$15,Profession!$A$2:$A$15,"Not Found")</f>
        <v>P014</v>
      </c>
      <c r="G518" s="11" t="s">
        <v>477</v>
      </c>
      <c r="H518" s="10" t="str">
        <f>_xlfn.XLOOKUP(G518,Region!$B$2:$B$16,Region!$A$2:$A$16,"Not Found")</f>
        <v>R015</v>
      </c>
      <c r="I518" s="10" t="s">
        <v>420</v>
      </c>
      <c r="J518" s="10" t="s">
        <v>420</v>
      </c>
      <c r="K518" s="10" t="s">
        <v>435</v>
      </c>
      <c r="L518" s="10" t="s">
        <v>1058</v>
      </c>
      <c r="M518" s="16" t="s">
        <v>422</v>
      </c>
      <c r="N518" s="10" t="s">
        <v>138</v>
      </c>
      <c r="O518" s="16" t="s">
        <v>433</v>
      </c>
      <c r="P518" s="11" t="s">
        <v>435</v>
      </c>
      <c r="Q518" s="11" t="s">
        <v>1061</v>
      </c>
      <c r="R518" s="11" t="s">
        <v>1068</v>
      </c>
      <c r="S518" s="10" t="s">
        <v>62</v>
      </c>
      <c r="T518" s="81">
        <v>8</v>
      </c>
      <c r="U518" s="10" t="s">
        <v>420</v>
      </c>
      <c r="V518" s="10" t="s">
        <v>450</v>
      </c>
      <c r="X518" s="15">
        <v>6</v>
      </c>
      <c r="Y518" s="10" t="s">
        <v>36</v>
      </c>
      <c r="Z518" s="10" t="s">
        <v>2849</v>
      </c>
      <c r="AA518" s="10" t="s">
        <v>23</v>
      </c>
      <c r="AB518" s="10" t="s">
        <v>2841</v>
      </c>
    </row>
    <row r="519" spans="1:28">
      <c r="A519" s="10" t="s">
        <v>1002</v>
      </c>
      <c r="B519" s="11" t="s">
        <v>194</v>
      </c>
      <c r="C519" s="11" t="s">
        <v>437</v>
      </c>
      <c r="D519" s="12">
        <v>20</v>
      </c>
      <c r="E519" s="11" t="s">
        <v>418</v>
      </c>
      <c r="F519" s="14" t="str">
        <f>_xlfn.XLOOKUP(E519,Profession!$B$2:$B$15,Profession!$A$2:$A$15,"Not Found")</f>
        <v>P001</v>
      </c>
      <c r="G519" s="11" t="s">
        <v>419</v>
      </c>
      <c r="H519" s="10" t="str">
        <f>_xlfn.XLOOKUP(G519,Region!$B$2:$B$16,Region!$A$2:$A$16,"Not Found")</f>
        <v>R001</v>
      </c>
      <c r="I519" s="10" t="s">
        <v>420</v>
      </c>
      <c r="J519" s="10" t="s">
        <v>420</v>
      </c>
      <c r="K519" s="10" t="s">
        <v>435</v>
      </c>
      <c r="L519" s="10" t="s">
        <v>1057</v>
      </c>
      <c r="M519" s="16" t="s">
        <v>422</v>
      </c>
      <c r="N519" s="10" t="s">
        <v>138</v>
      </c>
      <c r="O519" s="16" t="s">
        <v>423</v>
      </c>
      <c r="P519" s="11" t="s">
        <v>1059</v>
      </c>
      <c r="Q519" s="11" t="s">
        <v>422</v>
      </c>
      <c r="R519" s="11" t="s">
        <v>1062</v>
      </c>
      <c r="S519" s="10" t="s">
        <v>2884</v>
      </c>
      <c r="T519" s="81">
        <v>7</v>
      </c>
      <c r="U519" s="10" t="s">
        <v>420</v>
      </c>
      <c r="V519" s="10" t="s">
        <v>2278</v>
      </c>
      <c r="X519" s="15">
        <v>3</v>
      </c>
      <c r="Y519" s="10" t="s">
        <v>27</v>
      </c>
      <c r="Z519" s="10" t="s">
        <v>2849</v>
      </c>
      <c r="AA519" s="10" t="s">
        <v>23</v>
      </c>
      <c r="AB519" s="10" t="s">
        <v>24</v>
      </c>
    </row>
    <row r="520" spans="1:28">
      <c r="A520" s="10" t="s">
        <v>1003</v>
      </c>
      <c r="B520" s="11" t="s">
        <v>195</v>
      </c>
      <c r="C520" s="11" t="s">
        <v>437</v>
      </c>
      <c r="D520" s="12">
        <v>21</v>
      </c>
      <c r="E520" s="11" t="s">
        <v>465</v>
      </c>
      <c r="F520" s="14" t="str">
        <f>_xlfn.XLOOKUP(E520,Profession!$B$2:$B$15,Profession!$A$2:$A$15,"Not Found")</f>
        <v>P010</v>
      </c>
      <c r="G520" s="11" t="s">
        <v>1115</v>
      </c>
      <c r="H520" s="10" t="str">
        <f>_xlfn.XLOOKUP(G520,Region!$B$2:$B$16,Region!$A$2:$A$16,"Not Found")</f>
        <v>R002</v>
      </c>
      <c r="I520" s="10" t="s">
        <v>420</v>
      </c>
      <c r="J520" s="10" t="s">
        <v>420</v>
      </c>
      <c r="K520" s="10" t="s">
        <v>421</v>
      </c>
      <c r="L520" s="10" t="s">
        <v>1058</v>
      </c>
      <c r="M520" s="16" t="s">
        <v>422</v>
      </c>
      <c r="N520" s="10" t="s">
        <v>138</v>
      </c>
      <c r="O520" s="16" t="s">
        <v>450</v>
      </c>
      <c r="P520" s="11" t="s">
        <v>422</v>
      </c>
      <c r="Q520" s="11" t="s">
        <v>420</v>
      </c>
      <c r="R520" s="11" t="s">
        <v>1065</v>
      </c>
      <c r="S520" s="10" t="s">
        <v>62</v>
      </c>
      <c r="T520" s="81">
        <v>8</v>
      </c>
      <c r="U520" s="10" t="s">
        <v>420</v>
      </c>
      <c r="V520" s="10" t="s">
        <v>450</v>
      </c>
      <c r="X520" s="15">
        <v>4</v>
      </c>
      <c r="Y520" s="10" t="s">
        <v>56</v>
      </c>
      <c r="Z520" s="10" t="s">
        <v>2849</v>
      </c>
      <c r="AA520" s="10" t="s">
        <v>23</v>
      </c>
      <c r="AB520" s="10" t="s">
        <v>2843</v>
      </c>
    </row>
    <row r="521" spans="1:28">
      <c r="A521" s="10" t="s">
        <v>1004</v>
      </c>
      <c r="B521" s="11" t="s">
        <v>137</v>
      </c>
      <c r="C521" s="11" t="s">
        <v>417</v>
      </c>
      <c r="D521" s="12">
        <v>22</v>
      </c>
      <c r="E521" s="11" t="s">
        <v>442</v>
      </c>
      <c r="F521" s="14" t="str">
        <f>_xlfn.XLOOKUP(E521,Profession!$B$2:$B$15,Profession!$A$2:$A$15,"Not Found")</f>
        <v>P002</v>
      </c>
      <c r="G521" s="11" t="s">
        <v>419</v>
      </c>
      <c r="H521" s="10" t="str">
        <f>_xlfn.XLOOKUP(G521,Region!$B$2:$B$16,Region!$A$2:$A$16,"Not Found")</f>
        <v>R001</v>
      </c>
      <c r="I521" s="10" t="s">
        <v>420</v>
      </c>
      <c r="J521" s="10" t="s">
        <v>420</v>
      </c>
      <c r="K521" s="10" t="s">
        <v>435</v>
      </c>
      <c r="L521" s="10" t="s">
        <v>1058</v>
      </c>
      <c r="M521" s="16" t="s">
        <v>436</v>
      </c>
      <c r="N521" s="10" t="s">
        <v>26</v>
      </c>
      <c r="O521" s="16" t="s">
        <v>444</v>
      </c>
      <c r="P521" s="11" t="s">
        <v>422</v>
      </c>
      <c r="Q521" s="11" t="s">
        <v>1061</v>
      </c>
      <c r="R521" s="11" t="s">
        <v>1068</v>
      </c>
      <c r="S521" s="10" t="s">
        <v>62</v>
      </c>
      <c r="T521" s="81">
        <v>6</v>
      </c>
      <c r="U521" s="10" t="s">
        <v>420</v>
      </c>
      <c r="V521" s="10" t="s">
        <v>2277</v>
      </c>
      <c r="X521" s="15">
        <v>6</v>
      </c>
      <c r="Y521" s="10" t="s">
        <v>100</v>
      </c>
      <c r="Z521" s="10" t="s">
        <v>2849</v>
      </c>
      <c r="AA521" s="10" t="s">
        <v>37</v>
      </c>
      <c r="AB521" s="10" t="s">
        <v>2844</v>
      </c>
    </row>
    <row r="522" spans="1:28">
      <c r="A522" s="10" t="s">
        <v>1005</v>
      </c>
      <c r="B522" s="11" t="s">
        <v>18</v>
      </c>
      <c r="C522" s="11" t="s">
        <v>417</v>
      </c>
      <c r="D522" s="12">
        <v>23</v>
      </c>
      <c r="E522" s="11" t="s">
        <v>462</v>
      </c>
      <c r="F522" s="14" t="str">
        <f>_xlfn.XLOOKUP(E522,Profession!$B$2:$B$15,Profession!$A$2:$A$15,"Not Found")</f>
        <v>P008</v>
      </c>
      <c r="G522" s="11" t="s">
        <v>1112</v>
      </c>
      <c r="H522" s="10" t="str">
        <f>_xlfn.XLOOKUP(G522,Region!$B$2:$B$16,Region!$A$2:$A$16,"Not Found")</f>
        <v>R008</v>
      </c>
      <c r="I522" s="10" t="s">
        <v>420</v>
      </c>
      <c r="J522" s="10" t="s">
        <v>420</v>
      </c>
      <c r="K522" s="10" t="s">
        <v>431</v>
      </c>
      <c r="L522" s="10" t="s">
        <v>1058</v>
      </c>
      <c r="M522" s="16" t="s">
        <v>422</v>
      </c>
      <c r="N522" s="10" t="s">
        <v>138</v>
      </c>
      <c r="O522" s="16" t="s">
        <v>450</v>
      </c>
      <c r="P522" s="11" t="s">
        <v>422</v>
      </c>
      <c r="Q522" s="11" t="s">
        <v>420</v>
      </c>
      <c r="R522" s="11" t="s">
        <v>107</v>
      </c>
      <c r="S522" s="10" t="s">
        <v>62</v>
      </c>
      <c r="T522" s="81">
        <v>7</v>
      </c>
      <c r="U522" s="10" t="s">
        <v>420</v>
      </c>
      <c r="V522" s="10" t="s">
        <v>450</v>
      </c>
      <c r="X522" s="15">
        <v>5</v>
      </c>
      <c r="Y522" s="10" t="s">
        <v>56</v>
      </c>
      <c r="Z522" s="10" t="s">
        <v>2849</v>
      </c>
      <c r="AA522" s="10" t="s">
        <v>23</v>
      </c>
      <c r="AB522" s="10" t="s">
        <v>2843</v>
      </c>
    </row>
    <row r="523" spans="1:28">
      <c r="A523" s="10" t="s">
        <v>1006</v>
      </c>
      <c r="B523" s="11" t="s">
        <v>199</v>
      </c>
      <c r="C523" s="11" t="s">
        <v>417</v>
      </c>
      <c r="D523" s="12">
        <v>24</v>
      </c>
      <c r="E523" s="11" t="s">
        <v>473</v>
      </c>
      <c r="F523" s="14" t="str">
        <f>_xlfn.XLOOKUP(E523,Profession!$B$2:$B$15,Profession!$A$2:$A$15,"Not Found")</f>
        <v>P012</v>
      </c>
      <c r="G523" s="11" t="s">
        <v>1113</v>
      </c>
      <c r="H523" s="10" t="str">
        <f>_xlfn.XLOOKUP(G523,Region!$B$2:$B$16,Region!$A$2:$A$16,"Not Found")</f>
        <v>R012</v>
      </c>
      <c r="I523" s="10" t="s">
        <v>423</v>
      </c>
      <c r="J523" s="10" t="s">
        <v>423</v>
      </c>
      <c r="K523" s="10" t="s">
        <v>435</v>
      </c>
      <c r="L523" s="10" t="s">
        <v>1058</v>
      </c>
      <c r="M523" s="16" t="s">
        <v>422</v>
      </c>
      <c r="N523" s="10" t="s">
        <v>138</v>
      </c>
      <c r="O523" s="16" t="s">
        <v>444</v>
      </c>
      <c r="P523" s="11" t="s">
        <v>422</v>
      </c>
      <c r="Q523" s="11" t="s">
        <v>1061</v>
      </c>
      <c r="R523" s="11" t="s">
        <v>107</v>
      </c>
      <c r="S523" s="10" t="s">
        <v>62</v>
      </c>
      <c r="T523" s="81">
        <v>6</v>
      </c>
      <c r="U523" s="10" t="s">
        <v>420</v>
      </c>
      <c r="V523" s="10" t="s">
        <v>2277</v>
      </c>
      <c r="X523" s="15">
        <v>6</v>
      </c>
      <c r="Y523" s="10" t="s">
        <v>22</v>
      </c>
      <c r="Z523" s="10" t="s">
        <v>2846</v>
      </c>
      <c r="AA523" s="10" t="s">
        <v>23</v>
      </c>
      <c r="AB523" s="10" t="s">
        <v>2842</v>
      </c>
    </row>
    <row r="524" spans="1:28">
      <c r="A524" s="10" t="s">
        <v>1007</v>
      </c>
      <c r="B524" s="11" t="s">
        <v>200</v>
      </c>
      <c r="C524" s="11" t="s">
        <v>417</v>
      </c>
      <c r="D524" s="12">
        <v>25</v>
      </c>
      <c r="E524" s="11" t="s">
        <v>1108</v>
      </c>
      <c r="F524" s="14" t="str">
        <f>_xlfn.XLOOKUP(E524,Profession!$B$2:$B$15,Profession!$A$2:$A$15,"Not Found")</f>
        <v>P011</v>
      </c>
      <c r="G524" s="11" t="s">
        <v>419</v>
      </c>
      <c r="H524" s="10" t="str">
        <f>_xlfn.XLOOKUP(G524,Region!$B$2:$B$16,Region!$A$2:$A$16,"Not Found")</f>
        <v>R001</v>
      </c>
      <c r="I524" s="10" t="s">
        <v>420</v>
      </c>
      <c r="J524" s="10" t="s">
        <v>420</v>
      </c>
      <c r="K524" s="10" t="s">
        <v>431</v>
      </c>
      <c r="L524" s="10" t="s">
        <v>1058</v>
      </c>
      <c r="M524" s="16" t="s">
        <v>422</v>
      </c>
      <c r="N524" s="10" t="s">
        <v>138</v>
      </c>
      <c r="O524" s="16" t="s">
        <v>444</v>
      </c>
      <c r="P524" s="11" t="s">
        <v>422</v>
      </c>
      <c r="Q524" s="11" t="s">
        <v>420</v>
      </c>
      <c r="R524" s="11" t="s">
        <v>1070</v>
      </c>
      <c r="S524" s="10" t="s">
        <v>62</v>
      </c>
      <c r="T524" s="81">
        <v>6</v>
      </c>
      <c r="U524" s="10" t="s">
        <v>420</v>
      </c>
      <c r="V524" s="10" t="s">
        <v>2277</v>
      </c>
      <c r="X524" s="15">
        <v>5</v>
      </c>
      <c r="Y524" s="10" t="s">
        <v>58</v>
      </c>
      <c r="Z524" s="10" t="s">
        <v>2849</v>
      </c>
      <c r="AA524" s="10" t="s">
        <v>23</v>
      </c>
      <c r="AB524" s="10" t="s">
        <v>2843</v>
      </c>
    </row>
    <row r="525" spans="1:28">
      <c r="A525" s="10" t="s">
        <v>1008</v>
      </c>
      <c r="B525" s="11" t="s">
        <v>25</v>
      </c>
      <c r="C525" s="11" t="s">
        <v>417</v>
      </c>
      <c r="D525" s="12">
        <v>26</v>
      </c>
      <c r="E525" s="11" t="s">
        <v>459</v>
      </c>
      <c r="F525" s="14" t="str">
        <f>_xlfn.XLOOKUP(E525,Profession!$B$2:$B$15,Profession!$A$2:$A$15,"Not Found")</f>
        <v>P007</v>
      </c>
      <c r="G525" s="11" t="s">
        <v>419</v>
      </c>
      <c r="H525" s="10" t="str">
        <f>_xlfn.XLOOKUP(G525,Region!$B$2:$B$16,Region!$A$2:$A$16,"Not Found")</f>
        <v>R001</v>
      </c>
      <c r="I525" s="10" t="s">
        <v>420</v>
      </c>
      <c r="J525" s="10" t="s">
        <v>420</v>
      </c>
      <c r="K525" s="10" t="s">
        <v>421</v>
      </c>
      <c r="L525" s="10" t="s">
        <v>1058</v>
      </c>
      <c r="M525" s="16" t="s">
        <v>422</v>
      </c>
      <c r="N525" s="10" t="s">
        <v>138</v>
      </c>
      <c r="O525" s="16" t="s">
        <v>444</v>
      </c>
      <c r="P525" s="11" t="s">
        <v>422</v>
      </c>
      <c r="Q525" s="11" t="s">
        <v>420</v>
      </c>
      <c r="R525" s="11" t="s">
        <v>1070</v>
      </c>
      <c r="S525" s="10" t="s">
        <v>62</v>
      </c>
      <c r="T525" s="81">
        <v>8</v>
      </c>
      <c r="U525" s="10" t="s">
        <v>420</v>
      </c>
      <c r="V525" s="10" t="s">
        <v>450</v>
      </c>
      <c r="X525" s="15">
        <v>4</v>
      </c>
      <c r="Y525" s="10" t="s">
        <v>36</v>
      </c>
      <c r="Z525" s="10" t="s">
        <v>2849</v>
      </c>
      <c r="AA525" s="10" t="s">
        <v>37</v>
      </c>
      <c r="AB525" s="10" t="s">
        <v>24</v>
      </c>
    </row>
    <row r="526" spans="1:28">
      <c r="A526" s="10" t="s">
        <v>1009</v>
      </c>
      <c r="B526" s="11" t="s">
        <v>205</v>
      </c>
      <c r="C526" s="11" t="s">
        <v>417</v>
      </c>
      <c r="D526" s="12">
        <v>27</v>
      </c>
      <c r="E526" s="11" t="s">
        <v>418</v>
      </c>
      <c r="F526" s="14" t="str">
        <f>_xlfn.XLOOKUP(E526,Profession!$B$2:$B$15,Profession!$A$2:$A$15,"Not Found")</f>
        <v>P001</v>
      </c>
      <c r="G526" s="11" t="s">
        <v>1115</v>
      </c>
      <c r="H526" s="10" t="str">
        <f>_xlfn.XLOOKUP(G526,Region!$B$2:$B$16,Region!$A$2:$A$16,"Not Found")</f>
        <v>R002</v>
      </c>
      <c r="I526" s="10" t="s">
        <v>420</v>
      </c>
      <c r="J526" s="10" t="s">
        <v>420</v>
      </c>
      <c r="K526" s="10" t="s">
        <v>435</v>
      </c>
      <c r="L526" s="10" t="s">
        <v>1058</v>
      </c>
      <c r="M526" s="16" t="s">
        <v>432</v>
      </c>
      <c r="N526" s="10" t="s">
        <v>138</v>
      </c>
      <c r="O526" s="16" t="s">
        <v>433</v>
      </c>
      <c r="P526" s="11" t="s">
        <v>422</v>
      </c>
      <c r="Q526" s="11" t="s">
        <v>1061</v>
      </c>
      <c r="R526" s="11" t="s">
        <v>1065</v>
      </c>
      <c r="S526" s="10" t="s">
        <v>62</v>
      </c>
      <c r="T526" s="81">
        <v>8</v>
      </c>
      <c r="U526" s="10" t="s">
        <v>420</v>
      </c>
      <c r="V526" s="10" t="s">
        <v>2277</v>
      </c>
      <c r="X526" s="15">
        <v>5</v>
      </c>
      <c r="Y526" s="10" t="s">
        <v>27</v>
      </c>
      <c r="Z526" s="10" t="s">
        <v>2849</v>
      </c>
      <c r="AA526" s="10" t="s">
        <v>23</v>
      </c>
      <c r="AB526" s="10" t="s">
        <v>2841</v>
      </c>
    </row>
    <row r="527" spans="1:28">
      <c r="A527" s="10" t="s">
        <v>1010</v>
      </c>
      <c r="B527" s="11" t="s">
        <v>207</v>
      </c>
      <c r="C527" s="11" t="s">
        <v>417</v>
      </c>
      <c r="D527" s="12">
        <v>28</v>
      </c>
      <c r="E527" s="11" t="s">
        <v>452</v>
      </c>
      <c r="F527" s="14" t="str">
        <f>_xlfn.XLOOKUP(E527,Profession!$B$2:$B$15,Profession!$A$2:$A$15,"Not Found")</f>
        <v>P005</v>
      </c>
      <c r="G527" s="11" t="s">
        <v>453</v>
      </c>
      <c r="H527" s="10" t="str">
        <f>_xlfn.XLOOKUP(G527,Region!$B$2:$B$16,Region!$A$2:$A$16,"Not Found")</f>
        <v>R005</v>
      </c>
      <c r="I527" s="10" t="s">
        <v>420</v>
      </c>
      <c r="J527" s="10" t="s">
        <v>420</v>
      </c>
      <c r="K527" s="10" t="s">
        <v>434</v>
      </c>
      <c r="L527" s="10" t="s">
        <v>1058</v>
      </c>
      <c r="M527" s="16" t="s">
        <v>422</v>
      </c>
      <c r="N527" s="10" t="s">
        <v>19</v>
      </c>
      <c r="O527" s="16" t="s">
        <v>433</v>
      </c>
      <c r="P527" s="11" t="s">
        <v>422</v>
      </c>
      <c r="Q527" s="11" t="s">
        <v>434</v>
      </c>
      <c r="R527" s="11" t="s">
        <v>1068</v>
      </c>
      <c r="S527" s="10" t="s">
        <v>62</v>
      </c>
      <c r="T527" s="81">
        <v>7</v>
      </c>
      <c r="U527" s="10" t="s">
        <v>2272</v>
      </c>
      <c r="V527" s="10" t="s">
        <v>450</v>
      </c>
      <c r="X527" s="15">
        <v>5</v>
      </c>
      <c r="Y527" s="10" t="s">
        <v>40</v>
      </c>
      <c r="Z527" s="10" t="s">
        <v>2280</v>
      </c>
      <c r="AA527" s="10" t="s">
        <v>37</v>
      </c>
      <c r="AB527" s="10" t="s">
        <v>24</v>
      </c>
    </row>
    <row r="528" spans="1:28">
      <c r="A528" s="10" t="s">
        <v>1011</v>
      </c>
      <c r="B528" s="11" t="s">
        <v>55</v>
      </c>
      <c r="C528" s="11" t="s">
        <v>417</v>
      </c>
      <c r="D528" s="12">
        <v>29</v>
      </c>
      <c r="E528" s="11" t="s">
        <v>465</v>
      </c>
      <c r="F528" s="14" t="str">
        <f>_xlfn.XLOOKUP(E528,Profession!$B$2:$B$15,Profession!$A$2:$A$15,"Not Found")</f>
        <v>P010</v>
      </c>
      <c r="G528" s="11" t="s">
        <v>467</v>
      </c>
      <c r="H528" s="10" t="str">
        <f>_xlfn.XLOOKUP(G528,Region!$B$2:$B$16,Region!$A$2:$A$16,"Not Found")</f>
        <v>R009</v>
      </c>
      <c r="I528" s="10" t="s">
        <v>420</v>
      </c>
      <c r="J528" s="10" t="s">
        <v>420</v>
      </c>
      <c r="K528" s="10" t="s">
        <v>434</v>
      </c>
      <c r="L528" s="10" t="s">
        <v>1058</v>
      </c>
      <c r="M528" s="16" t="s">
        <v>422</v>
      </c>
      <c r="N528" s="10" t="s">
        <v>138</v>
      </c>
      <c r="O528" s="16" t="s">
        <v>444</v>
      </c>
      <c r="P528" s="11" t="s">
        <v>422</v>
      </c>
      <c r="Q528" s="11" t="s">
        <v>420</v>
      </c>
      <c r="R528" s="11" t="s">
        <v>1070</v>
      </c>
      <c r="S528" s="10" t="s">
        <v>62</v>
      </c>
      <c r="T528" s="81">
        <v>6</v>
      </c>
      <c r="U528" s="10" t="s">
        <v>420</v>
      </c>
      <c r="V528" s="10" t="s">
        <v>2277</v>
      </c>
      <c r="X528" s="15">
        <v>4</v>
      </c>
      <c r="Y528" s="10" t="s">
        <v>56</v>
      </c>
      <c r="Z528" s="10" t="s">
        <v>2849</v>
      </c>
      <c r="AA528" s="10" t="s">
        <v>23</v>
      </c>
      <c r="AB528" s="10" t="s">
        <v>2843</v>
      </c>
    </row>
    <row r="529" spans="1:28">
      <c r="A529" s="10" t="s">
        <v>1012</v>
      </c>
      <c r="B529" s="11" t="s">
        <v>221</v>
      </c>
      <c r="C529" s="11" t="s">
        <v>417</v>
      </c>
      <c r="D529" s="12">
        <v>30</v>
      </c>
      <c r="E529" s="11" t="s">
        <v>448</v>
      </c>
      <c r="F529" s="14" t="str">
        <f>_xlfn.XLOOKUP(E529,Profession!$B$2:$B$15,Profession!$A$2:$A$15,"Not Found")</f>
        <v>P004</v>
      </c>
      <c r="G529" s="11" t="s">
        <v>1111</v>
      </c>
      <c r="H529" s="10" t="str">
        <f>_xlfn.XLOOKUP(G529,Region!$B$2:$B$16,Region!$A$2:$A$16,"Not Found")</f>
        <v>R004</v>
      </c>
      <c r="I529" s="10" t="s">
        <v>420</v>
      </c>
      <c r="J529" s="10" t="s">
        <v>420</v>
      </c>
      <c r="K529" s="10" t="s">
        <v>431</v>
      </c>
      <c r="L529" s="10" t="s">
        <v>1057</v>
      </c>
      <c r="M529" s="16" t="s">
        <v>432</v>
      </c>
      <c r="N529" s="10" t="s">
        <v>105</v>
      </c>
      <c r="O529" s="16" t="s">
        <v>444</v>
      </c>
      <c r="P529" s="11" t="s">
        <v>422</v>
      </c>
      <c r="Q529" s="11" t="s">
        <v>420</v>
      </c>
      <c r="R529" s="11" t="s">
        <v>1070</v>
      </c>
      <c r="S529" s="10" t="s">
        <v>62</v>
      </c>
      <c r="T529" s="81">
        <v>8</v>
      </c>
      <c r="U529" s="10" t="s">
        <v>420</v>
      </c>
      <c r="V529" s="10" t="s">
        <v>450</v>
      </c>
      <c r="X529" s="15">
        <v>4</v>
      </c>
      <c r="Y529" s="10" t="s">
        <v>56</v>
      </c>
      <c r="Z529" s="10" t="s">
        <v>2849</v>
      </c>
      <c r="AA529" s="10" t="s">
        <v>23</v>
      </c>
      <c r="AB529" s="10" t="s">
        <v>46</v>
      </c>
    </row>
    <row r="530" spans="1:28">
      <c r="A530" s="10" t="s">
        <v>1013</v>
      </c>
      <c r="B530" s="11" t="s">
        <v>72</v>
      </c>
      <c r="C530" s="11" t="s">
        <v>417</v>
      </c>
      <c r="D530" s="12">
        <v>31</v>
      </c>
      <c r="E530" s="11" t="s">
        <v>448</v>
      </c>
      <c r="F530" s="14" t="str">
        <f>_xlfn.XLOOKUP(E530,Profession!$B$2:$B$15,Profession!$A$2:$A$15,"Not Found")</f>
        <v>P004</v>
      </c>
      <c r="G530" s="11" t="s">
        <v>1111</v>
      </c>
      <c r="H530" s="10" t="str">
        <f>_xlfn.XLOOKUP(G530,Region!$B$2:$B$16,Region!$A$2:$A$16,"Not Found")</f>
        <v>R004</v>
      </c>
      <c r="I530" s="10" t="s">
        <v>420</v>
      </c>
      <c r="J530" s="10" t="s">
        <v>420</v>
      </c>
      <c r="K530" s="10" t="s">
        <v>431</v>
      </c>
      <c r="L530" s="10" t="s">
        <v>1058</v>
      </c>
      <c r="M530" s="16" t="s">
        <v>432</v>
      </c>
      <c r="N530" s="10" t="s">
        <v>138</v>
      </c>
      <c r="O530" s="16" t="s">
        <v>450</v>
      </c>
      <c r="P530" s="11" t="s">
        <v>422</v>
      </c>
      <c r="Q530" s="11" t="s">
        <v>420</v>
      </c>
      <c r="R530" s="11" t="s">
        <v>107</v>
      </c>
      <c r="S530" s="10" t="s">
        <v>62</v>
      </c>
      <c r="T530" s="81">
        <v>7</v>
      </c>
      <c r="U530" s="10" t="s">
        <v>420</v>
      </c>
      <c r="V530" s="10" t="s">
        <v>450</v>
      </c>
      <c r="X530" s="15">
        <v>4</v>
      </c>
      <c r="Y530" s="10" t="s">
        <v>56</v>
      </c>
      <c r="Z530" s="10" t="s">
        <v>2849</v>
      </c>
      <c r="AA530" s="10" t="s">
        <v>23</v>
      </c>
      <c r="AB530" s="10" t="s">
        <v>46</v>
      </c>
    </row>
    <row r="531" spans="1:28">
      <c r="A531" s="10" t="s">
        <v>1014</v>
      </c>
      <c r="B531" s="11" t="s">
        <v>228</v>
      </c>
      <c r="C531" s="11" t="s">
        <v>417</v>
      </c>
      <c r="D531" s="12">
        <v>32</v>
      </c>
      <c r="E531" s="11" t="s">
        <v>465</v>
      </c>
      <c r="F531" s="14" t="str">
        <f>_xlfn.XLOOKUP(E531,Profession!$B$2:$B$15,Profession!$A$2:$A$15,"Not Found")</f>
        <v>P010</v>
      </c>
      <c r="G531" s="11" t="s">
        <v>419</v>
      </c>
      <c r="H531" s="10" t="str">
        <f>_xlfn.XLOOKUP(G531,Region!$B$2:$B$16,Region!$A$2:$A$16,"Not Found")</f>
        <v>R001</v>
      </c>
      <c r="I531" s="10" t="s">
        <v>423</v>
      </c>
      <c r="J531" s="10" t="s">
        <v>423</v>
      </c>
      <c r="K531" s="10" t="s">
        <v>434</v>
      </c>
      <c r="L531" s="10" t="s">
        <v>1058</v>
      </c>
      <c r="M531" s="16" t="s">
        <v>422</v>
      </c>
      <c r="N531" s="10" t="s">
        <v>138</v>
      </c>
      <c r="O531" s="16" t="s">
        <v>444</v>
      </c>
      <c r="P531" s="11" t="s">
        <v>422</v>
      </c>
      <c r="Q531" s="11" t="s">
        <v>420</v>
      </c>
      <c r="R531" s="11" t="s">
        <v>1065</v>
      </c>
      <c r="S531" s="10" t="s">
        <v>62</v>
      </c>
      <c r="T531" s="81">
        <v>8</v>
      </c>
      <c r="U531" s="10" t="s">
        <v>420</v>
      </c>
      <c r="V531" s="10" t="s">
        <v>450</v>
      </c>
      <c r="X531" s="15">
        <v>7</v>
      </c>
      <c r="Y531" s="10" t="s">
        <v>100</v>
      </c>
      <c r="Z531" s="10" t="s">
        <v>2849</v>
      </c>
      <c r="AA531" s="10" t="s">
        <v>23</v>
      </c>
      <c r="AB531" s="10" t="s">
        <v>2843</v>
      </c>
    </row>
    <row r="532" spans="1:28">
      <c r="A532" s="10" t="s">
        <v>1015</v>
      </c>
      <c r="B532" s="11" t="s">
        <v>231</v>
      </c>
      <c r="C532" s="11" t="s">
        <v>417</v>
      </c>
      <c r="D532" s="12">
        <v>33</v>
      </c>
      <c r="E532" s="11" t="s">
        <v>462</v>
      </c>
      <c r="F532" s="14" t="str">
        <f>_xlfn.XLOOKUP(E532,Profession!$B$2:$B$15,Profession!$A$2:$A$15,"Not Found")</f>
        <v>P008</v>
      </c>
      <c r="G532" s="11" t="s">
        <v>464</v>
      </c>
      <c r="H532" s="10" t="str">
        <f>_xlfn.XLOOKUP(G532,Region!$B$2:$B$16,Region!$A$2:$A$16,"Not Found")</f>
        <v>R007</v>
      </c>
      <c r="I532" s="10" t="s">
        <v>423</v>
      </c>
      <c r="J532" s="10" t="s">
        <v>423</v>
      </c>
      <c r="K532" s="10" t="s">
        <v>435</v>
      </c>
      <c r="L532" s="10" t="s">
        <v>1058</v>
      </c>
      <c r="M532" s="16" t="s">
        <v>436</v>
      </c>
      <c r="N532" s="10" t="s">
        <v>138</v>
      </c>
      <c r="O532" s="16" t="s">
        <v>450</v>
      </c>
      <c r="P532" s="11" t="s">
        <v>422</v>
      </c>
      <c r="Q532" s="11" t="s">
        <v>420</v>
      </c>
      <c r="R532" s="11" t="s">
        <v>107</v>
      </c>
      <c r="S532" s="10" t="s">
        <v>62</v>
      </c>
      <c r="T532" s="81">
        <v>5</v>
      </c>
      <c r="U532" s="10" t="s">
        <v>2275</v>
      </c>
      <c r="V532" s="10" t="s">
        <v>450</v>
      </c>
      <c r="X532" s="15">
        <v>5</v>
      </c>
      <c r="Y532" s="10" t="s">
        <v>54</v>
      </c>
      <c r="Z532" s="10" t="s">
        <v>2849</v>
      </c>
      <c r="AA532" s="10" t="s">
        <v>23</v>
      </c>
      <c r="AB532" s="10" t="s">
        <v>2844</v>
      </c>
    </row>
    <row r="533" spans="1:28">
      <c r="A533" s="10" t="s">
        <v>1016</v>
      </c>
      <c r="B533" s="11" t="s">
        <v>237</v>
      </c>
      <c r="C533" s="11" t="s">
        <v>417</v>
      </c>
      <c r="D533" s="12">
        <v>34</v>
      </c>
      <c r="E533" s="11" t="s">
        <v>473</v>
      </c>
      <c r="F533" s="14" t="str">
        <f>_xlfn.XLOOKUP(E533,Profession!$B$2:$B$15,Profession!$A$2:$A$15,"Not Found")</f>
        <v>P012</v>
      </c>
      <c r="G533" s="11" t="s">
        <v>419</v>
      </c>
      <c r="H533" s="10" t="str">
        <f>_xlfn.XLOOKUP(G533,Region!$B$2:$B$16,Region!$A$2:$A$16,"Not Found")</f>
        <v>R001</v>
      </c>
      <c r="I533" s="10" t="s">
        <v>423</v>
      </c>
      <c r="J533" s="10" t="s">
        <v>423</v>
      </c>
      <c r="K533" s="10" t="s">
        <v>434</v>
      </c>
      <c r="L533" s="10" t="s">
        <v>1058</v>
      </c>
      <c r="M533" s="16" t="s">
        <v>432</v>
      </c>
      <c r="N533" s="10" t="s">
        <v>138</v>
      </c>
      <c r="O533" s="16" t="s">
        <v>444</v>
      </c>
      <c r="P533" s="11" t="s">
        <v>422</v>
      </c>
      <c r="Q533" s="11" t="s">
        <v>420</v>
      </c>
      <c r="R533" s="11" t="s">
        <v>107</v>
      </c>
      <c r="S533" s="10" t="s">
        <v>62</v>
      </c>
      <c r="T533" s="81">
        <v>7</v>
      </c>
      <c r="U533" s="10" t="s">
        <v>420</v>
      </c>
      <c r="V533" s="10" t="s">
        <v>450</v>
      </c>
      <c r="X533" s="15">
        <v>5</v>
      </c>
      <c r="Y533" s="10" t="s">
        <v>87</v>
      </c>
      <c r="Z533" s="10" t="s">
        <v>2848</v>
      </c>
      <c r="AA533" s="10" t="s">
        <v>23</v>
      </c>
      <c r="AB533" s="10" t="s">
        <v>149</v>
      </c>
    </row>
    <row r="534" spans="1:28">
      <c r="A534" s="10" t="s">
        <v>1017</v>
      </c>
      <c r="B534" s="11" t="s">
        <v>240</v>
      </c>
      <c r="C534" s="11" t="s">
        <v>417</v>
      </c>
      <c r="D534" s="12">
        <v>35</v>
      </c>
      <c r="E534" s="11" t="s">
        <v>452</v>
      </c>
      <c r="F534" s="14" t="str">
        <f>_xlfn.XLOOKUP(E534,Profession!$B$2:$B$15,Profession!$A$2:$A$15,"Not Found")</f>
        <v>P005</v>
      </c>
      <c r="G534" s="11" t="s">
        <v>455</v>
      </c>
      <c r="H534" s="10" t="str">
        <f>_xlfn.XLOOKUP(G534,Region!$B$2:$B$16,Region!$A$2:$A$16,"Not Found")</f>
        <v>R006</v>
      </c>
      <c r="I534" s="10" t="s">
        <v>420</v>
      </c>
      <c r="J534" s="10" t="s">
        <v>420</v>
      </c>
      <c r="K534" s="10" t="s">
        <v>434</v>
      </c>
      <c r="L534" s="10" t="s">
        <v>1058</v>
      </c>
      <c r="M534" s="16" t="s">
        <v>422</v>
      </c>
      <c r="N534" s="10" t="s">
        <v>138</v>
      </c>
      <c r="O534" s="16" t="s">
        <v>436</v>
      </c>
      <c r="P534" s="11" t="s">
        <v>422</v>
      </c>
      <c r="Q534" s="11" t="s">
        <v>435</v>
      </c>
      <c r="R534" s="11" t="s">
        <v>1071</v>
      </c>
      <c r="S534" s="10" t="s">
        <v>62</v>
      </c>
      <c r="T534" s="81">
        <v>6</v>
      </c>
      <c r="U534" s="10" t="s">
        <v>420</v>
      </c>
      <c r="V534" s="10" t="s">
        <v>2277</v>
      </c>
      <c r="X534" s="15">
        <v>8</v>
      </c>
      <c r="Y534" s="10" t="s">
        <v>42</v>
      </c>
      <c r="Z534" s="10" t="s">
        <v>2849</v>
      </c>
      <c r="AA534" s="10" t="s">
        <v>43</v>
      </c>
      <c r="AB534" s="10" t="s">
        <v>46</v>
      </c>
    </row>
    <row r="535" spans="1:28">
      <c r="A535" s="10" t="s">
        <v>1018</v>
      </c>
      <c r="B535" s="11" t="s">
        <v>59</v>
      </c>
      <c r="C535" s="11" t="s">
        <v>417</v>
      </c>
      <c r="D535" s="12">
        <v>36</v>
      </c>
      <c r="E535" s="11" t="s">
        <v>452</v>
      </c>
      <c r="F535" s="14" t="str">
        <f>_xlfn.XLOOKUP(E535,Profession!$B$2:$B$15,Profession!$A$2:$A$15,"Not Found")</f>
        <v>P005</v>
      </c>
      <c r="G535" s="11" t="s">
        <v>1115</v>
      </c>
      <c r="H535" s="10" t="str">
        <f>_xlfn.XLOOKUP(G535,Region!$B$2:$B$16,Region!$A$2:$A$16,"Not Found")</f>
        <v>R002</v>
      </c>
      <c r="I535" s="10" t="s">
        <v>420</v>
      </c>
      <c r="J535" s="10" t="s">
        <v>420</v>
      </c>
      <c r="K535" s="10" t="s">
        <v>435</v>
      </c>
      <c r="L535" s="10" t="s">
        <v>1058</v>
      </c>
      <c r="M535" s="16" t="s">
        <v>429</v>
      </c>
      <c r="N535" s="10" t="s">
        <v>138</v>
      </c>
      <c r="O535" s="16" t="s">
        <v>433</v>
      </c>
      <c r="P535" s="11" t="s">
        <v>422</v>
      </c>
      <c r="Q535" s="11" t="s">
        <v>420</v>
      </c>
      <c r="R535" s="11" t="s">
        <v>1072</v>
      </c>
      <c r="S535" s="10" t="s">
        <v>2885</v>
      </c>
      <c r="T535" s="81">
        <v>6</v>
      </c>
      <c r="U535" s="10" t="s">
        <v>2273</v>
      </c>
      <c r="V535" s="10" t="s">
        <v>2277</v>
      </c>
      <c r="X535" s="15">
        <v>3</v>
      </c>
      <c r="Y535" s="10" t="s">
        <v>45</v>
      </c>
      <c r="Z535" s="10" t="s">
        <v>2849</v>
      </c>
      <c r="AA535" s="10" t="s">
        <v>37</v>
      </c>
      <c r="AB535" s="10" t="s">
        <v>149</v>
      </c>
    </row>
    <row r="536" spans="1:28">
      <c r="A536" s="10" t="s">
        <v>1019</v>
      </c>
      <c r="B536" s="11" t="s">
        <v>38</v>
      </c>
      <c r="C536" s="11" t="s">
        <v>417</v>
      </c>
      <c r="D536" s="12">
        <v>37</v>
      </c>
      <c r="E536" s="11" t="s">
        <v>442</v>
      </c>
      <c r="F536" s="14" t="str">
        <f>_xlfn.XLOOKUP(E536,Profession!$B$2:$B$15,Profession!$A$2:$A$15,"Not Found")</f>
        <v>P002</v>
      </c>
      <c r="G536" s="11" t="s">
        <v>419</v>
      </c>
      <c r="H536" s="10" t="str">
        <f>_xlfn.XLOOKUP(G536,Region!$B$2:$B$16,Region!$A$2:$A$16,"Not Found")</f>
        <v>R001</v>
      </c>
      <c r="I536" s="10" t="s">
        <v>420</v>
      </c>
      <c r="J536" s="10" t="s">
        <v>420</v>
      </c>
      <c r="K536" s="10" t="s">
        <v>426</v>
      </c>
      <c r="L536" s="10" t="s">
        <v>1058</v>
      </c>
      <c r="M536" s="16" t="s">
        <v>422</v>
      </c>
      <c r="N536" s="10" t="s">
        <v>106</v>
      </c>
      <c r="O536" s="16" t="s">
        <v>426</v>
      </c>
      <c r="P536" s="11" t="s">
        <v>1059</v>
      </c>
      <c r="Q536" s="11" t="s">
        <v>422</v>
      </c>
      <c r="R536" s="11" t="s">
        <v>1062</v>
      </c>
      <c r="S536" s="10" t="s">
        <v>2884</v>
      </c>
      <c r="T536" s="81">
        <v>6.3008333333333297</v>
      </c>
      <c r="U536" s="10" t="s">
        <v>420</v>
      </c>
      <c r="V536" s="10" t="s">
        <v>2277</v>
      </c>
      <c r="X536" s="15">
        <v>4</v>
      </c>
      <c r="Y536" s="10" t="s">
        <v>36</v>
      </c>
      <c r="Z536" s="10" t="s">
        <v>2849</v>
      </c>
      <c r="AA536" s="10" t="s">
        <v>23</v>
      </c>
      <c r="AB536" s="10" t="s">
        <v>2843</v>
      </c>
    </row>
    <row r="537" spans="1:28">
      <c r="A537" s="10" t="s">
        <v>1020</v>
      </c>
      <c r="B537" s="11" t="s">
        <v>47</v>
      </c>
      <c r="C537" s="11" t="s">
        <v>417</v>
      </c>
      <c r="D537" s="12">
        <v>38</v>
      </c>
      <c r="E537" s="11" t="s">
        <v>465</v>
      </c>
      <c r="F537" s="14" t="str">
        <f>_xlfn.XLOOKUP(E537,Profession!$B$2:$B$15,Profession!$A$2:$A$15,"Not Found")</f>
        <v>P010</v>
      </c>
      <c r="G537" s="11" t="s">
        <v>108</v>
      </c>
      <c r="H537" s="10" t="str">
        <f>_xlfn.XLOOKUP(G537,Region!$B$2:$B$16,Region!$A$2:$A$16,"Not Found")</f>
        <v>R010</v>
      </c>
      <c r="I537" s="10" t="s">
        <v>420</v>
      </c>
      <c r="J537" s="10" t="s">
        <v>420</v>
      </c>
      <c r="K537" s="10" t="s">
        <v>435</v>
      </c>
      <c r="L537" s="10" t="s">
        <v>1058</v>
      </c>
      <c r="M537" s="16" t="s">
        <v>422</v>
      </c>
      <c r="N537" s="10" t="s">
        <v>64</v>
      </c>
      <c r="O537" s="16" t="s">
        <v>450</v>
      </c>
      <c r="P537" s="11" t="s">
        <v>422</v>
      </c>
      <c r="Q537" s="11" t="s">
        <v>420</v>
      </c>
      <c r="R537" s="11" t="s">
        <v>107</v>
      </c>
      <c r="S537" s="10" t="s">
        <v>62</v>
      </c>
      <c r="T537" s="81">
        <v>7</v>
      </c>
      <c r="U537" s="10" t="s">
        <v>420</v>
      </c>
      <c r="V537" s="10" t="s">
        <v>450</v>
      </c>
      <c r="X537" s="15">
        <v>7</v>
      </c>
      <c r="Y537" s="10" t="s">
        <v>19</v>
      </c>
      <c r="Z537" s="10" t="s">
        <v>2849</v>
      </c>
      <c r="AA537" s="10" t="s">
        <v>23</v>
      </c>
      <c r="AB537" s="10" t="s">
        <v>2841</v>
      </c>
    </row>
    <row r="538" spans="1:28">
      <c r="A538" s="10" t="s">
        <v>1021</v>
      </c>
      <c r="B538" s="11" t="s">
        <v>29</v>
      </c>
      <c r="C538" s="11" t="s">
        <v>417</v>
      </c>
      <c r="D538" s="12">
        <v>39</v>
      </c>
      <c r="E538" s="11" t="s">
        <v>458</v>
      </c>
      <c r="F538" s="14" t="str">
        <f>_xlfn.XLOOKUP(E538,Profession!$B$2:$B$15,Profession!$A$2:$A$15,"Not Found")</f>
        <v>P006</v>
      </c>
      <c r="G538" s="11" t="s">
        <v>1115</v>
      </c>
      <c r="H538" s="10" t="str">
        <f>_xlfn.XLOOKUP(G538,Region!$B$2:$B$16,Region!$A$2:$A$16,"Not Found")</f>
        <v>R002</v>
      </c>
      <c r="I538" s="10" t="s">
        <v>420</v>
      </c>
      <c r="J538" s="10" t="s">
        <v>420</v>
      </c>
      <c r="K538" s="10" t="s">
        <v>434</v>
      </c>
      <c r="L538" s="10" t="s">
        <v>1058</v>
      </c>
      <c r="M538" s="16" t="s">
        <v>432</v>
      </c>
      <c r="N538" s="10" t="s">
        <v>102</v>
      </c>
      <c r="O538" s="16" t="s">
        <v>433</v>
      </c>
      <c r="P538" s="11" t="s">
        <v>422</v>
      </c>
      <c r="Q538" s="11" t="s">
        <v>1061</v>
      </c>
      <c r="R538" s="11" t="s">
        <v>1065</v>
      </c>
      <c r="S538" s="10" t="s">
        <v>62</v>
      </c>
      <c r="T538" s="81">
        <v>6</v>
      </c>
      <c r="U538" s="10" t="s">
        <v>2274</v>
      </c>
      <c r="V538" s="10" t="s">
        <v>450</v>
      </c>
      <c r="X538" s="15">
        <v>3</v>
      </c>
      <c r="Y538" s="10" t="s">
        <v>49</v>
      </c>
      <c r="Z538" s="10" t="s">
        <v>2849</v>
      </c>
      <c r="AA538" s="10" t="s">
        <v>37</v>
      </c>
      <c r="AB538" s="10" t="s">
        <v>46</v>
      </c>
    </row>
    <row r="539" spans="1:28">
      <c r="A539" s="10" t="s">
        <v>1022</v>
      </c>
      <c r="B539" s="11" t="s">
        <v>246</v>
      </c>
      <c r="C539" s="11" t="s">
        <v>417</v>
      </c>
      <c r="D539" s="12">
        <v>40</v>
      </c>
      <c r="E539" s="11" t="s">
        <v>1054</v>
      </c>
      <c r="F539" s="14" t="str">
        <f>_xlfn.XLOOKUP(E539,Profession!$B$2:$B$15,Profession!$A$2:$A$15,"Not Found")</f>
        <v>P013</v>
      </c>
      <c r="G539" s="11" t="s">
        <v>1110</v>
      </c>
      <c r="H539" s="10" t="str">
        <f>_xlfn.XLOOKUP(G539,Region!$B$2:$B$16,Region!$A$2:$A$16,"Not Found")</f>
        <v>R013</v>
      </c>
      <c r="I539" s="10" t="s">
        <v>420</v>
      </c>
      <c r="J539" s="10" t="s">
        <v>420</v>
      </c>
      <c r="K539" s="10" t="s">
        <v>435</v>
      </c>
      <c r="L539" s="10" t="s">
        <v>1058</v>
      </c>
      <c r="M539" s="16" t="s">
        <v>422</v>
      </c>
      <c r="N539" s="10" t="s">
        <v>138</v>
      </c>
      <c r="O539" s="16" t="s">
        <v>433</v>
      </c>
      <c r="P539" s="11" t="s">
        <v>435</v>
      </c>
      <c r="Q539" s="11" t="s">
        <v>420</v>
      </c>
      <c r="R539" s="11" t="s">
        <v>1067</v>
      </c>
      <c r="S539" s="10" t="s">
        <v>62</v>
      </c>
      <c r="T539" s="81">
        <v>6</v>
      </c>
      <c r="U539" s="10" t="s">
        <v>420</v>
      </c>
      <c r="V539" s="10" t="s">
        <v>450</v>
      </c>
      <c r="X539" s="15">
        <v>6</v>
      </c>
      <c r="Y539" s="10" t="s">
        <v>75</v>
      </c>
      <c r="Z539" s="10" t="s">
        <v>2847</v>
      </c>
      <c r="AA539" s="10" t="s">
        <v>70</v>
      </c>
      <c r="AB539" s="10" t="s">
        <v>149</v>
      </c>
    </row>
    <row r="540" spans="1:28">
      <c r="A540" s="10" t="s">
        <v>1023</v>
      </c>
      <c r="B540" s="11" t="s">
        <v>253</v>
      </c>
      <c r="C540" s="11" t="s">
        <v>417</v>
      </c>
      <c r="D540" s="12">
        <v>41</v>
      </c>
      <c r="E540" s="11" t="s">
        <v>446</v>
      </c>
      <c r="F540" s="14" t="str">
        <f>_xlfn.XLOOKUP(E540,Profession!$B$2:$B$15,Profession!$A$2:$A$15,"Not Found")</f>
        <v>P003</v>
      </c>
      <c r="G540" s="11" t="s">
        <v>104</v>
      </c>
      <c r="H540" s="10" t="str">
        <f>_xlfn.XLOOKUP(G540,Region!$B$2:$B$16,Region!$A$2:$A$16,"Not Found")</f>
        <v>R003</v>
      </c>
      <c r="I540" s="10" t="s">
        <v>420</v>
      </c>
      <c r="J540" s="10" t="s">
        <v>420</v>
      </c>
      <c r="K540" s="10" t="s">
        <v>435</v>
      </c>
      <c r="L540" s="10" t="s">
        <v>1058</v>
      </c>
      <c r="M540" s="16" t="s">
        <v>422</v>
      </c>
      <c r="N540" s="10" t="s">
        <v>64</v>
      </c>
      <c r="O540" s="16" t="s">
        <v>433</v>
      </c>
      <c r="P540" s="11" t="s">
        <v>422</v>
      </c>
      <c r="Q540" s="11" t="s">
        <v>420</v>
      </c>
      <c r="R540" s="11" t="s">
        <v>1070</v>
      </c>
      <c r="S540" s="10" t="s">
        <v>62</v>
      </c>
      <c r="T540" s="81">
        <v>8</v>
      </c>
      <c r="U540" s="10" t="s">
        <v>420</v>
      </c>
      <c r="V540" s="10" t="s">
        <v>2277</v>
      </c>
      <c r="X540" s="15">
        <v>5</v>
      </c>
      <c r="Y540" s="10" t="s">
        <v>19</v>
      </c>
      <c r="Z540" s="10" t="s">
        <v>2849</v>
      </c>
      <c r="AA540" s="10" t="s">
        <v>23</v>
      </c>
      <c r="AB540" s="10" t="s">
        <v>28</v>
      </c>
    </row>
    <row r="541" spans="1:28">
      <c r="A541" s="10" t="s">
        <v>1024</v>
      </c>
      <c r="B541" s="11" t="s">
        <v>41</v>
      </c>
      <c r="C541" s="11" t="s">
        <v>417</v>
      </c>
      <c r="D541" s="12">
        <v>42</v>
      </c>
      <c r="E541" s="11" t="s">
        <v>1088</v>
      </c>
      <c r="F541" s="14" t="str">
        <f>_xlfn.XLOOKUP(E541,Profession!$B$2:$B$15,Profession!$A$2:$A$15,"Not Found")</f>
        <v>P014</v>
      </c>
      <c r="G541" s="11" t="s">
        <v>1114</v>
      </c>
      <c r="H541" s="10" t="str">
        <f>_xlfn.XLOOKUP(G541,Region!$B$2:$B$16,Region!$A$2:$A$16,"Not Found")</f>
        <v>R014</v>
      </c>
      <c r="I541" s="10" t="s">
        <v>420</v>
      </c>
      <c r="J541" s="10" t="s">
        <v>420</v>
      </c>
      <c r="K541" s="10" t="s">
        <v>435</v>
      </c>
      <c r="L541" s="10" t="s">
        <v>1058</v>
      </c>
      <c r="M541" s="16" t="s">
        <v>422</v>
      </c>
      <c r="N541" s="10" t="s">
        <v>138</v>
      </c>
      <c r="O541" s="16" t="s">
        <v>433</v>
      </c>
      <c r="P541" s="11" t="s">
        <v>422</v>
      </c>
      <c r="Q541" s="11" t="s">
        <v>1061</v>
      </c>
      <c r="R541" s="11" t="s">
        <v>1067</v>
      </c>
      <c r="S541" s="10" t="s">
        <v>62</v>
      </c>
      <c r="T541" s="81">
        <v>6</v>
      </c>
      <c r="U541" s="10" t="s">
        <v>420</v>
      </c>
      <c r="V541" s="10" t="s">
        <v>450</v>
      </c>
      <c r="X541" s="15">
        <v>6</v>
      </c>
      <c r="Y541" s="10" t="s">
        <v>77</v>
      </c>
      <c r="Z541" s="10" t="s">
        <v>2282</v>
      </c>
      <c r="AA541" s="10" t="s">
        <v>23</v>
      </c>
      <c r="AB541" s="10" t="s">
        <v>46</v>
      </c>
    </row>
    <row r="542" spans="1:28">
      <c r="A542" s="10" t="s">
        <v>1025</v>
      </c>
      <c r="B542" s="11" t="s">
        <v>254</v>
      </c>
      <c r="C542" s="11" t="s">
        <v>417</v>
      </c>
      <c r="D542" s="12">
        <v>43</v>
      </c>
      <c r="E542" s="11" t="s">
        <v>1088</v>
      </c>
      <c r="F542" s="14" t="str">
        <f>_xlfn.XLOOKUP(E542,Profession!$B$2:$B$15,Profession!$A$2:$A$15,"Not Found")</f>
        <v>P014</v>
      </c>
      <c r="G542" s="11" t="s">
        <v>477</v>
      </c>
      <c r="H542" s="10" t="str">
        <f>_xlfn.XLOOKUP(G542,Region!$B$2:$B$16,Region!$A$2:$A$16,"Not Found")</f>
        <v>R015</v>
      </c>
      <c r="I542" s="10" t="s">
        <v>420</v>
      </c>
      <c r="J542" s="10" t="s">
        <v>420</v>
      </c>
      <c r="K542" s="10" t="s">
        <v>435</v>
      </c>
      <c r="L542" s="10" t="s">
        <v>1058</v>
      </c>
      <c r="M542" s="16" t="s">
        <v>422</v>
      </c>
      <c r="N542" s="10" t="s">
        <v>138</v>
      </c>
      <c r="O542" s="16" t="s">
        <v>433</v>
      </c>
      <c r="P542" s="11" t="s">
        <v>435</v>
      </c>
      <c r="Q542" s="11" t="s">
        <v>1061</v>
      </c>
      <c r="R542" s="11" t="s">
        <v>1068</v>
      </c>
      <c r="S542" s="10" t="s">
        <v>62</v>
      </c>
      <c r="T542" s="81">
        <v>8</v>
      </c>
      <c r="U542" s="10" t="s">
        <v>420</v>
      </c>
      <c r="V542" s="10" t="s">
        <v>450</v>
      </c>
      <c r="X542" s="15">
        <v>6</v>
      </c>
      <c r="Y542" s="10" t="s">
        <v>36</v>
      </c>
      <c r="Z542" s="10" t="s">
        <v>2849</v>
      </c>
      <c r="AA542" s="10" t="s">
        <v>23</v>
      </c>
      <c r="AB542" s="10" t="s">
        <v>2841</v>
      </c>
    </row>
    <row r="543" spans="1:28">
      <c r="A543" s="10" t="s">
        <v>1026</v>
      </c>
      <c r="B543" s="11" t="s">
        <v>259</v>
      </c>
      <c r="C543" s="11" t="s">
        <v>417</v>
      </c>
      <c r="D543" s="12">
        <v>20</v>
      </c>
      <c r="E543" s="11" t="s">
        <v>418</v>
      </c>
      <c r="F543" s="14" t="str">
        <f>_xlfn.XLOOKUP(E543,Profession!$B$2:$B$15,Profession!$A$2:$A$15,"Not Found")</f>
        <v>P001</v>
      </c>
      <c r="G543" s="11" t="s">
        <v>419</v>
      </c>
      <c r="H543" s="10" t="str">
        <f>_xlfn.XLOOKUP(G543,Region!$B$2:$B$16,Region!$A$2:$A$16,"Not Found")</f>
        <v>R001</v>
      </c>
      <c r="I543" s="10" t="s">
        <v>420</v>
      </c>
      <c r="J543" s="10" t="s">
        <v>420</v>
      </c>
      <c r="K543" s="10" t="s">
        <v>435</v>
      </c>
      <c r="L543" s="10" t="s">
        <v>1057</v>
      </c>
      <c r="M543" s="16" t="s">
        <v>422</v>
      </c>
      <c r="N543" s="10" t="s">
        <v>138</v>
      </c>
      <c r="O543" s="16" t="s">
        <v>423</v>
      </c>
      <c r="P543" s="11" t="s">
        <v>1059</v>
      </c>
      <c r="Q543" s="11" t="s">
        <v>422</v>
      </c>
      <c r="R543" s="11" t="s">
        <v>1062</v>
      </c>
      <c r="S543" s="10" t="s">
        <v>2884</v>
      </c>
      <c r="T543" s="81">
        <v>7</v>
      </c>
      <c r="U543" s="10" t="s">
        <v>420</v>
      </c>
      <c r="V543" s="10" t="s">
        <v>2278</v>
      </c>
      <c r="X543" s="15">
        <v>3</v>
      </c>
      <c r="Y543" s="10" t="s">
        <v>27</v>
      </c>
      <c r="Z543" s="10" t="s">
        <v>2849</v>
      </c>
      <c r="AA543" s="10" t="s">
        <v>23</v>
      </c>
      <c r="AB543" s="10" t="s">
        <v>24</v>
      </c>
    </row>
    <row r="544" spans="1:28">
      <c r="A544" s="10" t="s">
        <v>1027</v>
      </c>
      <c r="B544" s="11" t="s">
        <v>260</v>
      </c>
      <c r="C544" s="11" t="s">
        <v>417</v>
      </c>
      <c r="D544" s="12">
        <v>21</v>
      </c>
      <c r="E544" s="11" t="s">
        <v>465</v>
      </c>
      <c r="F544" s="14" t="str">
        <f>_xlfn.XLOOKUP(E544,Profession!$B$2:$B$15,Profession!$A$2:$A$15,"Not Found")</f>
        <v>P010</v>
      </c>
      <c r="G544" s="11" t="s">
        <v>1115</v>
      </c>
      <c r="H544" s="10" t="str">
        <f>_xlfn.XLOOKUP(G544,Region!$B$2:$B$16,Region!$A$2:$A$16,"Not Found")</f>
        <v>R002</v>
      </c>
      <c r="I544" s="10" t="s">
        <v>420</v>
      </c>
      <c r="J544" s="10" t="s">
        <v>420</v>
      </c>
      <c r="K544" s="10" t="s">
        <v>421</v>
      </c>
      <c r="L544" s="10" t="s">
        <v>1058</v>
      </c>
      <c r="M544" s="16" t="s">
        <v>422</v>
      </c>
      <c r="N544" s="10" t="s">
        <v>138</v>
      </c>
      <c r="O544" s="16" t="s">
        <v>450</v>
      </c>
      <c r="P544" s="11" t="s">
        <v>422</v>
      </c>
      <c r="Q544" s="11" t="s">
        <v>420</v>
      </c>
      <c r="R544" s="11" t="s">
        <v>1065</v>
      </c>
      <c r="S544" s="10" t="s">
        <v>62</v>
      </c>
      <c r="T544" s="81">
        <v>8</v>
      </c>
      <c r="U544" s="10" t="s">
        <v>420</v>
      </c>
      <c r="V544" s="10" t="s">
        <v>450</v>
      </c>
      <c r="X544" s="15">
        <v>4</v>
      </c>
      <c r="Y544" s="10" t="s">
        <v>56</v>
      </c>
      <c r="Z544" s="10" t="s">
        <v>2849</v>
      </c>
      <c r="AA544" s="10" t="s">
        <v>23</v>
      </c>
      <c r="AB544" s="10" t="s">
        <v>2843</v>
      </c>
    </row>
    <row r="545" spans="1:28">
      <c r="A545" s="10" t="s">
        <v>1028</v>
      </c>
      <c r="B545" s="11" t="s">
        <v>261</v>
      </c>
      <c r="C545" s="11" t="s">
        <v>417</v>
      </c>
      <c r="D545" s="12">
        <v>22</v>
      </c>
      <c r="E545" s="11" t="s">
        <v>442</v>
      </c>
      <c r="F545" s="14" t="str">
        <f>_xlfn.XLOOKUP(E545,Profession!$B$2:$B$15,Profession!$A$2:$A$15,"Not Found")</f>
        <v>P002</v>
      </c>
      <c r="G545" s="11" t="s">
        <v>419</v>
      </c>
      <c r="H545" s="10" t="str">
        <f>_xlfn.XLOOKUP(G545,Region!$B$2:$B$16,Region!$A$2:$A$16,"Not Found")</f>
        <v>R001</v>
      </c>
      <c r="I545" s="10" t="s">
        <v>420</v>
      </c>
      <c r="J545" s="10" t="s">
        <v>420</v>
      </c>
      <c r="K545" s="10" t="s">
        <v>435</v>
      </c>
      <c r="L545" s="10" t="s">
        <v>1058</v>
      </c>
      <c r="M545" s="16" t="s">
        <v>436</v>
      </c>
      <c r="N545" s="10" t="s">
        <v>26</v>
      </c>
      <c r="O545" s="16" t="s">
        <v>444</v>
      </c>
      <c r="P545" s="11" t="s">
        <v>422</v>
      </c>
      <c r="Q545" s="11" t="s">
        <v>1061</v>
      </c>
      <c r="R545" s="11" t="s">
        <v>1068</v>
      </c>
      <c r="S545" s="10" t="s">
        <v>62</v>
      </c>
      <c r="T545" s="81">
        <v>6</v>
      </c>
      <c r="U545" s="10" t="s">
        <v>420</v>
      </c>
      <c r="V545" s="10" t="s">
        <v>2277</v>
      </c>
      <c r="X545" s="15">
        <v>6</v>
      </c>
      <c r="Y545" s="10" t="s">
        <v>100</v>
      </c>
      <c r="Z545" s="10" t="s">
        <v>2849</v>
      </c>
      <c r="AA545" s="10" t="s">
        <v>37</v>
      </c>
      <c r="AB545" s="10" t="s">
        <v>2844</v>
      </c>
    </row>
    <row r="546" spans="1:28">
      <c r="A546" s="10" t="s">
        <v>1029</v>
      </c>
      <c r="B546" s="11" t="s">
        <v>263</v>
      </c>
      <c r="C546" s="11" t="s">
        <v>417</v>
      </c>
      <c r="D546" s="12">
        <v>23</v>
      </c>
      <c r="E546" s="11" t="s">
        <v>462</v>
      </c>
      <c r="F546" s="14" t="str">
        <f>_xlfn.XLOOKUP(E546,Profession!$B$2:$B$15,Profession!$A$2:$A$15,"Not Found")</f>
        <v>P008</v>
      </c>
      <c r="G546" s="11" t="s">
        <v>1112</v>
      </c>
      <c r="H546" s="10" t="str">
        <f>_xlfn.XLOOKUP(G546,Region!$B$2:$B$16,Region!$A$2:$A$16,"Not Found")</f>
        <v>R008</v>
      </c>
      <c r="I546" s="10" t="s">
        <v>420</v>
      </c>
      <c r="J546" s="10" t="s">
        <v>420</v>
      </c>
      <c r="K546" s="10" t="s">
        <v>431</v>
      </c>
      <c r="L546" s="10" t="s">
        <v>1058</v>
      </c>
      <c r="M546" s="16" t="s">
        <v>422</v>
      </c>
      <c r="N546" s="10" t="s">
        <v>138</v>
      </c>
      <c r="O546" s="16" t="s">
        <v>450</v>
      </c>
      <c r="P546" s="11" t="s">
        <v>422</v>
      </c>
      <c r="Q546" s="11" t="s">
        <v>420</v>
      </c>
      <c r="R546" s="11" t="s">
        <v>107</v>
      </c>
      <c r="S546" s="10" t="s">
        <v>62</v>
      </c>
      <c r="T546" s="81">
        <v>7</v>
      </c>
      <c r="U546" s="10" t="s">
        <v>420</v>
      </c>
      <c r="V546" s="10" t="s">
        <v>450</v>
      </c>
      <c r="X546" s="15">
        <v>5</v>
      </c>
      <c r="Y546" s="10" t="s">
        <v>56</v>
      </c>
      <c r="Z546" s="10" t="s">
        <v>2849</v>
      </c>
      <c r="AA546" s="10" t="s">
        <v>23</v>
      </c>
      <c r="AB546" s="10" t="s">
        <v>2843</v>
      </c>
    </row>
    <row r="547" spans="1:28">
      <c r="A547" s="10" t="s">
        <v>1030</v>
      </c>
      <c r="B547" s="11" t="s">
        <v>264</v>
      </c>
      <c r="C547" s="11" t="s">
        <v>417</v>
      </c>
      <c r="D547" s="12">
        <v>24</v>
      </c>
      <c r="E547" s="11" t="s">
        <v>473</v>
      </c>
      <c r="F547" s="14" t="str">
        <f>_xlfn.XLOOKUP(E547,Profession!$B$2:$B$15,Profession!$A$2:$A$15,"Not Found")</f>
        <v>P012</v>
      </c>
      <c r="G547" s="11" t="s">
        <v>1113</v>
      </c>
      <c r="H547" s="10" t="str">
        <f>_xlfn.XLOOKUP(G547,Region!$B$2:$B$16,Region!$A$2:$A$16,"Not Found")</f>
        <v>R012</v>
      </c>
      <c r="I547" s="10" t="s">
        <v>423</v>
      </c>
      <c r="J547" s="10" t="s">
        <v>423</v>
      </c>
      <c r="K547" s="10" t="s">
        <v>435</v>
      </c>
      <c r="L547" s="10" t="s">
        <v>1058</v>
      </c>
      <c r="M547" s="16" t="s">
        <v>422</v>
      </c>
      <c r="N547" s="10" t="s">
        <v>138</v>
      </c>
      <c r="O547" s="16" t="s">
        <v>444</v>
      </c>
      <c r="P547" s="11" t="s">
        <v>422</v>
      </c>
      <c r="Q547" s="11" t="s">
        <v>1061</v>
      </c>
      <c r="R547" s="11" t="s">
        <v>107</v>
      </c>
      <c r="S547" s="10" t="s">
        <v>62</v>
      </c>
      <c r="T547" s="81">
        <v>6</v>
      </c>
      <c r="U547" s="10" t="s">
        <v>420</v>
      </c>
      <c r="V547" s="10" t="s">
        <v>2277</v>
      </c>
      <c r="X547" s="15">
        <v>6</v>
      </c>
      <c r="Y547" s="10" t="s">
        <v>22</v>
      </c>
      <c r="Z547" s="10" t="s">
        <v>2846</v>
      </c>
      <c r="AA547" s="10" t="s">
        <v>23</v>
      </c>
      <c r="AB547" s="10" t="s">
        <v>2842</v>
      </c>
    </row>
    <row r="548" spans="1:28">
      <c r="A548" s="10" t="s">
        <v>1031</v>
      </c>
      <c r="B548" s="11" t="s">
        <v>35</v>
      </c>
      <c r="C548" s="11" t="s">
        <v>417</v>
      </c>
      <c r="D548" s="12">
        <v>25</v>
      </c>
      <c r="E548" s="11" t="s">
        <v>1108</v>
      </c>
      <c r="F548" s="14" t="str">
        <f>_xlfn.XLOOKUP(E548,Profession!$B$2:$B$15,Profession!$A$2:$A$15,"Not Found")</f>
        <v>P011</v>
      </c>
      <c r="G548" s="11" t="s">
        <v>419</v>
      </c>
      <c r="H548" s="10" t="str">
        <f>_xlfn.XLOOKUP(G548,Region!$B$2:$B$16,Region!$A$2:$A$16,"Not Found")</f>
        <v>R001</v>
      </c>
      <c r="I548" s="10" t="s">
        <v>420</v>
      </c>
      <c r="J548" s="10" t="s">
        <v>420</v>
      </c>
      <c r="K548" s="10" t="s">
        <v>431</v>
      </c>
      <c r="L548" s="10" t="s">
        <v>1058</v>
      </c>
      <c r="M548" s="16" t="s">
        <v>422</v>
      </c>
      <c r="N548" s="10" t="s">
        <v>138</v>
      </c>
      <c r="O548" s="16" t="s">
        <v>444</v>
      </c>
      <c r="P548" s="11" t="s">
        <v>422</v>
      </c>
      <c r="Q548" s="11" t="s">
        <v>420</v>
      </c>
      <c r="R548" s="11" t="s">
        <v>1070</v>
      </c>
      <c r="S548" s="10" t="s">
        <v>62</v>
      </c>
      <c r="T548" s="81">
        <v>6</v>
      </c>
      <c r="U548" s="10" t="s">
        <v>420</v>
      </c>
      <c r="V548" s="10" t="s">
        <v>2277</v>
      </c>
      <c r="X548" s="15">
        <v>5</v>
      </c>
      <c r="Y548" s="10" t="s">
        <v>58</v>
      </c>
      <c r="Z548" s="10" t="s">
        <v>2849</v>
      </c>
      <c r="AA548" s="10" t="s">
        <v>23</v>
      </c>
      <c r="AB548" s="10" t="s">
        <v>2843</v>
      </c>
    </row>
    <row r="549" spans="1:28">
      <c r="A549" s="10" t="s">
        <v>1032</v>
      </c>
      <c r="B549" s="11" t="s">
        <v>268</v>
      </c>
      <c r="C549" s="11" t="s">
        <v>417</v>
      </c>
      <c r="D549" s="12">
        <v>26</v>
      </c>
      <c r="E549" s="11" t="s">
        <v>459</v>
      </c>
      <c r="F549" s="14" t="str">
        <f>_xlfn.XLOOKUP(E549,Profession!$B$2:$B$15,Profession!$A$2:$A$15,"Not Found")</f>
        <v>P007</v>
      </c>
      <c r="G549" s="11" t="s">
        <v>419</v>
      </c>
      <c r="H549" s="10" t="str">
        <f>_xlfn.XLOOKUP(G549,Region!$B$2:$B$16,Region!$A$2:$A$16,"Not Found")</f>
        <v>R001</v>
      </c>
      <c r="I549" s="10" t="s">
        <v>420</v>
      </c>
      <c r="J549" s="10" t="s">
        <v>420</v>
      </c>
      <c r="K549" s="10" t="s">
        <v>421</v>
      </c>
      <c r="L549" s="10" t="s">
        <v>1058</v>
      </c>
      <c r="M549" s="16" t="s">
        <v>422</v>
      </c>
      <c r="N549" s="10" t="s">
        <v>138</v>
      </c>
      <c r="O549" s="16" t="s">
        <v>444</v>
      </c>
      <c r="P549" s="11" t="s">
        <v>422</v>
      </c>
      <c r="Q549" s="11" t="s">
        <v>420</v>
      </c>
      <c r="R549" s="11" t="s">
        <v>1070</v>
      </c>
      <c r="S549" s="10" t="s">
        <v>62</v>
      </c>
      <c r="T549" s="81">
        <v>8</v>
      </c>
      <c r="U549" s="10" t="s">
        <v>420</v>
      </c>
      <c r="V549" s="10" t="s">
        <v>450</v>
      </c>
      <c r="X549" s="15">
        <v>4</v>
      </c>
      <c r="Y549" s="10" t="s">
        <v>36</v>
      </c>
      <c r="Z549" s="10" t="s">
        <v>2849</v>
      </c>
      <c r="AA549" s="10" t="s">
        <v>37</v>
      </c>
      <c r="AB549" s="10" t="s">
        <v>24</v>
      </c>
    </row>
    <row r="550" spans="1:28">
      <c r="A550" s="10" t="s">
        <v>1033</v>
      </c>
      <c r="B550" s="11" t="s">
        <v>269</v>
      </c>
      <c r="C550" s="11" t="s">
        <v>417</v>
      </c>
      <c r="D550" s="12">
        <v>27</v>
      </c>
      <c r="E550" s="11" t="s">
        <v>418</v>
      </c>
      <c r="F550" s="14" t="str">
        <f>_xlfn.XLOOKUP(E550,Profession!$B$2:$B$15,Profession!$A$2:$A$15,"Not Found")</f>
        <v>P001</v>
      </c>
      <c r="G550" s="11" t="s">
        <v>1115</v>
      </c>
      <c r="H550" s="10" t="str">
        <f>_xlfn.XLOOKUP(G550,Region!$B$2:$B$16,Region!$A$2:$A$16,"Not Found")</f>
        <v>R002</v>
      </c>
      <c r="I550" s="10" t="s">
        <v>420</v>
      </c>
      <c r="J550" s="10" t="s">
        <v>420</v>
      </c>
      <c r="K550" s="10" t="s">
        <v>435</v>
      </c>
      <c r="L550" s="10" t="s">
        <v>1058</v>
      </c>
      <c r="M550" s="16" t="s">
        <v>432</v>
      </c>
      <c r="N550" s="10" t="s">
        <v>138</v>
      </c>
      <c r="O550" s="16" t="s">
        <v>433</v>
      </c>
      <c r="P550" s="11" t="s">
        <v>422</v>
      </c>
      <c r="Q550" s="11" t="s">
        <v>1061</v>
      </c>
      <c r="R550" s="11" t="s">
        <v>1065</v>
      </c>
      <c r="S550" s="10" t="s">
        <v>62</v>
      </c>
      <c r="T550" s="81">
        <v>8</v>
      </c>
      <c r="U550" s="10" t="s">
        <v>420</v>
      </c>
      <c r="V550" s="10" t="s">
        <v>2277</v>
      </c>
      <c r="X550" s="15">
        <v>5</v>
      </c>
      <c r="Y550" s="10" t="s">
        <v>27</v>
      </c>
      <c r="Z550" s="10" t="s">
        <v>2849</v>
      </c>
      <c r="AA550" s="10" t="s">
        <v>23</v>
      </c>
      <c r="AB550" s="10" t="s">
        <v>2841</v>
      </c>
    </row>
    <row r="551" spans="1:28">
      <c r="A551" s="10" t="s">
        <v>1034</v>
      </c>
      <c r="B551" s="11" t="s">
        <v>71</v>
      </c>
      <c r="C551" s="11" t="s">
        <v>417</v>
      </c>
      <c r="D551" s="12">
        <v>28</v>
      </c>
      <c r="E551" s="11" t="s">
        <v>452</v>
      </c>
      <c r="F551" s="14" t="str">
        <f>_xlfn.XLOOKUP(E551,Profession!$B$2:$B$15,Profession!$A$2:$A$15,"Not Found")</f>
        <v>P005</v>
      </c>
      <c r="G551" s="11" t="s">
        <v>453</v>
      </c>
      <c r="H551" s="10" t="str">
        <f>_xlfn.XLOOKUP(G551,Region!$B$2:$B$16,Region!$A$2:$A$16,"Not Found")</f>
        <v>R005</v>
      </c>
      <c r="I551" s="10" t="s">
        <v>420</v>
      </c>
      <c r="J551" s="10" t="s">
        <v>420</v>
      </c>
      <c r="K551" s="10" t="s">
        <v>434</v>
      </c>
      <c r="L551" s="10" t="s">
        <v>1058</v>
      </c>
      <c r="M551" s="16" t="s">
        <v>422</v>
      </c>
      <c r="N551" s="10" t="s">
        <v>19</v>
      </c>
      <c r="O551" s="16" t="s">
        <v>433</v>
      </c>
      <c r="P551" s="11" t="s">
        <v>422</v>
      </c>
      <c r="Q551" s="11" t="s">
        <v>434</v>
      </c>
      <c r="R551" s="11" t="s">
        <v>1068</v>
      </c>
      <c r="S551" s="10" t="s">
        <v>62</v>
      </c>
      <c r="T551" s="81">
        <v>7</v>
      </c>
      <c r="U551" s="10" t="s">
        <v>2272</v>
      </c>
      <c r="V551" s="10" t="s">
        <v>450</v>
      </c>
      <c r="X551" s="15">
        <v>5</v>
      </c>
      <c r="Y551" s="10" t="s">
        <v>40</v>
      </c>
      <c r="Z551" s="10" t="s">
        <v>2280</v>
      </c>
      <c r="AA551" s="10" t="s">
        <v>37</v>
      </c>
      <c r="AB551" s="10" t="s">
        <v>24</v>
      </c>
    </row>
    <row r="552" spans="1:28">
      <c r="A552" s="10" t="s">
        <v>1035</v>
      </c>
      <c r="B552" s="11" t="s">
        <v>270</v>
      </c>
      <c r="C552" s="11" t="s">
        <v>417</v>
      </c>
      <c r="D552" s="12">
        <v>29</v>
      </c>
      <c r="E552" s="11" t="s">
        <v>465</v>
      </c>
      <c r="F552" s="14" t="str">
        <f>_xlfn.XLOOKUP(E552,Profession!$B$2:$B$15,Profession!$A$2:$A$15,"Not Found")</f>
        <v>P010</v>
      </c>
      <c r="G552" s="11" t="s">
        <v>467</v>
      </c>
      <c r="H552" s="10" t="str">
        <f>_xlfn.XLOOKUP(G552,Region!$B$2:$B$16,Region!$A$2:$A$16,"Not Found")</f>
        <v>R009</v>
      </c>
      <c r="I552" s="10" t="s">
        <v>420</v>
      </c>
      <c r="J552" s="10" t="s">
        <v>420</v>
      </c>
      <c r="K552" s="10" t="s">
        <v>434</v>
      </c>
      <c r="L552" s="10" t="s">
        <v>1058</v>
      </c>
      <c r="M552" s="16" t="s">
        <v>422</v>
      </c>
      <c r="N552" s="10" t="s">
        <v>138</v>
      </c>
      <c r="O552" s="16" t="s">
        <v>444</v>
      </c>
      <c r="P552" s="11" t="s">
        <v>422</v>
      </c>
      <c r="Q552" s="11" t="s">
        <v>420</v>
      </c>
      <c r="R552" s="11" t="s">
        <v>1070</v>
      </c>
      <c r="S552" s="10" t="s">
        <v>62</v>
      </c>
      <c r="T552" s="81">
        <v>6</v>
      </c>
      <c r="U552" s="10" t="s">
        <v>420</v>
      </c>
      <c r="V552" s="10" t="s">
        <v>2277</v>
      </c>
      <c r="X552" s="15">
        <v>4</v>
      </c>
      <c r="Y552" s="10" t="s">
        <v>56</v>
      </c>
      <c r="Z552" s="10" t="s">
        <v>2849</v>
      </c>
      <c r="AA552" s="10" t="s">
        <v>23</v>
      </c>
      <c r="AB552" s="10" t="s">
        <v>2843</v>
      </c>
    </row>
    <row r="553" spans="1:28">
      <c r="A553" s="10" t="s">
        <v>1036</v>
      </c>
      <c r="B553" s="11" t="s">
        <v>281</v>
      </c>
      <c r="C553" s="11" t="s">
        <v>417</v>
      </c>
      <c r="D553" s="12">
        <v>30</v>
      </c>
      <c r="E553" s="11" t="s">
        <v>448</v>
      </c>
      <c r="F553" s="14" t="str">
        <f>_xlfn.XLOOKUP(E553,Profession!$B$2:$B$15,Profession!$A$2:$A$15,"Not Found")</f>
        <v>P004</v>
      </c>
      <c r="G553" s="11" t="s">
        <v>1111</v>
      </c>
      <c r="H553" s="10" t="str">
        <f>_xlfn.XLOOKUP(G553,Region!$B$2:$B$16,Region!$A$2:$A$16,"Not Found")</f>
        <v>R004</v>
      </c>
      <c r="I553" s="10" t="s">
        <v>420</v>
      </c>
      <c r="J553" s="10" t="s">
        <v>420</v>
      </c>
      <c r="K553" s="10" t="s">
        <v>431</v>
      </c>
      <c r="L553" s="10" t="s">
        <v>1057</v>
      </c>
      <c r="M553" s="16" t="s">
        <v>432</v>
      </c>
      <c r="N553" s="10" t="s">
        <v>105</v>
      </c>
      <c r="O553" s="16" t="s">
        <v>444</v>
      </c>
      <c r="P553" s="11" t="s">
        <v>422</v>
      </c>
      <c r="Q553" s="11" t="s">
        <v>420</v>
      </c>
      <c r="R553" s="11" t="s">
        <v>1070</v>
      </c>
      <c r="S553" s="10" t="s">
        <v>62</v>
      </c>
      <c r="T553" s="81">
        <v>8</v>
      </c>
      <c r="U553" s="10" t="s">
        <v>420</v>
      </c>
      <c r="V553" s="10" t="s">
        <v>450</v>
      </c>
      <c r="X553" s="15">
        <v>4</v>
      </c>
      <c r="Y553" s="10" t="s">
        <v>56</v>
      </c>
      <c r="Z553" s="10" t="s">
        <v>2849</v>
      </c>
      <c r="AA553" s="10" t="s">
        <v>23</v>
      </c>
      <c r="AB553" s="10" t="s">
        <v>46</v>
      </c>
    </row>
    <row r="554" spans="1:28">
      <c r="A554" s="10" t="s">
        <v>1037</v>
      </c>
      <c r="B554" s="11" t="s">
        <v>399</v>
      </c>
      <c r="C554" s="11" t="s">
        <v>437</v>
      </c>
      <c r="D554" s="12">
        <v>31</v>
      </c>
      <c r="E554" s="11" t="s">
        <v>448</v>
      </c>
      <c r="F554" s="14" t="str">
        <f>_xlfn.XLOOKUP(E554,Profession!$B$2:$B$15,Profession!$A$2:$A$15,"Not Found")</f>
        <v>P004</v>
      </c>
      <c r="G554" s="11" t="s">
        <v>1111</v>
      </c>
      <c r="H554" s="10" t="str">
        <f>_xlfn.XLOOKUP(G554,Region!$B$2:$B$16,Region!$A$2:$A$16,"Not Found")</f>
        <v>R004</v>
      </c>
      <c r="I554" s="10" t="s">
        <v>420</v>
      </c>
      <c r="J554" s="10" t="s">
        <v>420</v>
      </c>
      <c r="K554" s="10" t="s">
        <v>431</v>
      </c>
      <c r="L554" s="10" t="s">
        <v>1058</v>
      </c>
      <c r="M554" s="16" t="s">
        <v>432</v>
      </c>
      <c r="N554" s="10" t="s">
        <v>138</v>
      </c>
      <c r="O554" s="16" t="s">
        <v>450</v>
      </c>
      <c r="P554" s="11" t="s">
        <v>422</v>
      </c>
      <c r="Q554" s="11" t="s">
        <v>420</v>
      </c>
      <c r="R554" s="11" t="s">
        <v>107</v>
      </c>
      <c r="S554" s="10" t="s">
        <v>62</v>
      </c>
      <c r="T554" s="81">
        <v>7</v>
      </c>
      <c r="U554" s="10" t="s">
        <v>420</v>
      </c>
      <c r="V554" s="10" t="s">
        <v>450</v>
      </c>
      <c r="X554" s="15">
        <v>4</v>
      </c>
      <c r="Y554" s="10" t="s">
        <v>56</v>
      </c>
      <c r="Z554" s="10" t="s">
        <v>2849</v>
      </c>
      <c r="AA554" s="10" t="s">
        <v>23</v>
      </c>
      <c r="AB554" s="10" t="s">
        <v>46</v>
      </c>
    </row>
    <row r="555" spans="1:28">
      <c r="A555" s="10" t="s">
        <v>1038</v>
      </c>
      <c r="B555" s="11" t="s">
        <v>400</v>
      </c>
      <c r="C555" s="11" t="s">
        <v>437</v>
      </c>
      <c r="D555" s="12">
        <v>32</v>
      </c>
      <c r="E555" s="11" t="s">
        <v>465</v>
      </c>
      <c r="F555" s="14" t="str">
        <f>_xlfn.XLOOKUP(E555,Profession!$B$2:$B$15,Profession!$A$2:$A$15,"Not Found")</f>
        <v>P010</v>
      </c>
      <c r="G555" s="11" t="s">
        <v>419</v>
      </c>
      <c r="H555" s="10" t="str">
        <f>_xlfn.XLOOKUP(G555,Region!$B$2:$B$16,Region!$A$2:$A$16,"Not Found")</f>
        <v>R001</v>
      </c>
      <c r="I555" s="10" t="s">
        <v>423</v>
      </c>
      <c r="J555" s="10" t="s">
        <v>423</v>
      </c>
      <c r="K555" s="10" t="s">
        <v>434</v>
      </c>
      <c r="L555" s="10" t="s">
        <v>1058</v>
      </c>
      <c r="M555" s="16" t="s">
        <v>422</v>
      </c>
      <c r="N555" s="10" t="s">
        <v>138</v>
      </c>
      <c r="O555" s="16" t="s">
        <v>444</v>
      </c>
      <c r="P555" s="11" t="s">
        <v>422</v>
      </c>
      <c r="Q555" s="11" t="s">
        <v>420</v>
      </c>
      <c r="R555" s="11" t="s">
        <v>1065</v>
      </c>
      <c r="S555" s="10" t="s">
        <v>62</v>
      </c>
      <c r="T555" s="81">
        <v>8</v>
      </c>
      <c r="U555" s="10" t="s">
        <v>420</v>
      </c>
      <c r="V555" s="10" t="s">
        <v>450</v>
      </c>
      <c r="X555" s="15">
        <v>7</v>
      </c>
      <c r="Y555" s="10" t="s">
        <v>100</v>
      </c>
      <c r="Z555" s="10" t="s">
        <v>2849</v>
      </c>
      <c r="AA555" s="10" t="s">
        <v>23</v>
      </c>
      <c r="AB555" s="10" t="s">
        <v>2843</v>
      </c>
    </row>
    <row r="556" spans="1:28">
      <c r="A556" s="10" t="s">
        <v>1039</v>
      </c>
      <c r="B556" s="11" t="s">
        <v>401</v>
      </c>
      <c r="C556" s="11" t="s">
        <v>437</v>
      </c>
      <c r="D556" s="12">
        <v>33</v>
      </c>
      <c r="E556" s="11" t="s">
        <v>462</v>
      </c>
      <c r="F556" s="14" t="str">
        <f>_xlfn.XLOOKUP(E556,Profession!$B$2:$B$15,Profession!$A$2:$A$15,"Not Found")</f>
        <v>P008</v>
      </c>
      <c r="G556" s="11" t="s">
        <v>464</v>
      </c>
      <c r="H556" s="10" t="str">
        <f>_xlfn.XLOOKUP(G556,Region!$B$2:$B$16,Region!$A$2:$A$16,"Not Found")</f>
        <v>R007</v>
      </c>
      <c r="I556" s="10" t="s">
        <v>423</v>
      </c>
      <c r="J556" s="10" t="s">
        <v>423</v>
      </c>
      <c r="K556" s="10" t="s">
        <v>435</v>
      </c>
      <c r="L556" s="10" t="s">
        <v>1058</v>
      </c>
      <c r="M556" s="16" t="s">
        <v>436</v>
      </c>
      <c r="N556" s="10" t="s">
        <v>138</v>
      </c>
      <c r="O556" s="16" t="s">
        <v>450</v>
      </c>
      <c r="P556" s="11" t="s">
        <v>422</v>
      </c>
      <c r="Q556" s="11" t="s">
        <v>420</v>
      </c>
      <c r="R556" s="11" t="s">
        <v>107</v>
      </c>
      <c r="S556" s="10" t="s">
        <v>62</v>
      </c>
      <c r="T556" s="81">
        <v>5</v>
      </c>
      <c r="U556" s="10" t="s">
        <v>2275</v>
      </c>
      <c r="V556" s="10" t="s">
        <v>450</v>
      </c>
      <c r="X556" s="15">
        <v>5</v>
      </c>
      <c r="Y556" s="10" t="s">
        <v>54</v>
      </c>
      <c r="Z556" s="10" t="s">
        <v>2849</v>
      </c>
      <c r="AA556" s="10" t="s">
        <v>23</v>
      </c>
      <c r="AB556" s="10" t="s">
        <v>2844</v>
      </c>
    </row>
    <row r="557" spans="1:28">
      <c r="A557" s="10" t="s">
        <v>1040</v>
      </c>
      <c r="B557" s="11" t="s">
        <v>402</v>
      </c>
      <c r="C557" s="11" t="s">
        <v>437</v>
      </c>
      <c r="D557" s="12">
        <v>34</v>
      </c>
      <c r="E557" s="11" t="s">
        <v>473</v>
      </c>
      <c r="F557" s="14" t="str">
        <f>_xlfn.XLOOKUP(E557,Profession!$B$2:$B$15,Profession!$A$2:$A$15,"Not Found")</f>
        <v>P012</v>
      </c>
      <c r="G557" s="11" t="s">
        <v>419</v>
      </c>
      <c r="H557" s="10" t="str">
        <f>_xlfn.XLOOKUP(G557,Region!$B$2:$B$16,Region!$A$2:$A$16,"Not Found")</f>
        <v>R001</v>
      </c>
      <c r="I557" s="10" t="s">
        <v>423</v>
      </c>
      <c r="J557" s="10" t="s">
        <v>423</v>
      </c>
      <c r="K557" s="10" t="s">
        <v>434</v>
      </c>
      <c r="L557" s="10" t="s">
        <v>1058</v>
      </c>
      <c r="M557" s="16" t="s">
        <v>432</v>
      </c>
      <c r="N557" s="10" t="s">
        <v>138</v>
      </c>
      <c r="O557" s="16" t="s">
        <v>444</v>
      </c>
      <c r="P557" s="11" t="s">
        <v>422</v>
      </c>
      <c r="Q557" s="11" t="s">
        <v>420</v>
      </c>
      <c r="R557" s="11" t="s">
        <v>107</v>
      </c>
      <c r="S557" s="10" t="s">
        <v>62</v>
      </c>
      <c r="T557" s="81">
        <v>7</v>
      </c>
      <c r="U557" s="10" t="s">
        <v>420</v>
      </c>
      <c r="V557" s="10" t="s">
        <v>450</v>
      </c>
      <c r="X557" s="15">
        <v>5</v>
      </c>
      <c r="Y557" s="10" t="s">
        <v>87</v>
      </c>
      <c r="Z557" s="10" t="s">
        <v>2848</v>
      </c>
      <c r="AA557" s="10" t="s">
        <v>23</v>
      </c>
      <c r="AB557" s="10" t="s">
        <v>149</v>
      </c>
    </row>
    <row r="558" spans="1:28">
      <c r="A558" s="10" t="s">
        <v>1041</v>
      </c>
      <c r="B558" s="11" t="s">
        <v>403</v>
      </c>
      <c r="C558" s="11" t="s">
        <v>437</v>
      </c>
      <c r="D558" s="12">
        <v>35</v>
      </c>
      <c r="E558" s="11" t="s">
        <v>452</v>
      </c>
      <c r="F558" s="14" t="str">
        <f>_xlfn.XLOOKUP(E558,Profession!$B$2:$B$15,Profession!$A$2:$A$15,"Not Found")</f>
        <v>P005</v>
      </c>
      <c r="G558" s="11" t="s">
        <v>455</v>
      </c>
      <c r="H558" s="10" t="str">
        <f>_xlfn.XLOOKUP(G558,Region!$B$2:$B$16,Region!$A$2:$A$16,"Not Found")</f>
        <v>R006</v>
      </c>
      <c r="I558" s="10" t="s">
        <v>420</v>
      </c>
      <c r="J558" s="10" t="s">
        <v>420</v>
      </c>
      <c r="K558" s="10" t="s">
        <v>434</v>
      </c>
      <c r="L558" s="10" t="s">
        <v>1058</v>
      </c>
      <c r="M558" s="16" t="s">
        <v>422</v>
      </c>
      <c r="N558" s="10" t="s">
        <v>138</v>
      </c>
      <c r="O558" s="16" t="s">
        <v>436</v>
      </c>
      <c r="P558" s="11" t="s">
        <v>422</v>
      </c>
      <c r="Q558" s="11" t="s">
        <v>435</v>
      </c>
      <c r="R558" s="11" t="s">
        <v>1071</v>
      </c>
      <c r="S558" s="10" t="s">
        <v>62</v>
      </c>
      <c r="T558" s="81">
        <v>6</v>
      </c>
      <c r="U558" s="10" t="s">
        <v>420</v>
      </c>
      <c r="V558" s="10" t="s">
        <v>2277</v>
      </c>
      <c r="X558" s="15">
        <v>8</v>
      </c>
      <c r="Y558" s="10" t="s">
        <v>42</v>
      </c>
      <c r="Z558" s="10" t="s">
        <v>2849</v>
      </c>
      <c r="AA558" s="10" t="s">
        <v>43</v>
      </c>
      <c r="AB558" s="10" t="s">
        <v>46</v>
      </c>
    </row>
    <row r="559" spans="1:28">
      <c r="A559" s="10" t="s">
        <v>1042</v>
      </c>
      <c r="B559" s="11" t="s">
        <v>404</v>
      </c>
      <c r="C559" s="11" t="s">
        <v>437</v>
      </c>
      <c r="D559" s="12">
        <v>36</v>
      </c>
      <c r="E559" s="11" t="s">
        <v>452</v>
      </c>
      <c r="F559" s="14" t="str">
        <f>_xlfn.XLOOKUP(E559,Profession!$B$2:$B$15,Profession!$A$2:$A$15,"Not Found")</f>
        <v>P005</v>
      </c>
      <c r="G559" s="11" t="s">
        <v>1115</v>
      </c>
      <c r="H559" s="10" t="str">
        <f>_xlfn.XLOOKUP(G559,Region!$B$2:$B$16,Region!$A$2:$A$16,"Not Found")</f>
        <v>R002</v>
      </c>
      <c r="I559" s="10" t="s">
        <v>420</v>
      </c>
      <c r="J559" s="10" t="s">
        <v>420</v>
      </c>
      <c r="K559" s="10" t="s">
        <v>435</v>
      </c>
      <c r="L559" s="10" t="s">
        <v>1058</v>
      </c>
      <c r="M559" s="16" t="s">
        <v>429</v>
      </c>
      <c r="N559" s="10" t="s">
        <v>138</v>
      </c>
      <c r="O559" s="16" t="s">
        <v>433</v>
      </c>
      <c r="P559" s="11" t="s">
        <v>422</v>
      </c>
      <c r="Q559" s="11" t="s">
        <v>420</v>
      </c>
      <c r="R559" s="11" t="s">
        <v>1072</v>
      </c>
      <c r="S559" s="10" t="s">
        <v>2885</v>
      </c>
      <c r="T559" s="81">
        <v>6</v>
      </c>
      <c r="U559" s="10" t="s">
        <v>2273</v>
      </c>
      <c r="V559" s="10" t="s">
        <v>2277</v>
      </c>
      <c r="X559" s="15">
        <v>3</v>
      </c>
      <c r="Y559" s="10" t="s">
        <v>45</v>
      </c>
      <c r="Z559" s="10" t="s">
        <v>2849</v>
      </c>
      <c r="AA559" s="10" t="s">
        <v>37</v>
      </c>
      <c r="AB559" s="10" t="s">
        <v>149</v>
      </c>
    </row>
    <row r="560" spans="1:28">
      <c r="A560" s="10" t="s">
        <v>1043</v>
      </c>
      <c r="B560" s="11" t="s">
        <v>405</v>
      </c>
      <c r="C560" s="11" t="s">
        <v>437</v>
      </c>
      <c r="D560" s="12">
        <v>37</v>
      </c>
      <c r="E560" s="11" t="s">
        <v>442</v>
      </c>
      <c r="F560" s="14" t="str">
        <f>_xlfn.XLOOKUP(E560,Profession!$B$2:$B$15,Profession!$A$2:$A$15,"Not Found")</f>
        <v>P002</v>
      </c>
      <c r="G560" s="11" t="s">
        <v>419</v>
      </c>
      <c r="H560" s="10" t="str">
        <f>_xlfn.XLOOKUP(G560,Region!$B$2:$B$16,Region!$A$2:$A$16,"Not Found")</f>
        <v>R001</v>
      </c>
      <c r="I560" s="10" t="s">
        <v>420</v>
      </c>
      <c r="J560" s="10" t="s">
        <v>420</v>
      </c>
      <c r="K560" s="10" t="s">
        <v>426</v>
      </c>
      <c r="L560" s="10" t="s">
        <v>1058</v>
      </c>
      <c r="M560" s="16" t="s">
        <v>422</v>
      </c>
      <c r="N560" s="10" t="s">
        <v>106</v>
      </c>
      <c r="O560" s="16" t="s">
        <v>426</v>
      </c>
      <c r="P560" s="11" t="s">
        <v>1059</v>
      </c>
      <c r="Q560" s="11" t="s">
        <v>422</v>
      </c>
      <c r="R560" s="11" t="s">
        <v>1062</v>
      </c>
      <c r="S560" s="10" t="s">
        <v>2884</v>
      </c>
      <c r="T560" s="81">
        <v>6.3</v>
      </c>
      <c r="U560" s="10" t="s">
        <v>420</v>
      </c>
      <c r="V560" s="10" t="s">
        <v>2277</v>
      </c>
      <c r="X560" s="15">
        <v>4</v>
      </c>
      <c r="Y560" s="10" t="s">
        <v>36</v>
      </c>
      <c r="Z560" s="10" t="s">
        <v>2849</v>
      </c>
      <c r="AA560" s="10" t="s">
        <v>23</v>
      </c>
      <c r="AB560" s="10" t="s">
        <v>2843</v>
      </c>
    </row>
    <row r="561" spans="1:28">
      <c r="A561" s="10" t="s">
        <v>1044</v>
      </c>
      <c r="B561" s="11" t="s">
        <v>406</v>
      </c>
      <c r="C561" s="11" t="s">
        <v>437</v>
      </c>
      <c r="D561" s="12">
        <v>38</v>
      </c>
      <c r="E561" s="11" t="s">
        <v>465</v>
      </c>
      <c r="F561" s="14" t="str">
        <f>_xlfn.XLOOKUP(E561,Profession!$B$2:$B$15,Profession!$A$2:$A$15,"Not Found")</f>
        <v>P010</v>
      </c>
      <c r="G561" s="11" t="s">
        <v>108</v>
      </c>
      <c r="H561" s="10" t="str">
        <f>_xlfn.XLOOKUP(G561,Region!$B$2:$B$16,Region!$A$2:$A$16,"Not Found")</f>
        <v>R010</v>
      </c>
      <c r="I561" s="10" t="s">
        <v>420</v>
      </c>
      <c r="J561" s="10" t="s">
        <v>420</v>
      </c>
      <c r="K561" s="10" t="s">
        <v>435</v>
      </c>
      <c r="L561" s="10" t="s">
        <v>1058</v>
      </c>
      <c r="M561" s="16" t="s">
        <v>422</v>
      </c>
      <c r="N561" s="10" t="s">
        <v>64</v>
      </c>
      <c r="O561" s="16" t="s">
        <v>450</v>
      </c>
      <c r="P561" s="11" t="s">
        <v>422</v>
      </c>
      <c r="Q561" s="11" t="s">
        <v>420</v>
      </c>
      <c r="R561" s="11" t="s">
        <v>107</v>
      </c>
      <c r="S561" s="10" t="s">
        <v>62</v>
      </c>
      <c r="T561" s="81">
        <v>7</v>
      </c>
      <c r="U561" s="10" t="s">
        <v>420</v>
      </c>
      <c r="V561" s="10" t="s">
        <v>450</v>
      </c>
      <c r="X561" s="15">
        <v>7</v>
      </c>
      <c r="Y561" s="10" t="s">
        <v>19</v>
      </c>
      <c r="Z561" s="10" t="s">
        <v>2849</v>
      </c>
      <c r="AA561" s="10" t="s">
        <v>23</v>
      </c>
      <c r="AB561" s="10" t="s">
        <v>2841</v>
      </c>
    </row>
    <row r="562" spans="1:28">
      <c r="A562" s="10" t="s">
        <v>1045</v>
      </c>
      <c r="B562" s="11" t="s">
        <v>407</v>
      </c>
      <c r="C562" s="11" t="s">
        <v>437</v>
      </c>
      <c r="D562" s="12">
        <v>39</v>
      </c>
      <c r="E562" s="11" t="s">
        <v>458</v>
      </c>
      <c r="F562" s="14" t="str">
        <f>_xlfn.XLOOKUP(E562,Profession!$B$2:$B$15,Profession!$A$2:$A$15,"Not Found")</f>
        <v>P006</v>
      </c>
      <c r="G562" s="11" t="s">
        <v>1115</v>
      </c>
      <c r="H562" s="10" t="str">
        <f>_xlfn.XLOOKUP(G562,Region!$B$2:$B$16,Region!$A$2:$A$16,"Not Found")</f>
        <v>R002</v>
      </c>
      <c r="I562" s="10" t="s">
        <v>420</v>
      </c>
      <c r="J562" s="10" t="s">
        <v>420</v>
      </c>
      <c r="K562" s="10" t="s">
        <v>434</v>
      </c>
      <c r="L562" s="10" t="s">
        <v>1058</v>
      </c>
      <c r="M562" s="16" t="s">
        <v>432</v>
      </c>
      <c r="N562" s="10" t="s">
        <v>102</v>
      </c>
      <c r="O562" s="16" t="s">
        <v>433</v>
      </c>
      <c r="P562" s="11" t="s">
        <v>422</v>
      </c>
      <c r="Q562" s="11" t="s">
        <v>1061</v>
      </c>
      <c r="R562" s="11" t="s">
        <v>1065</v>
      </c>
      <c r="S562" s="10" t="s">
        <v>62</v>
      </c>
      <c r="T562" s="81">
        <v>6</v>
      </c>
      <c r="U562" s="10" t="s">
        <v>2274</v>
      </c>
      <c r="V562" s="10" t="s">
        <v>450</v>
      </c>
      <c r="X562" s="15">
        <v>3</v>
      </c>
      <c r="Y562" s="10" t="s">
        <v>49</v>
      </c>
      <c r="Z562" s="10" t="s">
        <v>2849</v>
      </c>
      <c r="AA562" s="10" t="s">
        <v>37</v>
      </c>
      <c r="AB562" s="10" t="s">
        <v>46</v>
      </c>
    </row>
    <row r="563" spans="1:28">
      <c r="A563" s="10" t="s">
        <v>1046</v>
      </c>
      <c r="B563" s="11" t="s">
        <v>408</v>
      </c>
      <c r="C563" s="11" t="s">
        <v>437</v>
      </c>
      <c r="D563" s="12">
        <v>40</v>
      </c>
      <c r="E563" s="11" t="s">
        <v>1054</v>
      </c>
      <c r="F563" s="14" t="str">
        <f>_xlfn.XLOOKUP(E563,Profession!$B$2:$B$15,Profession!$A$2:$A$15,"Not Found")</f>
        <v>P013</v>
      </c>
      <c r="G563" s="11" t="s">
        <v>1110</v>
      </c>
      <c r="H563" s="10" t="str">
        <f>_xlfn.XLOOKUP(G563,Region!$B$2:$B$16,Region!$A$2:$A$16,"Not Found")</f>
        <v>R013</v>
      </c>
      <c r="I563" s="10" t="s">
        <v>420</v>
      </c>
      <c r="J563" s="10" t="s">
        <v>420</v>
      </c>
      <c r="K563" s="10" t="s">
        <v>435</v>
      </c>
      <c r="L563" s="10" t="s">
        <v>1058</v>
      </c>
      <c r="M563" s="16" t="s">
        <v>422</v>
      </c>
      <c r="N563" s="10" t="s">
        <v>138</v>
      </c>
      <c r="O563" s="16" t="s">
        <v>433</v>
      </c>
      <c r="P563" s="11" t="s">
        <v>435</v>
      </c>
      <c r="Q563" s="11" t="s">
        <v>420</v>
      </c>
      <c r="R563" s="11" t="s">
        <v>1067</v>
      </c>
      <c r="S563" s="10" t="s">
        <v>62</v>
      </c>
      <c r="T563" s="81">
        <v>6</v>
      </c>
      <c r="U563" s="10" t="s">
        <v>420</v>
      </c>
      <c r="V563" s="10" t="s">
        <v>450</v>
      </c>
      <c r="X563" s="15">
        <v>6</v>
      </c>
      <c r="Y563" s="10" t="s">
        <v>75</v>
      </c>
      <c r="Z563" s="10" t="s">
        <v>2847</v>
      </c>
      <c r="AA563" s="10" t="s">
        <v>70</v>
      </c>
      <c r="AB563" s="10" t="s">
        <v>149</v>
      </c>
    </row>
    <row r="564" spans="1:28">
      <c r="A564" s="10" t="s">
        <v>1047</v>
      </c>
      <c r="B564" s="11" t="s">
        <v>409</v>
      </c>
      <c r="C564" s="11" t="s">
        <v>437</v>
      </c>
      <c r="D564" s="12">
        <v>41</v>
      </c>
      <c r="E564" s="11" t="s">
        <v>446</v>
      </c>
      <c r="F564" s="14" t="str">
        <f>_xlfn.XLOOKUP(E564,Profession!$B$2:$B$15,Profession!$A$2:$A$15,"Not Found")</f>
        <v>P003</v>
      </c>
      <c r="G564" s="11" t="s">
        <v>104</v>
      </c>
      <c r="H564" s="10" t="str">
        <f>_xlfn.XLOOKUP(G564,Region!$B$2:$B$16,Region!$A$2:$A$16,"Not Found")</f>
        <v>R003</v>
      </c>
      <c r="I564" s="10" t="s">
        <v>420</v>
      </c>
      <c r="J564" s="10" t="s">
        <v>420</v>
      </c>
      <c r="K564" s="10" t="s">
        <v>435</v>
      </c>
      <c r="L564" s="10" t="s">
        <v>1058</v>
      </c>
      <c r="M564" s="16" t="s">
        <v>422</v>
      </c>
      <c r="N564" s="10" t="s">
        <v>64</v>
      </c>
      <c r="O564" s="16" t="s">
        <v>433</v>
      </c>
      <c r="P564" s="11" t="s">
        <v>422</v>
      </c>
      <c r="Q564" s="11" t="s">
        <v>420</v>
      </c>
      <c r="R564" s="11" t="s">
        <v>1070</v>
      </c>
      <c r="S564" s="10" t="s">
        <v>62</v>
      </c>
      <c r="T564" s="81">
        <v>8</v>
      </c>
      <c r="U564" s="10" t="s">
        <v>420</v>
      </c>
      <c r="V564" s="10" t="s">
        <v>2277</v>
      </c>
      <c r="X564" s="15">
        <v>5</v>
      </c>
      <c r="Y564" s="10" t="s">
        <v>19</v>
      </c>
      <c r="Z564" s="10" t="s">
        <v>2849</v>
      </c>
      <c r="AA564" s="10" t="s">
        <v>23</v>
      </c>
      <c r="AB564" s="10" t="s">
        <v>28</v>
      </c>
    </row>
    <row r="565" spans="1:28">
      <c r="A565" s="10" t="s">
        <v>1048</v>
      </c>
      <c r="B565" s="11" t="s">
        <v>410</v>
      </c>
      <c r="C565" s="11" t="s">
        <v>437</v>
      </c>
      <c r="D565" s="12">
        <v>42</v>
      </c>
      <c r="E565" s="11" t="s">
        <v>1088</v>
      </c>
      <c r="F565" s="14" t="str">
        <f>_xlfn.XLOOKUP(E565,Profession!$B$2:$B$15,Profession!$A$2:$A$15,"Not Found")</f>
        <v>P014</v>
      </c>
      <c r="G565" s="11" t="s">
        <v>1114</v>
      </c>
      <c r="H565" s="10" t="str">
        <f>_xlfn.XLOOKUP(G565,Region!$B$2:$B$16,Region!$A$2:$A$16,"Not Found")</f>
        <v>R014</v>
      </c>
      <c r="I565" s="10" t="s">
        <v>420</v>
      </c>
      <c r="J565" s="10" t="s">
        <v>420</v>
      </c>
      <c r="K565" s="10" t="s">
        <v>435</v>
      </c>
      <c r="L565" s="10" t="s">
        <v>1058</v>
      </c>
      <c r="M565" s="16" t="s">
        <v>422</v>
      </c>
      <c r="N565" s="10" t="s">
        <v>138</v>
      </c>
      <c r="O565" s="16" t="s">
        <v>433</v>
      </c>
      <c r="P565" s="11" t="s">
        <v>422</v>
      </c>
      <c r="Q565" s="11" t="s">
        <v>1061</v>
      </c>
      <c r="R565" s="11" t="s">
        <v>1067</v>
      </c>
      <c r="S565" s="10" t="s">
        <v>62</v>
      </c>
      <c r="T565" s="81">
        <v>6</v>
      </c>
      <c r="U565" s="10" t="s">
        <v>420</v>
      </c>
      <c r="V565" s="10" t="s">
        <v>450</v>
      </c>
      <c r="X565" s="15">
        <v>6</v>
      </c>
      <c r="Y565" s="10" t="s">
        <v>77</v>
      </c>
      <c r="Z565" s="10" t="s">
        <v>2282</v>
      </c>
      <c r="AA565" s="10" t="s">
        <v>23</v>
      </c>
      <c r="AB565" s="10" t="s">
        <v>46</v>
      </c>
    </row>
    <row r="566" spans="1:28">
      <c r="A566" s="10" t="s">
        <v>1049</v>
      </c>
      <c r="B566" s="11" t="s">
        <v>411</v>
      </c>
      <c r="C566" s="11" t="s">
        <v>437</v>
      </c>
      <c r="D566" s="12">
        <v>43</v>
      </c>
      <c r="E566" s="11" t="s">
        <v>1088</v>
      </c>
      <c r="F566" s="14" t="str">
        <f>_xlfn.XLOOKUP(E566,Profession!$B$2:$B$15,Profession!$A$2:$A$15,"Not Found")</f>
        <v>P014</v>
      </c>
      <c r="G566" s="11" t="s">
        <v>477</v>
      </c>
      <c r="H566" s="10" t="str">
        <f>_xlfn.XLOOKUP(G566,Region!$B$2:$B$16,Region!$A$2:$A$16,"Not Found")</f>
        <v>R015</v>
      </c>
      <c r="I566" s="10" t="s">
        <v>420</v>
      </c>
      <c r="J566" s="10" t="s">
        <v>420</v>
      </c>
      <c r="K566" s="10" t="s">
        <v>435</v>
      </c>
      <c r="L566" s="10" t="s">
        <v>1058</v>
      </c>
      <c r="M566" s="16" t="s">
        <v>422</v>
      </c>
      <c r="N566" s="10" t="s">
        <v>138</v>
      </c>
      <c r="O566" s="16" t="s">
        <v>433</v>
      </c>
      <c r="P566" s="11" t="s">
        <v>435</v>
      </c>
      <c r="Q566" s="11" t="s">
        <v>1061</v>
      </c>
      <c r="R566" s="11" t="s">
        <v>1068</v>
      </c>
      <c r="S566" s="10" t="s">
        <v>62</v>
      </c>
      <c r="T566" s="81">
        <v>8</v>
      </c>
      <c r="U566" s="10" t="s">
        <v>420</v>
      </c>
      <c r="V566" s="10" t="s">
        <v>450</v>
      </c>
      <c r="X566" s="15">
        <v>6</v>
      </c>
      <c r="Y566" s="10" t="s">
        <v>36</v>
      </c>
      <c r="Z566" s="10" t="s">
        <v>2849</v>
      </c>
      <c r="AA566" s="10" t="s">
        <v>23</v>
      </c>
      <c r="AB566" s="10" t="s">
        <v>2841</v>
      </c>
    </row>
    <row r="567" spans="1:28">
      <c r="A567" s="10" t="s">
        <v>1050</v>
      </c>
      <c r="B567" s="11" t="s">
        <v>412</v>
      </c>
      <c r="C567" s="11" t="s">
        <v>437</v>
      </c>
      <c r="D567" s="12">
        <v>20</v>
      </c>
      <c r="E567" s="11" t="s">
        <v>418</v>
      </c>
      <c r="F567" s="14" t="str">
        <f>_xlfn.XLOOKUP(E567,Profession!$B$2:$B$15,Profession!$A$2:$A$15,"Not Found")</f>
        <v>P001</v>
      </c>
      <c r="G567" s="11" t="s">
        <v>419</v>
      </c>
      <c r="H567" s="10" t="str">
        <f>_xlfn.XLOOKUP(G567,Region!$B$2:$B$16,Region!$A$2:$A$16,"Not Found")</f>
        <v>R001</v>
      </c>
      <c r="I567" s="10" t="s">
        <v>420</v>
      </c>
      <c r="J567" s="10" t="s">
        <v>420</v>
      </c>
      <c r="K567" s="10" t="s">
        <v>435</v>
      </c>
      <c r="L567" s="10" t="s">
        <v>1057</v>
      </c>
      <c r="M567" s="16" t="s">
        <v>422</v>
      </c>
      <c r="N567" s="10" t="s">
        <v>138</v>
      </c>
      <c r="O567" s="16" t="s">
        <v>423</v>
      </c>
      <c r="P567" s="11" t="s">
        <v>1059</v>
      </c>
      <c r="Q567" s="11" t="s">
        <v>422</v>
      </c>
      <c r="R567" s="11" t="s">
        <v>1062</v>
      </c>
      <c r="S567" s="10" t="s">
        <v>2884</v>
      </c>
      <c r="T567" s="81">
        <v>7</v>
      </c>
      <c r="U567" s="10" t="s">
        <v>420</v>
      </c>
      <c r="V567" s="10" t="s">
        <v>2278</v>
      </c>
      <c r="X567" s="15">
        <v>3</v>
      </c>
      <c r="Y567" s="10" t="s">
        <v>27</v>
      </c>
      <c r="Z567" s="10" t="s">
        <v>2849</v>
      </c>
      <c r="AA567" s="10" t="s">
        <v>23</v>
      </c>
      <c r="AB567" s="10" t="s">
        <v>24</v>
      </c>
    </row>
    <row r="568" spans="1:28">
      <c r="A568" s="10" t="s">
        <v>1051</v>
      </c>
      <c r="B568" s="11" t="s">
        <v>413</v>
      </c>
      <c r="C568" s="11" t="s">
        <v>437</v>
      </c>
      <c r="D568" s="12">
        <v>21</v>
      </c>
      <c r="E568" s="11" t="s">
        <v>465</v>
      </c>
      <c r="F568" s="14" t="str">
        <f>_xlfn.XLOOKUP(E568,Profession!$B$2:$B$15,Profession!$A$2:$A$15,"Not Found")</f>
        <v>P010</v>
      </c>
      <c r="G568" s="11" t="s">
        <v>1115</v>
      </c>
      <c r="H568" s="10" t="str">
        <f>_xlfn.XLOOKUP(G568,Region!$B$2:$B$16,Region!$A$2:$A$16,"Not Found")</f>
        <v>R002</v>
      </c>
      <c r="I568" s="10" t="s">
        <v>420</v>
      </c>
      <c r="J568" s="10" t="s">
        <v>420</v>
      </c>
      <c r="K568" s="10" t="s">
        <v>421</v>
      </c>
      <c r="L568" s="10" t="s">
        <v>1058</v>
      </c>
      <c r="M568" s="16" t="s">
        <v>422</v>
      </c>
      <c r="N568" s="10" t="s">
        <v>138</v>
      </c>
      <c r="O568" s="16" t="s">
        <v>450</v>
      </c>
      <c r="P568" s="11" t="s">
        <v>422</v>
      </c>
      <c r="Q568" s="11" t="s">
        <v>420</v>
      </c>
      <c r="R568" s="11" t="s">
        <v>1065</v>
      </c>
      <c r="S568" s="10" t="s">
        <v>62</v>
      </c>
      <c r="T568" s="81">
        <v>8</v>
      </c>
      <c r="U568" s="10" t="s">
        <v>420</v>
      </c>
      <c r="V568" s="10" t="s">
        <v>450</v>
      </c>
      <c r="X568" s="15">
        <v>4</v>
      </c>
      <c r="Y568" s="10" t="s">
        <v>56</v>
      </c>
      <c r="Z568" s="10" t="s">
        <v>2849</v>
      </c>
      <c r="AA568" s="10" t="s">
        <v>23</v>
      </c>
      <c r="AB568" s="10" t="s">
        <v>2843</v>
      </c>
    </row>
    <row r="569" spans="1:28">
      <c r="A569" s="10" t="s">
        <v>1052</v>
      </c>
      <c r="B569" s="11" t="s">
        <v>414</v>
      </c>
      <c r="C569" s="11" t="s">
        <v>437</v>
      </c>
      <c r="D569" s="12">
        <v>22</v>
      </c>
      <c r="E569" s="11" t="s">
        <v>442</v>
      </c>
      <c r="F569" s="14" t="str">
        <f>_xlfn.XLOOKUP(E569,Profession!$B$2:$B$15,Profession!$A$2:$A$15,"Not Found")</f>
        <v>P002</v>
      </c>
      <c r="G569" s="11" t="s">
        <v>419</v>
      </c>
      <c r="H569" s="10" t="str">
        <f>_xlfn.XLOOKUP(G569,Region!$B$2:$B$16,Region!$A$2:$A$16,"Not Found")</f>
        <v>R001</v>
      </c>
      <c r="I569" s="10" t="s">
        <v>420</v>
      </c>
      <c r="J569" s="10" t="s">
        <v>420</v>
      </c>
      <c r="K569" s="10" t="s">
        <v>435</v>
      </c>
      <c r="L569" s="10" t="s">
        <v>1058</v>
      </c>
      <c r="M569" s="16" t="s">
        <v>436</v>
      </c>
      <c r="N569" s="10" t="s">
        <v>26</v>
      </c>
      <c r="O569" s="16" t="s">
        <v>444</v>
      </c>
      <c r="P569" s="11" t="s">
        <v>422</v>
      </c>
      <c r="Q569" s="11" t="s">
        <v>1061</v>
      </c>
      <c r="R569" s="11" t="s">
        <v>1068</v>
      </c>
      <c r="S569" s="10" t="s">
        <v>62</v>
      </c>
      <c r="T569" s="81">
        <v>6</v>
      </c>
      <c r="U569" s="10" t="s">
        <v>420</v>
      </c>
      <c r="V569" s="10" t="s">
        <v>2277</v>
      </c>
      <c r="X569" s="15">
        <v>6</v>
      </c>
      <c r="Y569" s="10" t="s">
        <v>100</v>
      </c>
      <c r="Z569" s="10" t="s">
        <v>2849</v>
      </c>
      <c r="AA569" s="10" t="s">
        <v>37</v>
      </c>
      <c r="AB569" s="10" t="s">
        <v>2844</v>
      </c>
    </row>
    <row r="570" spans="1:28">
      <c r="A570" s="10" t="s">
        <v>1053</v>
      </c>
      <c r="B570" s="11" t="s">
        <v>415</v>
      </c>
      <c r="C570" s="11" t="s">
        <v>437</v>
      </c>
      <c r="D570" s="12">
        <v>23</v>
      </c>
      <c r="E570" s="11" t="s">
        <v>462</v>
      </c>
      <c r="F570" s="14" t="str">
        <f>_xlfn.XLOOKUP(E570,Profession!$B$2:$B$15,Profession!$A$2:$A$15,"Not Found")</f>
        <v>P008</v>
      </c>
      <c r="G570" s="11" t="s">
        <v>1112</v>
      </c>
      <c r="H570" s="10" t="str">
        <f>_xlfn.XLOOKUP(G570,Region!$B$2:$B$16,Region!$A$2:$A$16,"Not Found")</f>
        <v>R008</v>
      </c>
      <c r="I570" s="10" t="s">
        <v>420</v>
      </c>
      <c r="J570" s="10" t="s">
        <v>420</v>
      </c>
      <c r="K570" s="10" t="s">
        <v>431</v>
      </c>
      <c r="L570" s="10" t="s">
        <v>1058</v>
      </c>
      <c r="M570" s="16" t="s">
        <v>422</v>
      </c>
      <c r="N570" s="10" t="s">
        <v>138</v>
      </c>
      <c r="O570" s="16" t="s">
        <v>450</v>
      </c>
      <c r="P570" s="11" t="s">
        <v>422</v>
      </c>
      <c r="Q570" s="11" t="s">
        <v>420</v>
      </c>
      <c r="R570" s="11" t="s">
        <v>107</v>
      </c>
      <c r="S570" s="10" t="s">
        <v>62</v>
      </c>
      <c r="T570" s="81">
        <v>7</v>
      </c>
      <c r="U570" s="10" t="s">
        <v>420</v>
      </c>
      <c r="V570" s="10" t="s">
        <v>450</v>
      </c>
      <c r="X570" s="15">
        <v>5</v>
      </c>
      <c r="Y570" s="10" t="s">
        <v>56</v>
      </c>
      <c r="Z570" s="10" t="s">
        <v>2849</v>
      </c>
      <c r="AA570" s="10" t="s">
        <v>23</v>
      </c>
      <c r="AB570" s="10" t="s">
        <v>2843</v>
      </c>
    </row>
    <row r="571" spans="1:28">
      <c r="D571" s="12"/>
      <c r="K571" s="10" t="s">
        <v>483</v>
      </c>
      <c r="M571" s="16"/>
      <c r="N571" s="10" t="s">
        <v>138</v>
      </c>
      <c r="O571" s="16"/>
      <c r="T571" s="81"/>
      <c r="X571" s="15"/>
    </row>
    <row r="572" spans="1:28">
      <c r="D572" s="12"/>
      <c r="K572" s="10" t="s">
        <v>483</v>
      </c>
      <c r="M572" s="16"/>
      <c r="O572" s="16"/>
      <c r="T572" s="81"/>
      <c r="X572" s="15"/>
    </row>
    <row r="573" spans="1:28">
      <c r="D573" s="12"/>
      <c r="K573" s="10" t="s">
        <v>483</v>
      </c>
      <c r="M573" s="16"/>
      <c r="O573" s="16"/>
      <c r="T573" s="81"/>
      <c r="X573" s="15"/>
    </row>
  </sheetData>
  <autoFilter ref="T1:T573" xr:uid="{98AD21AB-9DE5-4698-9C6D-0AD0BFBE038C}"/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4FC4-8C13-4712-91C7-3C9BD87583E9}">
  <sheetPr>
    <tabColor theme="4" tint="0.39997558519241921"/>
  </sheetPr>
  <dimension ref="A1:F570"/>
  <sheetViews>
    <sheetView workbookViewId="0">
      <selection activeCell="E11" sqref="E11"/>
    </sheetView>
  </sheetViews>
  <sheetFormatPr defaultRowHeight="14.4"/>
  <cols>
    <col min="1" max="1" width="17" customWidth="1"/>
    <col min="2" max="2" width="17.6640625" style="2" bestFit="1" customWidth="1"/>
    <col min="3" max="3" width="10.44140625" style="2" customWidth="1"/>
    <col min="4" max="4" width="12.109375" style="7" customWidth="1"/>
    <col min="5" max="5" width="13.6640625" customWidth="1"/>
    <col min="6" max="6" width="13.33203125" bestFit="1" customWidth="1"/>
  </cols>
  <sheetData>
    <row r="1" spans="1:6">
      <c r="A1" s="23" t="s">
        <v>484</v>
      </c>
      <c r="B1" s="24" t="s">
        <v>0</v>
      </c>
      <c r="C1" s="24" t="s">
        <v>1</v>
      </c>
      <c r="D1" s="25" t="s">
        <v>416</v>
      </c>
      <c r="E1" s="26" t="s">
        <v>1107</v>
      </c>
      <c r="F1" s="27" t="s">
        <v>1109</v>
      </c>
    </row>
    <row r="2" spans="1:6">
      <c r="A2" s="21" t="s">
        <v>485</v>
      </c>
      <c r="B2" s="8" t="s">
        <v>18</v>
      </c>
      <c r="C2" s="8" t="s">
        <v>417</v>
      </c>
      <c r="D2" s="9">
        <v>18</v>
      </c>
      <c r="E2" s="3" t="s">
        <v>1074</v>
      </c>
      <c r="F2" s="22" t="s">
        <v>1090</v>
      </c>
    </row>
    <row r="3" spans="1:6">
      <c r="A3" s="21" t="s">
        <v>486</v>
      </c>
      <c r="B3" s="8" t="s">
        <v>25</v>
      </c>
      <c r="C3" s="8" t="s">
        <v>417</v>
      </c>
      <c r="D3" s="9">
        <v>20</v>
      </c>
      <c r="E3" s="3" t="s">
        <v>1074</v>
      </c>
      <c r="F3" s="22" t="s">
        <v>1090</v>
      </c>
    </row>
    <row r="4" spans="1:6">
      <c r="A4" s="21" t="s">
        <v>487</v>
      </c>
      <c r="B4" s="8" t="s">
        <v>29</v>
      </c>
      <c r="C4" s="8" t="s">
        <v>417</v>
      </c>
      <c r="D4" s="9">
        <v>19</v>
      </c>
      <c r="E4" s="3" t="s">
        <v>1074</v>
      </c>
      <c r="F4" s="22" t="s">
        <v>1090</v>
      </c>
    </row>
    <row r="5" spans="1:6">
      <c r="A5" s="21" t="s">
        <v>488</v>
      </c>
      <c r="B5" s="8" t="s">
        <v>32</v>
      </c>
      <c r="C5" s="8" t="s">
        <v>417</v>
      </c>
      <c r="D5" s="9">
        <v>19</v>
      </c>
      <c r="E5" s="3" t="s">
        <v>1074</v>
      </c>
      <c r="F5" s="22" t="s">
        <v>1090</v>
      </c>
    </row>
    <row r="6" spans="1:6">
      <c r="A6" s="21" t="s">
        <v>489</v>
      </c>
      <c r="B6" s="8" t="s">
        <v>35</v>
      </c>
      <c r="C6" s="8" t="s">
        <v>417</v>
      </c>
      <c r="D6" s="9">
        <v>19</v>
      </c>
      <c r="E6" s="3" t="s">
        <v>1074</v>
      </c>
      <c r="F6" s="22" t="s">
        <v>1090</v>
      </c>
    </row>
    <row r="7" spans="1:6">
      <c r="A7" s="21" t="s">
        <v>490</v>
      </c>
      <c r="B7" s="8" t="s">
        <v>38</v>
      </c>
      <c r="C7" s="8" t="s">
        <v>417</v>
      </c>
      <c r="D7" s="9">
        <v>19</v>
      </c>
      <c r="E7" s="3" t="s">
        <v>1074</v>
      </c>
      <c r="F7" s="22" t="s">
        <v>1090</v>
      </c>
    </row>
    <row r="8" spans="1:6">
      <c r="A8" s="21" t="s">
        <v>491</v>
      </c>
      <c r="B8" s="8" t="s">
        <v>41</v>
      </c>
      <c r="C8" s="8" t="s">
        <v>417</v>
      </c>
      <c r="D8" s="9">
        <v>19</v>
      </c>
      <c r="E8" s="3" t="s">
        <v>1074</v>
      </c>
      <c r="F8" s="22" t="s">
        <v>1090</v>
      </c>
    </row>
    <row r="9" spans="1:6">
      <c r="A9" s="21" t="s">
        <v>492</v>
      </c>
      <c r="B9" s="8" t="s">
        <v>44</v>
      </c>
      <c r="C9" s="8" t="s">
        <v>417</v>
      </c>
      <c r="D9" s="9">
        <v>18</v>
      </c>
      <c r="E9" s="3" t="s">
        <v>1074</v>
      </c>
      <c r="F9" s="22" t="s">
        <v>1090</v>
      </c>
    </row>
    <row r="10" spans="1:6">
      <c r="A10" s="21" t="s">
        <v>493</v>
      </c>
      <c r="B10" s="8" t="s">
        <v>47</v>
      </c>
      <c r="C10" s="8" t="s">
        <v>417</v>
      </c>
      <c r="D10" s="9">
        <v>19</v>
      </c>
      <c r="E10" s="3" t="s">
        <v>1074</v>
      </c>
      <c r="F10" s="22" t="s">
        <v>1090</v>
      </c>
    </row>
    <row r="11" spans="1:6">
      <c r="A11" s="21" t="s">
        <v>494</v>
      </c>
      <c r="B11" s="8" t="s">
        <v>50</v>
      </c>
      <c r="C11" s="8" t="s">
        <v>417</v>
      </c>
      <c r="D11" s="9">
        <v>20</v>
      </c>
      <c r="E11" s="3" t="s">
        <v>1074</v>
      </c>
      <c r="F11" s="22" t="s">
        <v>1090</v>
      </c>
    </row>
    <row r="12" spans="1:6">
      <c r="A12" s="21" t="s">
        <v>495</v>
      </c>
      <c r="B12" s="8" t="s">
        <v>53</v>
      </c>
      <c r="C12" s="8" t="s">
        <v>417</v>
      </c>
      <c r="D12" s="9">
        <v>20</v>
      </c>
      <c r="E12" s="3" t="s">
        <v>1074</v>
      </c>
      <c r="F12" s="22" t="s">
        <v>1090</v>
      </c>
    </row>
    <row r="13" spans="1:6">
      <c r="A13" s="21" t="s">
        <v>496</v>
      </c>
      <c r="B13" s="8" t="s">
        <v>55</v>
      </c>
      <c r="C13" s="8" t="s">
        <v>417</v>
      </c>
      <c r="D13" s="9">
        <v>19</v>
      </c>
      <c r="E13" s="3" t="s">
        <v>1074</v>
      </c>
      <c r="F13" s="22" t="s">
        <v>1090</v>
      </c>
    </row>
    <row r="14" spans="1:6">
      <c r="A14" s="21" t="s">
        <v>497</v>
      </c>
      <c r="B14" s="8" t="s">
        <v>57</v>
      </c>
      <c r="C14" s="8" t="s">
        <v>417</v>
      </c>
      <c r="D14" s="9">
        <v>20</v>
      </c>
      <c r="E14" s="3" t="s">
        <v>1074</v>
      </c>
      <c r="F14" s="22" t="s">
        <v>1090</v>
      </c>
    </row>
    <row r="15" spans="1:6">
      <c r="A15" s="21" t="s">
        <v>498</v>
      </c>
      <c r="B15" s="8" t="s">
        <v>59</v>
      </c>
      <c r="C15" s="8" t="s">
        <v>417</v>
      </c>
      <c r="D15" s="9">
        <v>20</v>
      </c>
      <c r="E15" s="3" t="s">
        <v>1074</v>
      </c>
      <c r="F15" s="22" t="s">
        <v>1090</v>
      </c>
    </row>
    <row r="16" spans="1:6">
      <c r="A16" s="21" t="s">
        <v>499</v>
      </c>
      <c r="B16" s="8" t="s">
        <v>60</v>
      </c>
      <c r="C16" s="8" t="s">
        <v>417</v>
      </c>
      <c r="D16" s="9">
        <v>19</v>
      </c>
      <c r="E16" s="3" t="s">
        <v>1074</v>
      </c>
      <c r="F16" s="22" t="s">
        <v>1091</v>
      </c>
    </row>
    <row r="17" spans="1:6">
      <c r="A17" s="21" t="s">
        <v>500</v>
      </c>
      <c r="B17" s="8" t="s">
        <v>63</v>
      </c>
      <c r="C17" s="8" t="s">
        <v>417</v>
      </c>
      <c r="D17" s="9">
        <v>17</v>
      </c>
      <c r="E17" s="3" t="s">
        <v>1074</v>
      </c>
      <c r="F17" s="22" t="s">
        <v>1091</v>
      </c>
    </row>
    <row r="18" spans="1:6">
      <c r="A18" s="21" t="s">
        <v>501</v>
      </c>
      <c r="B18" s="8" t="s">
        <v>65</v>
      </c>
      <c r="C18" s="8" t="s">
        <v>417</v>
      </c>
      <c r="D18" s="9">
        <v>18</v>
      </c>
      <c r="E18" s="3" t="s">
        <v>1074</v>
      </c>
      <c r="F18" s="22" t="s">
        <v>1091</v>
      </c>
    </row>
    <row r="19" spans="1:6">
      <c r="A19" s="21" t="s">
        <v>502</v>
      </c>
      <c r="B19" s="8" t="s">
        <v>68</v>
      </c>
      <c r="C19" s="8" t="s">
        <v>417</v>
      </c>
      <c r="D19" s="9">
        <v>20</v>
      </c>
      <c r="E19" s="3" t="s">
        <v>1074</v>
      </c>
      <c r="F19" s="22" t="s">
        <v>1091</v>
      </c>
    </row>
    <row r="20" spans="1:6">
      <c r="A20" s="21" t="s">
        <v>503</v>
      </c>
      <c r="B20" s="8" t="s">
        <v>71</v>
      </c>
      <c r="C20" s="8" t="s">
        <v>417</v>
      </c>
      <c r="D20" s="9">
        <v>19</v>
      </c>
      <c r="E20" s="3" t="s">
        <v>1074</v>
      </c>
      <c r="F20" s="22" t="s">
        <v>1091</v>
      </c>
    </row>
    <row r="21" spans="1:6">
      <c r="A21" s="21" t="s">
        <v>504</v>
      </c>
      <c r="B21" s="8" t="s">
        <v>72</v>
      </c>
      <c r="C21" s="8" t="s">
        <v>417</v>
      </c>
      <c r="D21" s="9">
        <v>19</v>
      </c>
      <c r="E21" s="3" t="s">
        <v>1074</v>
      </c>
      <c r="F21" s="22" t="s">
        <v>1091</v>
      </c>
    </row>
    <row r="22" spans="1:6">
      <c r="A22" s="21" t="s">
        <v>505</v>
      </c>
      <c r="B22" s="8" t="s">
        <v>73</v>
      </c>
      <c r="C22" s="8" t="s">
        <v>417</v>
      </c>
      <c r="D22" s="9">
        <v>19</v>
      </c>
      <c r="E22" s="3" t="s">
        <v>1074</v>
      </c>
      <c r="F22" s="22" t="s">
        <v>1091</v>
      </c>
    </row>
    <row r="23" spans="1:6">
      <c r="A23" s="21" t="s">
        <v>506</v>
      </c>
      <c r="B23" s="8" t="s">
        <v>74</v>
      </c>
      <c r="C23" s="8" t="s">
        <v>417</v>
      </c>
      <c r="D23" s="9">
        <v>19</v>
      </c>
      <c r="E23" s="3" t="s">
        <v>1074</v>
      </c>
      <c r="F23" s="22" t="s">
        <v>1091</v>
      </c>
    </row>
    <row r="24" spans="1:6">
      <c r="A24" s="21" t="s">
        <v>507</v>
      </c>
      <c r="B24" s="8" t="s">
        <v>76</v>
      </c>
      <c r="C24" s="8" t="s">
        <v>417</v>
      </c>
      <c r="D24" s="9">
        <v>19</v>
      </c>
      <c r="E24" s="3" t="s">
        <v>1074</v>
      </c>
      <c r="F24" s="22" t="s">
        <v>1091</v>
      </c>
    </row>
    <row r="25" spans="1:6">
      <c r="A25" s="21" t="s">
        <v>508</v>
      </c>
      <c r="B25" s="8" t="s">
        <v>78</v>
      </c>
      <c r="C25" s="8" t="s">
        <v>417</v>
      </c>
      <c r="D25" s="9">
        <v>18</v>
      </c>
      <c r="E25" s="3" t="s">
        <v>1074</v>
      </c>
      <c r="F25" s="22" t="s">
        <v>1091</v>
      </c>
    </row>
    <row r="26" spans="1:6">
      <c r="A26" s="21" t="s">
        <v>509</v>
      </c>
      <c r="B26" s="8" t="s">
        <v>79</v>
      </c>
      <c r="C26" s="8" t="s">
        <v>417</v>
      </c>
      <c r="D26" s="9">
        <v>19</v>
      </c>
      <c r="E26" s="3" t="s">
        <v>1074</v>
      </c>
      <c r="F26" s="22" t="s">
        <v>1091</v>
      </c>
    </row>
    <row r="27" spans="1:6">
      <c r="A27" s="21" t="s">
        <v>510</v>
      </c>
      <c r="B27" s="8" t="s">
        <v>80</v>
      </c>
      <c r="C27" s="8" t="s">
        <v>417</v>
      </c>
      <c r="D27" s="9">
        <v>20</v>
      </c>
      <c r="E27" s="3" t="s">
        <v>1074</v>
      </c>
      <c r="F27" s="22" t="s">
        <v>1091</v>
      </c>
    </row>
    <row r="28" spans="1:6">
      <c r="A28" s="21" t="s">
        <v>511</v>
      </c>
      <c r="B28" s="8" t="s">
        <v>81</v>
      </c>
      <c r="C28" s="8" t="s">
        <v>417</v>
      </c>
      <c r="D28" s="9">
        <v>20</v>
      </c>
      <c r="E28" s="3" t="s">
        <v>1074</v>
      </c>
      <c r="F28" s="22" t="s">
        <v>1091</v>
      </c>
    </row>
    <row r="29" spans="1:6">
      <c r="A29" s="21" t="s">
        <v>512</v>
      </c>
      <c r="B29" s="8" t="s">
        <v>82</v>
      </c>
      <c r="C29" s="8" t="s">
        <v>417</v>
      </c>
      <c r="D29" s="9">
        <v>19</v>
      </c>
      <c r="E29" s="3" t="s">
        <v>1074</v>
      </c>
      <c r="F29" s="22" t="s">
        <v>1091</v>
      </c>
    </row>
    <row r="30" spans="1:6">
      <c r="A30" s="21" t="s">
        <v>513</v>
      </c>
      <c r="B30" s="8" t="s">
        <v>83</v>
      </c>
      <c r="C30" s="8" t="s">
        <v>417</v>
      </c>
      <c r="D30" s="9">
        <v>20</v>
      </c>
      <c r="E30" s="3" t="s">
        <v>1074</v>
      </c>
      <c r="F30" s="22" t="s">
        <v>1091</v>
      </c>
    </row>
    <row r="31" spans="1:6">
      <c r="A31" s="21" t="s">
        <v>514</v>
      </c>
      <c r="B31" s="8" t="s">
        <v>84</v>
      </c>
      <c r="C31" s="8" t="s">
        <v>417</v>
      </c>
      <c r="D31" s="9">
        <v>20</v>
      </c>
      <c r="E31" s="3" t="s">
        <v>1074</v>
      </c>
      <c r="F31" s="22" t="s">
        <v>1091</v>
      </c>
    </row>
    <row r="32" spans="1:6">
      <c r="A32" s="21" t="s">
        <v>515</v>
      </c>
      <c r="B32" s="8" t="s">
        <v>85</v>
      </c>
      <c r="C32" s="8" t="s">
        <v>437</v>
      </c>
      <c r="D32" s="9">
        <v>20</v>
      </c>
      <c r="E32" s="3" t="s">
        <v>1074</v>
      </c>
      <c r="F32" s="22" t="s">
        <v>1090</v>
      </c>
    </row>
    <row r="33" spans="1:6">
      <c r="A33" s="21" t="s">
        <v>516</v>
      </c>
      <c r="B33" s="8" t="s">
        <v>88</v>
      </c>
      <c r="C33" s="8" t="s">
        <v>437</v>
      </c>
      <c r="D33" s="9">
        <v>19</v>
      </c>
      <c r="E33" s="3" t="s">
        <v>1074</v>
      </c>
      <c r="F33" s="22" t="s">
        <v>1090</v>
      </c>
    </row>
    <row r="34" spans="1:6">
      <c r="A34" s="21" t="s">
        <v>517</v>
      </c>
      <c r="B34" s="8" t="s">
        <v>89</v>
      </c>
      <c r="C34" s="8" t="s">
        <v>437</v>
      </c>
      <c r="D34" s="9">
        <v>20</v>
      </c>
      <c r="E34" s="3" t="s">
        <v>1074</v>
      </c>
      <c r="F34" s="22" t="s">
        <v>1090</v>
      </c>
    </row>
    <row r="35" spans="1:6">
      <c r="A35" s="21" t="s">
        <v>518</v>
      </c>
      <c r="B35" s="8" t="s">
        <v>90</v>
      </c>
      <c r="C35" s="8" t="s">
        <v>437</v>
      </c>
      <c r="D35" s="9">
        <v>19</v>
      </c>
      <c r="E35" s="3" t="s">
        <v>1074</v>
      </c>
      <c r="F35" s="22" t="s">
        <v>1090</v>
      </c>
    </row>
    <row r="36" spans="1:6">
      <c r="A36" s="21" t="s">
        <v>519</v>
      </c>
      <c r="B36" s="8" t="s">
        <v>438</v>
      </c>
      <c r="C36" s="8" t="s">
        <v>437</v>
      </c>
      <c r="D36" s="9">
        <v>19</v>
      </c>
      <c r="E36" s="3" t="s">
        <v>1074</v>
      </c>
      <c r="F36" s="22" t="s">
        <v>1090</v>
      </c>
    </row>
    <row r="37" spans="1:6">
      <c r="A37" s="21" t="s">
        <v>520</v>
      </c>
      <c r="B37" s="8" t="s">
        <v>439</v>
      </c>
      <c r="C37" s="8" t="s">
        <v>437</v>
      </c>
      <c r="D37" s="9">
        <v>19</v>
      </c>
      <c r="E37" s="3" t="s">
        <v>1074</v>
      </c>
      <c r="F37" s="22" t="s">
        <v>1090</v>
      </c>
    </row>
    <row r="38" spans="1:6">
      <c r="A38" s="21" t="s">
        <v>521</v>
      </c>
      <c r="B38" s="8" t="s">
        <v>440</v>
      </c>
      <c r="C38" s="8" t="s">
        <v>437</v>
      </c>
      <c r="D38" s="9">
        <v>19</v>
      </c>
      <c r="E38" s="3" t="s">
        <v>1074</v>
      </c>
      <c r="F38" s="22" t="s">
        <v>1090</v>
      </c>
    </row>
    <row r="39" spans="1:6">
      <c r="A39" s="21" t="s">
        <v>522</v>
      </c>
      <c r="B39" s="8" t="s">
        <v>91</v>
      </c>
      <c r="C39" s="8" t="s">
        <v>437</v>
      </c>
      <c r="D39" s="9">
        <v>19</v>
      </c>
      <c r="E39" s="3" t="s">
        <v>1074</v>
      </c>
      <c r="F39" s="22" t="s">
        <v>1090</v>
      </c>
    </row>
    <row r="40" spans="1:6">
      <c r="A40" s="21" t="s">
        <v>523</v>
      </c>
      <c r="B40" s="8" t="s">
        <v>92</v>
      </c>
      <c r="C40" s="8" t="s">
        <v>437</v>
      </c>
      <c r="D40" s="9">
        <v>18</v>
      </c>
      <c r="E40" s="3" t="s">
        <v>1074</v>
      </c>
      <c r="F40" s="22" t="s">
        <v>1090</v>
      </c>
    </row>
    <row r="41" spans="1:6">
      <c r="A41" s="21" t="s">
        <v>524</v>
      </c>
      <c r="B41" s="8" t="s">
        <v>441</v>
      </c>
      <c r="C41" s="8" t="s">
        <v>437</v>
      </c>
      <c r="D41" s="9">
        <v>19</v>
      </c>
      <c r="E41" s="3" t="s">
        <v>1074</v>
      </c>
      <c r="F41" s="22" t="s">
        <v>1090</v>
      </c>
    </row>
    <row r="42" spans="1:6">
      <c r="A42" s="21" t="s">
        <v>525</v>
      </c>
      <c r="B42" s="8" t="s">
        <v>93</v>
      </c>
      <c r="C42" s="8" t="s">
        <v>437</v>
      </c>
      <c r="D42" s="9">
        <v>20</v>
      </c>
      <c r="E42" s="3" t="s">
        <v>1074</v>
      </c>
      <c r="F42" s="22" t="s">
        <v>1090</v>
      </c>
    </row>
    <row r="43" spans="1:6">
      <c r="A43" s="21" t="s">
        <v>526</v>
      </c>
      <c r="B43" s="8" t="s">
        <v>94</v>
      </c>
      <c r="C43" s="8" t="s">
        <v>437</v>
      </c>
      <c r="D43" s="9">
        <v>20</v>
      </c>
      <c r="E43" s="3" t="s">
        <v>1074</v>
      </c>
      <c r="F43" s="22" t="s">
        <v>1090</v>
      </c>
    </row>
    <row r="44" spans="1:6">
      <c r="A44" s="21" t="s">
        <v>527</v>
      </c>
      <c r="B44" s="8" t="s">
        <v>95</v>
      </c>
      <c r="C44" s="8" t="s">
        <v>437</v>
      </c>
      <c r="D44" s="9">
        <v>19</v>
      </c>
      <c r="E44" s="3" t="s">
        <v>1074</v>
      </c>
      <c r="F44" s="22" t="s">
        <v>1090</v>
      </c>
    </row>
    <row r="45" spans="1:6">
      <c r="A45" s="21" t="s">
        <v>528</v>
      </c>
      <c r="B45" s="8" t="s">
        <v>96</v>
      </c>
      <c r="C45" s="8" t="s">
        <v>437</v>
      </c>
      <c r="D45" s="9">
        <v>20</v>
      </c>
      <c r="E45" s="3" t="s">
        <v>1074</v>
      </c>
      <c r="F45" s="22" t="s">
        <v>1090</v>
      </c>
    </row>
    <row r="46" spans="1:6">
      <c r="A46" s="21" t="s">
        <v>529</v>
      </c>
      <c r="B46" s="8" t="s">
        <v>97</v>
      </c>
      <c r="C46" s="8" t="s">
        <v>437</v>
      </c>
      <c r="D46" s="9">
        <v>19</v>
      </c>
      <c r="E46" s="3" t="s">
        <v>1074</v>
      </c>
      <c r="F46" s="22" t="s">
        <v>1090</v>
      </c>
    </row>
    <row r="47" spans="1:6">
      <c r="A47" s="21" t="s">
        <v>530</v>
      </c>
      <c r="B47" s="8" t="s">
        <v>98</v>
      </c>
      <c r="C47" s="8" t="s">
        <v>437</v>
      </c>
      <c r="D47" s="9">
        <v>19</v>
      </c>
      <c r="E47" s="3" t="s">
        <v>1074</v>
      </c>
      <c r="F47" s="22" t="s">
        <v>1091</v>
      </c>
    </row>
    <row r="48" spans="1:6">
      <c r="A48" s="21" t="s">
        <v>531</v>
      </c>
      <c r="B48" s="8" t="s">
        <v>101</v>
      </c>
      <c r="C48" s="8" t="s">
        <v>437</v>
      </c>
      <c r="D48" s="9">
        <v>38</v>
      </c>
      <c r="E48" s="3" t="s">
        <v>1075</v>
      </c>
      <c r="F48" s="22" t="s">
        <v>1090</v>
      </c>
    </row>
    <row r="49" spans="1:6">
      <c r="A49" s="21" t="s">
        <v>532</v>
      </c>
      <c r="B49" s="8" t="s">
        <v>443</v>
      </c>
      <c r="C49" s="8" t="s">
        <v>437</v>
      </c>
      <c r="D49" s="9">
        <v>22</v>
      </c>
      <c r="E49" s="3" t="s">
        <v>1075</v>
      </c>
      <c r="F49" s="22" t="s">
        <v>1090</v>
      </c>
    </row>
    <row r="50" spans="1:6">
      <c r="A50" s="21" t="s">
        <v>533</v>
      </c>
      <c r="B50" s="8" t="s">
        <v>123</v>
      </c>
      <c r="C50" s="8" t="s">
        <v>437</v>
      </c>
      <c r="D50" s="9">
        <v>24</v>
      </c>
      <c r="E50" s="3" t="s">
        <v>1075</v>
      </c>
      <c r="F50" s="22" t="s">
        <v>1090</v>
      </c>
    </row>
    <row r="51" spans="1:6">
      <c r="A51" s="21" t="s">
        <v>534</v>
      </c>
      <c r="B51" s="8" t="s">
        <v>445</v>
      </c>
      <c r="C51" s="8" t="s">
        <v>437</v>
      </c>
      <c r="D51" s="9">
        <v>49</v>
      </c>
      <c r="E51" s="3" t="s">
        <v>1076</v>
      </c>
      <c r="F51" s="22" t="s">
        <v>1092</v>
      </c>
    </row>
    <row r="52" spans="1:6">
      <c r="A52" s="21" t="s">
        <v>535</v>
      </c>
      <c r="B52" s="8" t="s">
        <v>447</v>
      </c>
      <c r="C52" s="8" t="s">
        <v>437</v>
      </c>
      <c r="D52" s="9">
        <v>30</v>
      </c>
      <c r="E52" s="3" t="s">
        <v>1077</v>
      </c>
      <c r="F52" s="22" t="s">
        <v>1093</v>
      </c>
    </row>
    <row r="53" spans="1:6">
      <c r="A53" s="21" t="s">
        <v>536</v>
      </c>
      <c r="B53" s="8" t="s">
        <v>449</v>
      </c>
      <c r="C53" s="8" t="s">
        <v>437</v>
      </c>
      <c r="D53" s="9">
        <v>30</v>
      </c>
      <c r="E53" s="3" t="s">
        <v>1077</v>
      </c>
      <c r="F53" s="22" t="s">
        <v>1093</v>
      </c>
    </row>
    <row r="54" spans="1:6">
      <c r="A54" s="21" t="s">
        <v>537</v>
      </c>
      <c r="B54" s="8" t="s">
        <v>451</v>
      </c>
      <c r="C54" s="8" t="s">
        <v>437</v>
      </c>
      <c r="D54" s="9">
        <v>29</v>
      </c>
      <c r="E54" s="3" t="s">
        <v>1078</v>
      </c>
      <c r="F54" s="22" t="s">
        <v>1094</v>
      </c>
    </row>
    <row r="55" spans="1:6">
      <c r="A55" s="21" t="s">
        <v>538</v>
      </c>
      <c r="B55" s="8" t="s">
        <v>454</v>
      </c>
      <c r="C55" s="8" t="s">
        <v>437</v>
      </c>
      <c r="D55" s="9">
        <v>37</v>
      </c>
      <c r="E55" s="3" t="s">
        <v>1078</v>
      </c>
      <c r="F55" s="22" t="s">
        <v>1095</v>
      </c>
    </row>
    <row r="56" spans="1:6">
      <c r="A56" s="21" t="s">
        <v>539</v>
      </c>
      <c r="B56" s="8" t="s">
        <v>456</v>
      </c>
      <c r="C56" s="8" t="s">
        <v>437</v>
      </c>
      <c r="D56" s="9">
        <v>38</v>
      </c>
      <c r="E56" s="3" t="s">
        <v>1078</v>
      </c>
      <c r="F56" s="22" t="s">
        <v>1091</v>
      </c>
    </row>
    <row r="57" spans="1:6">
      <c r="A57" s="21" t="s">
        <v>540</v>
      </c>
      <c r="B57" s="8" t="s">
        <v>457</v>
      </c>
      <c r="C57" s="8" t="s">
        <v>437</v>
      </c>
      <c r="D57" s="9">
        <v>42</v>
      </c>
      <c r="E57" s="3" t="s">
        <v>1079</v>
      </c>
      <c r="F57" s="22" t="s">
        <v>1091</v>
      </c>
    </row>
    <row r="58" spans="1:6">
      <c r="A58" s="21" t="s">
        <v>541</v>
      </c>
      <c r="B58" s="8" t="s">
        <v>194</v>
      </c>
      <c r="C58" s="8" t="s">
        <v>437</v>
      </c>
      <c r="D58" s="9">
        <v>21</v>
      </c>
      <c r="E58" s="3" t="s">
        <v>1080</v>
      </c>
      <c r="F58" s="22" t="s">
        <v>1093</v>
      </c>
    </row>
    <row r="59" spans="1:6">
      <c r="A59" s="21" t="s">
        <v>542</v>
      </c>
      <c r="B59" s="8" t="s">
        <v>461</v>
      </c>
      <c r="C59" s="8" t="s">
        <v>437</v>
      </c>
      <c r="D59" s="9">
        <v>28</v>
      </c>
      <c r="E59" s="3" t="s">
        <v>1080</v>
      </c>
      <c r="F59" s="22" t="s">
        <v>1090</v>
      </c>
    </row>
    <row r="60" spans="1:6">
      <c r="A60" s="21" t="s">
        <v>543</v>
      </c>
      <c r="B60" s="8" t="s">
        <v>113</v>
      </c>
      <c r="C60" s="8" t="s">
        <v>437</v>
      </c>
      <c r="D60" s="9">
        <v>21</v>
      </c>
      <c r="E60" s="3" t="s">
        <v>1081</v>
      </c>
      <c r="F60" s="22" t="s">
        <v>1090</v>
      </c>
    </row>
    <row r="61" spans="1:6">
      <c r="A61" s="21" t="s">
        <v>544</v>
      </c>
      <c r="B61" s="8" t="s">
        <v>463</v>
      </c>
      <c r="C61" s="8" t="s">
        <v>437</v>
      </c>
      <c r="D61" s="9">
        <v>32</v>
      </c>
      <c r="E61" s="3" t="s">
        <v>1081</v>
      </c>
      <c r="F61" s="22" t="s">
        <v>1096</v>
      </c>
    </row>
    <row r="62" spans="1:6">
      <c r="A62" s="21" t="s">
        <v>545</v>
      </c>
      <c r="B62" s="8" t="s">
        <v>324</v>
      </c>
      <c r="C62" s="8" t="s">
        <v>437</v>
      </c>
      <c r="D62" s="9">
        <v>24</v>
      </c>
      <c r="E62" s="3" t="s">
        <v>1081</v>
      </c>
      <c r="F62" s="22" t="s">
        <v>1090</v>
      </c>
    </row>
    <row r="63" spans="1:6">
      <c r="A63" s="21" t="s">
        <v>546</v>
      </c>
      <c r="B63" s="8" t="s">
        <v>186</v>
      </c>
      <c r="C63" s="8" t="s">
        <v>437</v>
      </c>
      <c r="D63" s="9">
        <v>25</v>
      </c>
      <c r="E63" s="3" t="s">
        <v>1082</v>
      </c>
      <c r="F63" s="22" t="s">
        <v>1097</v>
      </c>
    </row>
    <row r="64" spans="1:6">
      <c r="A64" s="21" t="s">
        <v>547</v>
      </c>
      <c r="B64" s="8" t="s">
        <v>194</v>
      </c>
      <c r="C64" s="8" t="s">
        <v>437</v>
      </c>
      <c r="D64" s="9">
        <v>18</v>
      </c>
      <c r="E64" s="3" t="s">
        <v>1083</v>
      </c>
      <c r="F64" s="22" t="s">
        <v>1090</v>
      </c>
    </row>
    <row r="65" spans="1:6">
      <c r="A65" s="21" t="s">
        <v>548</v>
      </c>
      <c r="B65" s="8" t="s">
        <v>466</v>
      </c>
      <c r="C65" s="8" t="s">
        <v>437</v>
      </c>
      <c r="D65" s="9">
        <v>30</v>
      </c>
      <c r="E65" s="3" t="s">
        <v>1083</v>
      </c>
      <c r="F65" s="22" t="s">
        <v>1098</v>
      </c>
    </row>
    <row r="66" spans="1:6">
      <c r="A66" s="21" t="s">
        <v>549</v>
      </c>
      <c r="B66" s="8" t="s">
        <v>468</v>
      </c>
      <c r="C66" s="8" t="s">
        <v>437</v>
      </c>
      <c r="D66" s="9">
        <v>30</v>
      </c>
      <c r="E66" s="3" t="s">
        <v>1083</v>
      </c>
      <c r="F66" s="22" t="s">
        <v>1090</v>
      </c>
    </row>
    <row r="67" spans="1:6">
      <c r="A67" s="21" t="s">
        <v>550</v>
      </c>
      <c r="B67" s="8" t="s">
        <v>128</v>
      </c>
      <c r="C67" s="8" t="s">
        <v>437</v>
      </c>
      <c r="D67" s="9">
        <v>40</v>
      </c>
      <c r="E67" s="3" t="s">
        <v>1083</v>
      </c>
      <c r="F67" s="22" t="s">
        <v>1099</v>
      </c>
    </row>
    <row r="68" spans="1:6">
      <c r="A68" s="21" t="s">
        <v>551</v>
      </c>
      <c r="B68" s="8" t="s">
        <v>92</v>
      </c>
      <c r="C68" s="8" t="s">
        <v>437</v>
      </c>
      <c r="D68" s="9">
        <v>22</v>
      </c>
      <c r="E68" s="3" t="s">
        <v>1084</v>
      </c>
      <c r="F68" s="22" t="s">
        <v>1100</v>
      </c>
    </row>
    <row r="69" spans="1:6">
      <c r="A69" s="21" t="s">
        <v>552</v>
      </c>
      <c r="B69" s="8" t="s">
        <v>470</v>
      </c>
      <c r="C69" s="8" t="s">
        <v>437</v>
      </c>
      <c r="D69" s="9">
        <v>27</v>
      </c>
      <c r="E69" s="3" t="s">
        <v>1084</v>
      </c>
      <c r="F69" s="22" t="s">
        <v>1090</v>
      </c>
    </row>
    <row r="70" spans="1:6">
      <c r="A70" s="21" t="s">
        <v>553</v>
      </c>
      <c r="B70" s="8" t="s">
        <v>471</v>
      </c>
      <c r="C70" s="8" t="s">
        <v>437</v>
      </c>
      <c r="D70" s="9">
        <v>23</v>
      </c>
      <c r="E70" s="3" t="s">
        <v>1084</v>
      </c>
      <c r="F70" s="22" t="s">
        <v>1090</v>
      </c>
    </row>
    <row r="71" spans="1:6">
      <c r="A71" s="21" t="s">
        <v>554</v>
      </c>
      <c r="B71" s="8" t="s">
        <v>472</v>
      </c>
      <c r="C71" s="8" t="s">
        <v>437</v>
      </c>
      <c r="D71" s="9">
        <v>34</v>
      </c>
      <c r="E71" s="3" t="s">
        <v>1085</v>
      </c>
      <c r="F71" s="22" t="s">
        <v>1090</v>
      </c>
    </row>
    <row r="72" spans="1:6">
      <c r="A72" s="21" t="s">
        <v>555</v>
      </c>
      <c r="B72" s="8" t="s">
        <v>152</v>
      </c>
      <c r="C72" s="8" t="s">
        <v>437</v>
      </c>
      <c r="D72" s="9">
        <v>25</v>
      </c>
      <c r="E72" s="3" t="s">
        <v>1085</v>
      </c>
      <c r="F72" s="22" t="s">
        <v>1101</v>
      </c>
    </row>
    <row r="73" spans="1:6">
      <c r="A73" s="21" t="s">
        <v>556</v>
      </c>
      <c r="B73" s="8" t="s">
        <v>474</v>
      </c>
      <c r="C73" s="8" t="s">
        <v>437</v>
      </c>
      <c r="D73" s="9">
        <v>47</v>
      </c>
      <c r="E73" s="3" t="s">
        <v>1086</v>
      </c>
      <c r="F73" s="22" t="s">
        <v>1102</v>
      </c>
    </row>
    <row r="74" spans="1:6">
      <c r="A74" s="21" t="s">
        <v>557</v>
      </c>
      <c r="B74" s="8" t="s">
        <v>475</v>
      </c>
      <c r="C74" s="8" t="s">
        <v>437</v>
      </c>
      <c r="D74" s="9">
        <v>50</v>
      </c>
      <c r="E74" s="3" t="s">
        <v>1087</v>
      </c>
      <c r="F74" s="22" t="s">
        <v>1103</v>
      </c>
    </row>
    <row r="75" spans="1:6">
      <c r="A75" s="21" t="s">
        <v>558</v>
      </c>
      <c r="B75" s="8" t="s">
        <v>476</v>
      </c>
      <c r="C75" s="8" t="s">
        <v>437</v>
      </c>
      <c r="D75" s="9">
        <v>50</v>
      </c>
      <c r="E75" s="3" t="s">
        <v>1087</v>
      </c>
      <c r="F75" s="22" t="s">
        <v>1104</v>
      </c>
    </row>
    <row r="76" spans="1:6">
      <c r="A76" s="21" t="s">
        <v>559</v>
      </c>
      <c r="B76" s="8" t="s">
        <v>93</v>
      </c>
      <c r="C76" s="8" t="s">
        <v>437</v>
      </c>
      <c r="D76" s="9">
        <v>29</v>
      </c>
      <c r="E76" s="3" t="s">
        <v>1074</v>
      </c>
      <c r="F76" s="22" t="s">
        <v>1091</v>
      </c>
    </row>
    <row r="77" spans="1:6">
      <c r="A77" s="21" t="s">
        <v>560</v>
      </c>
      <c r="B77" s="8" t="s">
        <v>478</v>
      </c>
      <c r="C77" s="8" t="s">
        <v>437</v>
      </c>
      <c r="D77" s="9">
        <v>18</v>
      </c>
      <c r="E77" s="3" t="s">
        <v>1074</v>
      </c>
      <c r="F77" s="22" t="s">
        <v>1091</v>
      </c>
    </row>
    <row r="78" spans="1:6">
      <c r="A78" s="21" t="s">
        <v>561</v>
      </c>
      <c r="B78" s="8" t="s">
        <v>479</v>
      </c>
      <c r="C78" s="8" t="s">
        <v>437</v>
      </c>
      <c r="D78" s="9">
        <v>19</v>
      </c>
      <c r="E78" s="3" t="s">
        <v>1074</v>
      </c>
      <c r="F78" s="22" t="s">
        <v>1091</v>
      </c>
    </row>
    <row r="79" spans="1:6">
      <c r="A79" s="21" t="s">
        <v>562</v>
      </c>
      <c r="B79" s="8" t="s">
        <v>480</v>
      </c>
      <c r="C79" s="8" t="s">
        <v>437</v>
      </c>
      <c r="D79" s="9">
        <v>19</v>
      </c>
      <c r="E79" s="3" t="s">
        <v>1074</v>
      </c>
      <c r="F79" s="22" t="s">
        <v>1091</v>
      </c>
    </row>
    <row r="80" spans="1:6">
      <c r="A80" s="21" t="s">
        <v>563</v>
      </c>
      <c r="B80" s="8" t="s">
        <v>481</v>
      </c>
      <c r="C80" s="8" t="s">
        <v>437</v>
      </c>
      <c r="D80" s="9">
        <v>19</v>
      </c>
      <c r="E80" s="3" t="s">
        <v>1074</v>
      </c>
      <c r="F80" s="22" t="s">
        <v>1091</v>
      </c>
    </row>
    <row r="81" spans="1:6">
      <c r="A81" s="21" t="s">
        <v>564</v>
      </c>
      <c r="B81" s="8" t="s">
        <v>482</v>
      </c>
      <c r="C81" s="8" t="s">
        <v>437</v>
      </c>
      <c r="D81" s="9">
        <v>19</v>
      </c>
      <c r="E81" s="3" t="s">
        <v>1074</v>
      </c>
      <c r="F81" s="22" t="s">
        <v>1091</v>
      </c>
    </row>
    <row r="82" spans="1:6">
      <c r="A82" s="21" t="s">
        <v>565</v>
      </c>
      <c r="B82" s="8" t="s">
        <v>109</v>
      </c>
      <c r="C82" s="8" t="s">
        <v>437</v>
      </c>
      <c r="D82" s="9">
        <v>19</v>
      </c>
      <c r="E82" s="3" t="s">
        <v>1074</v>
      </c>
      <c r="F82" s="22" t="s">
        <v>1091</v>
      </c>
    </row>
    <row r="83" spans="1:6">
      <c r="A83" s="21" t="s">
        <v>566</v>
      </c>
      <c r="B83" s="8" t="s">
        <v>110</v>
      </c>
      <c r="C83" s="8" t="s">
        <v>437</v>
      </c>
      <c r="D83" s="9">
        <v>20</v>
      </c>
      <c r="E83" s="3" t="s">
        <v>1074</v>
      </c>
      <c r="F83" s="22" t="s">
        <v>1091</v>
      </c>
    </row>
    <row r="84" spans="1:6">
      <c r="A84" s="21" t="s">
        <v>567</v>
      </c>
      <c r="B84" s="8" t="s">
        <v>111</v>
      </c>
      <c r="C84" s="8" t="s">
        <v>437</v>
      </c>
      <c r="D84" s="9">
        <v>19</v>
      </c>
      <c r="E84" s="3" t="s">
        <v>1074</v>
      </c>
      <c r="F84" s="22" t="s">
        <v>1091</v>
      </c>
    </row>
    <row r="85" spans="1:6">
      <c r="A85" s="21" t="s">
        <v>568</v>
      </c>
      <c r="B85" s="8" t="s">
        <v>112</v>
      </c>
      <c r="C85" s="8" t="s">
        <v>437</v>
      </c>
      <c r="D85" s="9">
        <v>19</v>
      </c>
      <c r="E85" s="3" t="s">
        <v>1074</v>
      </c>
      <c r="F85" s="22" t="s">
        <v>1091</v>
      </c>
    </row>
    <row r="86" spans="1:6">
      <c r="A86" s="21" t="s">
        <v>569</v>
      </c>
      <c r="B86" s="8" t="s">
        <v>113</v>
      </c>
      <c r="C86" s="8" t="s">
        <v>437</v>
      </c>
      <c r="D86" s="9">
        <v>19</v>
      </c>
      <c r="E86" s="3" t="s">
        <v>1074</v>
      </c>
      <c r="F86" s="22" t="s">
        <v>1091</v>
      </c>
    </row>
    <row r="87" spans="1:6">
      <c r="A87" s="21" t="s">
        <v>570</v>
      </c>
      <c r="B87" s="8" t="s">
        <v>114</v>
      </c>
      <c r="C87" s="8" t="s">
        <v>437</v>
      </c>
      <c r="D87" s="9">
        <v>18</v>
      </c>
      <c r="E87" s="3" t="s">
        <v>1074</v>
      </c>
      <c r="F87" s="22" t="s">
        <v>1091</v>
      </c>
    </row>
    <row r="88" spans="1:6">
      <c r="A88" s="21" t="s">
        <v>571</v>
      </c>
      <c r="B88" s="8" t="s">
        <v>115</v>
      </c>
      <c r="C88" s="8" t="s">
        <v>437</v>
      </c>
      <c r="D88" s="9">
        <v>19</v>
      </c>
      <c r="E88" s="3" t="s">
        <v>1074</v>
      </c>
      <c r="F88" s="22" t="s">
        <v>1091</v>
      </c>
    </row>
    <row r="89" spans="1:6">
      <c r="A89" s="21" t="s">
        <v>572</v>
      </c>
      <c r="B89" s="8" t="s">
        <v>116</v>
      </c>
      <c r="C89" s="8" t="s">
        <v>437</v>
      </c>
      <c r="D89" s="9">
        <v>19</v>
      </c>
      <c r="E89" s="3" t="s">
        <v>1074</v>
      </c>
      <c r="F89" s="22" t="s">
        <v>1091</v>
      </c>
    </row>
    <row r="90" spans="1:6">
      <c r="A90" s="21" t="s">
        <v>573</v>
      </c>
      <c r="B90" s="8" t="s">
        <v>117</v>
      </c>
      <c r="C90" s="8" t="s">
        <v>437</v>
      </c>
      <c r="D90" s="9">
        <v>19</v>
      </c>
      <c r="E90" s="3" t="s">
        <v>1074</v>
      </c>
      <c r="F90" s="22" t="s">
        <v>1091</v>
      </c>
    </row>
    <row r="91" spans="1:6">
      <c r="A91" s="21" t="s">
        <v>574</v>
      </c>
      <c r="B91" s="8" t="s">
        <v>118</v>
      </c>
      <c r="C91" s="8" t="s">
        <v>437</v>
      </c>
      <c r="D91" s="9">
        <v>19</v>
      </c>
      <c r="E91" s="3" t="s">
        <v>1074</v>
      </c>
      <c r="F91" s="22" t="s">
        <v>1091</v>
      </c>
    </row>
    <row r="92" spans="1:6">
      <c r="A92" s="21" t="s">
        <v>575</v>
      </c>
      <c r="B92" s="8" t="s">
        <v>120</v>
      </c>
      <c r="C92" s="8" t="s">
        <v>437</v>
      </c>
      <c r="D92" s="9">
        <v>19</v>
      </c>
      <c r="E92" s="3" t="s">
        <v>1074</v>
      </c>
      <c r="F92" s="22" t="s">
        <v>1091</v>
      </c>
    </row>
    <row r="93" spans="1:6">
      <c r="A93" s="21" t="s">
        <v>576</v>
      </c>
      <c r="B93" s="8" t="s">
        <v>89</v>
      </c>
      <c r="C93" s="8" t="s">
        <v>437</v>
      </c>
      <c r="D93" s="9">
        <v>19</v>
      </c>
      <c r="E93" s="3" t="s">
        <v>1074</v>
      </c>
      <c r="F93" s="22" t="s">
        <v>1091</v>
      </c>
    </row>
    <row r="94" spans="1:6">
      <c r="A94" s="21" t="s">
        <v>577</v>
      </c>
      <c r="B94" s="8" t="s">
        <v>121</v>
      </c>
      <c r="C94" s="8" t="s">
        <v>437</v>
      </c>
      <c r="D94" s="9">
        <v>19</v>
      </c>
      <c r="E94" s="3" t="s">
        <v>1074</v>
      </c>
      <c r="F94" s="22" t="s">
        <v>1091</v>
      </c>
    </row>
    <row r="95" spans="1:6">
      <c r="A95" s="21" t="s">
        <v>578</v>
      </c>
      <c r="B95" s="8" t="s">
        <v>122</v>
      </c>
      <c r="C95" s="8" t="s">
        <v>437</v>
      </c>
      <c r="D95" s="9">
        <v>19</v>
      </c>
      <c r="E95" s="3" t="s">
        <v>1074</v>
      </c>
      <c r="F95" s="22" t="s">
        <v>1091</v>
      </c>
    </row>
    <row r="96" spans="1:6">
      <c r="A96" s="21" t="s">
        <v>579</v>
      </c>
      <c r="B96" s="8" t="s">
        <v>123</v>
      </c>
      <c r="C96" s="8" t="s">
        <v>437</v>
      </c>
      <c r="D96" s="9">
        <v>18</v>
      </c>
      <c r="E96" s="3" t="s">
        <v>1074</v>
      </c>
      <c r="F96" s="22" t="s">
        <v>1091</v>
      </c>
    </row>
    <row r="97" spans="1:6">
      <c r="A97" s="21" t="s">
        <v>580</v>
      </c>
      <c r="B97" s="8" t="s">
        <v>92</v>
      </c>
      <c r="C97" s="8" t="s">
        <v>437</v>
      </c>
      <c r="D97" s="9">
        <v>19</v>
      </c>
      <c r="E97" s="3" t="s">
        <v>1074</v>
      </c>
      <c r="F97" s="22" t="s">
        <v>1091</v>
      </c>
    </row>
    <row r="98" spans="1:6">
      <c r="A98" s="21" t="s">
        <v>581</v>
      </c>
      <c r="B98" s="8" t="s">
        <v>124</v>
      </c>
      <c r="C98" s="8" t="s">
        <v>437</v>
      </c>
      <c r="D98" s="9">
        <v>20</v>
      </c>
      <c r="E98" s="3" t="s">
        <v>1074</v>
      </c>
      <c r="F98" s="22" t="s">
        <v>1091</v>
      </c>
    </row>
    <row r="99" spans="1:6">
      <c r="A99" s="21" t="s">
        <v>582</v>
      </c>
      <c r="B99" s="8" t="s">
        <v>101</v>
      </c>
      <c r="C99" s="8" t="s">
        <v>437</v>
      </c>
      <c r="D99" s="9">
        <v>20</v>
      </c>
      <c r="E99" s="3" t="s">
        <v>1074</v>
      </c>
      <c r="F99" s="22" t="s">
        <v>1091</v>
      </c>
    </row>
    <row r="100" spans="1:6">
      <c r="A100" s="21" t="s">
        <v>583</v>
      </c>
      <c r="B100" s="8" t="s">
        <v>125</v>
      </c>
      <c r="C100" s="8" t="s">
        <v>437</v>
      </c>
      <c r="D100" s="9">
        <v>19</v>
      </c>
      <c r="E100" s="3" t="s">
        <v>1074</v>
      </c>
      <c r="F100" s="22" t="s">
        <v>1091</v>
      </c>
    </row>
    <row r="101" spans="1:6">
      <c r="A101" s="21" t="s">
        <v>584</v>
      </c>
      <c r="B101" s="8" t="s">
        <v>126</v>
      </c>
      <c r="C101" s="8" t="s">
        <v>437</v>
      </c>
      <c r="D101" s="9">
        <v>20</v>
      </c>
      <c r="E101" s="3" t="s">
        <v>1074</v>
      </c>
      <c r="F101" s="22" t="s">
        <v>1091</v>
      </c>
    </row>
    <row r="102" spans="1:6">
      <c r="A102" s="21" t="s">
        <v>585</v>
      </c>
      <c r="B102" s="8" t="s">
        <v>127</v>
      </c>
      <c r="C102" s="8" t="s">
        <v>437</v>
      </c>
      <c r="D102" s="9">
        <v>20</v>
      </c>
      <c r="E102" s="3" t="s">
        <v>1074</v>
      </c>
      <c r="F102" s="22" t="s">
        <v>1091</v>
      </c>
    </row>
    <row r="103" spans="1:6">
      <c r="A103" s="21" t="s">
        <v>586</v>
      </c>
      <c r="B103" s="8" t="s">
        <v>128</v>
      </c>
      <c r="C103" s="8" t="s">
        <v>437</v>
      </c>
      <c r="D103" s="9">
        <v>19</v>
      </c>
      <c r="E103" s="3" t="s">
        <v>1074</v>
      </c>
      <c r="F103" s="22" t="s">
        <v>1091</v>
      </c>
    </row>
    <row r="104" spans="1:6">
      <c r="A104" s="21" t="s">
        <v>587</v>
      </c>
      <c r="B104" s="8" t="s">
        <v>129</v>
      </c>
      <c r="C104" s="8" t="s">
        <v>437</v>
      </c>
      <c r="D104" s="9">
        <v>20</v>
      </c>
      <c r="E104" s="3" t="s">
        <v>1074</v>
      </c>
      <c r="F104" s="22" t="s">
        <v>1091</v>
      </c>
    </row>
    <row r="105" spans="1:6">
      <c r="A105" s="21" t="s">
        <v>588</v>
      </c>
      <c r="B105" s="8" t="s">
        <v>130</v>
      </c>
      <c r="C105" s="8" t="s">
        <v>437</v>
      </c>
      <c r="D105" s="9">
        <v>19</v>
      </c>
      <c r="E105" s="3" t="s">
        <v>1074</v>
      </c>
      <c r="F105" s="22" t="s">
        <v>1091</v>
      </c>
    </row>
    <row r="106" spans="1:6">
      <c r="A106" s="21" t="s">
        <v>589</v>
      </c>
      <c r="B106" s="8" t="s">
        <v>131</v>
      </c>
      <c r="C106" s="8" t="s">
        <v>437</v>
      </c>
      <c r="D106" s="9">
        <v>19</v>
      </c>
      <c r="E106" s="3" t="s">
        <v>1074</v>
      </c>
      <c r="F106" s="22" t="s">
        <v>1091</v>
      </c>
    </row>
    <row r="107" spans="1:6">
      <c r="A107" s="21" t="s">
        <v>590</v>
      </c>
      <c r="B107" s="8" t="s">
        <v>132</v>
      </c>
      <c r="C107" s="8" t="s">
        <v>437</v>
      </c>
      <c r="D107" s="9">
        <v>19</v>
      </c>
      <c r="E107" s="3" t="s">
        <v>1074</v>
      </c>
      <c r="F107" s="22" t="s">
        <v>1091</v>
      </c>
    </row>
    <row r="108" spans="1:6">
      <c r="A108" s="21" t="s">
        <v>591</v>
      </c>
      <c r="B108" s="8" t="s">
        <v>133</v>
      </c>
      <c r="C108" s="8" t="s">
        <v>437</v>
      </c>
      <c r="D108" s="9">
        <v>19</v>
      </c>
      <c r="E108" s="3" t="s">
        <v>1074</v>
      </c>
      <c r="F108" s="22" t="s">
        <v>1091</v>
      </c>
    </row>
    <row r="109" spans="1:6">
      <c r="A109" s="21" t="s">
        <v>592</v>
      </c>
      <c r="B109" s="8" t="s">
        <v>134</v>
      </c>
      <c r="C109" s="8" t="s">
        <v>437</v>
      </c>
      <c r="D109" s="9">
        <v>19</v>
      </c>
      <c r="E109" s="3" t="s">
        <v>1074</v>
      </c>
      <c r="F109" s="22" t="s">
        <v>1091</v>
      </c>
    </row>
    <row r="110" spans="1:6">
      <c r="A110" s="21" t="s">
        <v>593</v>
      </c>
      <c r="B110" s="8" t="s">
        <v>135</v>
      </c>
      <c r="C110" s="8" t="s">
        <v>437</v>
      </c>
      <c r="D110" s="9">
        <v>18</v>
      </c>
      <c r="E110" s="3" t="s">
        <v>1074</v>
      </c>
      <c r="F110" s="22" t="s">
        <v>1091</v>
      </c>
    </row>
    <row r="111" spans="1:6">
      <c r="A111" s="21" t="s">
        <v>594</v>
      </c>
      <c r="B111" s="8" t="s">
        <v>136</v>
      </c>
      <c r="C111" s="8" t="s">
        <v>437</v>
      </c>
      <c r="D111" s="9">
        <v>19</v>
      </c>
      <c r="E111" s="3" t="s">
        <v>1074</v>
      </c>
      <c r="F111" s="22" t="s">
        <v>1091</v>
      </c>
    </row>
    <row r="112" spans="1:6">
      <c r="A112" s="21" t="s">
        <v>595</v>
      </c>
      <c r="B112" s="8" t="s">
        <v>137</v>
      </c>
      <c r="C112" s="8" t="s">
        <v>417</v>
      </c>
      <c r="D112" s="9">
        <v>50</v>
      </c>
      <c r="E112" s="3" t="s">
        <v>1087</v>
      </c>
      <c r="F112" s="22" t="s">
        <v>1104</v>
      </c>
    </row>
    <row r="113" spans="1:6">
      <c r="A113" s="21" t="s">
        <v>596</v>
      </c>
      <c r="B113" s="8" t="s">
        <v>139</v>
      </c>
      <c r="C113" s="8" t="s">
        <v>437</v>
      </c>
      <c r="D113" s="9">
        <v>21</v>
      </c>
      <c r="E113" s="3" t="s">
        <v>1074</v>
      </c>
      <c r="F113" s="22" t="s">
        <v>1090</v>
      </c>
    </row>
    <row r="114" spans="1:6">
      <c r="A114" s="21" t="s">
        <v>597</v>
      </c>
      <c r="B114" s="8" t="s">
        <v>140</v>
      </c>
      <c r="C114" s="8" t="s">
        <v>437</v>
      </c>
      <c r="D114" s="9">
        <v>22</v>
      </c>
      <c r="E114" s="3" t="s">
        <v>1083</v>
      </c>
      <c r="F114" s="22" t="s">
        <v>1091</v>
      </c>
    </row>
    <row r="115" spans="1:6">
      <c r="A115" s="21" t="s">
        <v>598</v>
      </c>
      <c r="B115" s="8" t="s">
        <v>141</v>
      </c>
      <c r="C115" s="8" t="s">
        <v>437</v>
      </c>
      <c r="D115" s="9">
        <v>23</v>
      </c>
      <c r="E115" s="3" t="s">
        <v>1075</v>
      </c>
      <c r="F115" s="22" t="s">
        <v>1090</v>
      </c>
    </row>
    <row r="116" spans="1:6">
      <c r="A116" s="21" t="s">
        <v>599</v>
      </c>
      <c r="B116" s="8" t="s">
        <v>109</v>
      </c>
      <c r="C116" s="8" t="s">
        <v>437</v>
      </c>
      <c r="D116" s="9">
        <v>24</v>
      </c>
      <c r="E116" s="3" t="s">
        <v>1081</v>
      </c>
      <c r="F116" s="22" t="s">
        <v>1097</v>
      </c>
    </row>
    <row r="117" spans="1:6">
      <c r="A117" s="21" t="s">
        <v>600</v>
      </c>
      <c r="B117" s="8" t="s">
        <v>92</v>
      </c>
      <c r="C117" s="8" t="s">
        <v>437</v>
      </c>
      <c r="D117" s="9">
        <v>25</v>
      </c>
      <c r="E117" s="3" t="s">
        <v>1085</v>
      </c>
      <c r="F117" s="22" t="s">
        <v>1101</v>
      </c>
    </row>
    <row r="118" spans="1:6">
      <c r="A118" s="21" t="s">
        <v>601</v>
      </c>
      <c r="B118" s="8" t="s">
        <v>142</v>
      </c>
      <c r="C118" s="8" t="s">
        <v>437</v>
      </c>
      <c r="D118" s="9">
        <v>26</v>
      </c>
      <c r="E118" s="3" t="s">
        <v>1084</v>
      </c>
      <c r="F118" s="22" t="s">
        <v>1090</v>
      </c>
    </row>
    <row r="119" spans="1:6">
      <c r="A119" s="21" t="s">
        <v>602</v>
      </c>
      <c r="B119" s="8" t="s">
        <v>143</v>
      </c>
      <c r="C119" s="8" t="s">
        <v>437</v>
      </c>
      <c r="D119" s="9">
        <v>27</v>
      </c>
      <c r="E119" s="3" t="s">
        <v>1080</v>
      </c>
      <c r="F119" s="22" t="s">
        <v>1090</v>
      </c>
    </row>
    <row r="120" spans="1:6">
      <c r="A120" s="21" t="s">
        <v>603</v>
      </c>
      <c r="B120" s="8" t="s">
        <v>113</v>
      </c>
      <c r="C120" s="8" t="s">
        <v>437</v>
      </c>
      <c r="D120" s="9">
        <v>28</v>
      </c>
      <c r="E120" s="3" t="s">
        <v>1074</v>
      </c>
      <c r="F120" s="22" t="s">
        <v>1091</v>
      </c>
    </row>
    <row r="121" spans="1:6">
      <c r="A121" s="21" t="s">
        <v>604</v>
      </c>
      <c r="B121" s="8" t="s">
        <v>144</v>
      </c>
      <c r="C121" s="8" t="s">
        <v>437</v>
      </c>
      <c r="D121" s="9">
        <v>29</v>
      </c>
      <c r="E121" s="3" t="s">
        <v>1078</v>
      </c>
      <c r="F121" s="22" t="s">
        <v>1094</v>
      </c>
    </row>
    <row r="122" spans="1:6">
      <c r="A122" s="21" t="s">
        <v>605</v>
      </c>
      <c r="B122" s="8" t="s">
        <v>145</v>
      </c>
      <c r="C122" s="8" t="s">
        <v>437</v>
      </c>
      <c r="D122" s="9">
        <v>30</v>
      </c>
      <c r="E122" s="3" t="s">
        <v>1083</v>
      </c>
      <c r="F122" s="22" t="s">
        <v>1098</v>
      </c>
    </row>
    <row r="123" spans="1:6">
      <c r="A123" s="21" t="s">
        <v>606</v>
      </c>
      <c r="B123" s="8" t="s">
        <v>115</v>
      </c>
      <c r="C123" s="8" t="s">
        <v>437</v>
      </c>
      <c r="D123" s="9">
        <v>31</v>
      </c>
      <c r="E123" s="3" t="s">
        <v>1077</v>
      </c>
      <c r="F123" s="22" t="s">
        <v>1093</v>
      </c>
    </row>
    <row r="124" spans="1:6">
      <c r="A124" s="21" t="s">
        <v>607</v>
      </c>
      <c r="B124" s="8" t="s">
        <v>146</v>
      </c>
      <c r="C124" s="8" t="s">
        <v>437</v>
      </c>
      <c r="D124" s="9">
        <v>32</v>
      </c>
      <c r="E124" s="3" t="s">
        <v>1077</v>
      </c>
      <c r="F124" s="22" t="s">
        <v>1093</v>
      </c>
    </row>
    <row r="125" spans="1:6">
      <c r="A125" s="21" t="s">
        <v>608</v>
      </c>
      <c r="B125" s="8" t="s">
        <v>147</v>
      </c>
      <c r="C125" s="8" t="s">
        <v>437</v>
      </c>
      <c r="D125" s="9">
        <v>33</v>
      </c>
      <c r="E125" s="3" t="s">
        <v>1083</v>
      </c>
      <c r="F125" s="22" t="s">
        <v>1090</v>
      </c>
    </row>
    <row r="126" spans="1:6">
      <c r="A126" s="21" t="s">
        <v>609</v>
      </c>
      <c r="B126" s="8" t="s">
        <v>95</v>
      </c>
      <c r="C126" s="8" t="s">
        <v>437</v>
      </c>
      <c r="D126" s="9">
        <v>34</v>
      </c>
      <c r="E126" s="3" t="s">
        <v>1081</v>
      </c>
      <c r="F126" s="22" t="s">
        <v>1096</v>
      </c>
    </row>
    <row r="127" spans="1:6">
      <c r="A127" s="21" t="s">
        <v>610</v>
      </c>
      <c r="B127" s="8" t="s">
        <v>148</v>
      </c>
      <c r="C127" s="8" t="s">
        <v>437</v>
      </c>
      <c r="D127" s="9">
        <v>35</v>
      </c>
      <c r="E127" s="3" t="s">
        <v>1085</v>
      </c>
      <c r="F127" s="22" t="s">
        <v>1090</v>
      </c>
    </row>
    <row r="128" spans="1:6">
      <c r="A128" s="21" t="s">
        <v>611</v>
      </c>
      <c r="B128" s="8" t="s">
        <v>150</v>
      </c>
      <c r="C128" s="8" t="s">
        <v>437</v>
      </c>
      <c r="D128" s="9">
        <v>36</v>
      </c>
      <c r="E128" s="3" t="s">
        <v>1078</v>
      </c>
      <c r="F128" s="22" t="s">
        <v>1095</v>
      </c>
    </row>
    <row r="129" spans="1:6">
      <c r="A129" s="21" t="s">
        <v>612</v>
      </c>
      <c r="B129" s="8" t="s">
        <v>151</v>
      </c>
      <c r="C129" s="8" t="s">
        <v>437</v>
      </c>
      <c r="D129" s="9">
        <v>37</v>
      </c>
      <c r="E129" s="3" t="s">
        <v>1078</v>
      </c>
      <c r="F129" s="22" t="s">
        <v>1091</v>
      </c>
    </row>
    <row r="130" spans="1:6">
      <c r="A130" s="21" t="s">
        <v>613</v>
      </c>
      <c r="B130" s="8" t="s">
        <v>152</v>
      </c>
      <c r="C130" s="8" t="s">
        <v>437</v>
      </c>
      <c r="D130" s="9">
        <v>38</v>
      </c>
      <c r="E130" s="3" t="s">
        <v>1075</v>
      </c>
      <c r="F130" s="22" t="s">
        <v>1090</v>
      </c>
    </row>
    <row r="131" spans="1:6">
      <c r="A131" s="21" t="s">
        <v>614</v>
      </c>
      <c r="B131" s="8" t="s">
        <v>124</v>
      </c>
      <c r="C131" s="8" t="s">
        <v>437</v>
      </c>
      <c r="D131" s="9">
        <v>39</v>
      </c>
      <c r="E131" s="3" t="s">
        <v>1083</v>
      </c>
      <c r="F131" s="22" t="s">
        <v>1099</v>
      </c>
    </row>
    <row r="132" spans="1:6">
      <c r="A132" s="21" t="s">
        <v>615</v>
      </c>
      <c r="B132" s="8" t="s">
        <v>153</v>
      </c>
      <c r="C132" s="8" t="s">
        <v>437</v>
      </c>
      <c r="D132" s="9">
        <v>40</v>
      </c>
      <c r="E132" s="3" t="s">
        <v>1079</v>
      </c>
      <c r="F132" s="22" t="s">
        <v>1091</v>
      </c>
    </row>
    <row r="133" spans="1:6">
      <c r="A133" s="21" t="s">
        <v>616</v>
      </c>
      <c r="B133" s="8" t="s">
        <v>154</v>
      </c>
      <c r="C133" s="8" t="s">
        <v>437</v>
      </c>
      <c r="D133" s="9">
        <v>41</v>
      </c>
      <c r="E133" s="3" t="s">
        <v>1086</v>
      </c>
      <c r="F133" s="22" t="s">
        <v>1102</v>
      </c>
    </row>
    <row r="134" spans="1:6">
      <c r="A134" s="21" t="s">
        <v>617</v>
      </c>
      <c r="B134" s="8" t="s">
        <v>155</v>
      </c>
      <c r="C134" s="8" t="s">
        <v>437</v>
      </c>
      <c r="D134" s="9">
        <v>42</v>
      </c>
      <c r="E134" s="3" t="s">
        <v>1076</v>
      </c>
      <c r="F134" s="22" t="s">
        <v>1092</v>
      </c>
    </row>
    <row r="135" spans="1:6">
      <c r="A135" s="21" t="s">
        <v>618</v>
      </c>
      <c r="B135" s="8" t="s">
        <v>131</v>
      </c>
      <c r="C135" s="8" t="s">
        <v>437</v>
      </c>
      <c r="D135" s="9">
        <v>43</v>
      </c>
      <c r="E135" s="3" t="s">
        <v>1087</v>
      </c>
      <c r="F135" s="22" t="s">
        <v>1103</v>
      </c>
    </row>
    <row r="136" spans="1:6">
      <c r="A136" s="21" t="s">
        <v>619</v>
      </c>
      <c r="B136" s="8" t="s">
        <v>93</v>
      </c>
      <c r="C136" s="8" t="s">
        <v>437</v>
      </c>
      <c r="D136" s="9">
        <v>44</v>
      </c>
      <c r="E136" s="3" t="s">
        <v>1087</v>
      </c>
      <c r="F136" s="22" t="s">
        <v>1104</v>
      </c>
    </row>
    <row r="137" spans="1:6">
      <c r="A137" s="21" t="s">
        <v>620</v>
      </c>
      <c r="B137" s="8" t="s">
        <v>156</v>
      </c>
      <c r="C137" s="8" t="s">
        <v>437</v>
      </c>
      <c r="D137" s="9">
        <v>20</v>
      </c>
      <c r="E137" s="3" t="s">
        <v>1074</v>
      </c>
      <c r="F137" s="22" t="s">
        <v>1090</v>
      </c>
    </row>
    <row r="138" spans="1:6">
      <c r="A138" s="21" t="s">
        <v>621</v>
      </c>
      <c r="B138" s="8" t="s">
        <v>157</v>
      </c>
      <c r="C138" s="8" t="s">
        <v>437</v>
      </c>
      <c r="D138" s="9">
        <v>21</v>
      </c>
      <c r="E138" s="3" t="s">
        <v>1083</v>
      </c>
      <c r="F138" s="22" t="s">
        <v>1091</v>
      </c>
    </row>
    <row r="139" spans="1:6">
      <c r="A139" s="21" t="s">
        <v>622</v>
      </c>
      <c r="B139" s="8" t="s">
        <v>158</v>
      </c>
      <c r="C139" s="8" t="s">
        <v>437</v>
      </c>
      <c r="D139" s="9">
        <v>22</v>
      </c>
      <c r="E139" s="3" t="s">
        <v>1075</v>
      </c>
      <c r="F139" s="22" t="s">
        <v>1090</v>
      </c>
    </row>
    <row r="140" spans="1:6">
      <c r="A140" s="21" t="s">
        <v>623</v>
      </c>
      <c r="B140" s="8" t="s">
        <v>159</v>
      </c>
      <c r="C140" s="8" t="s">
        <v>437</v>
      </c>
      <c r="D140" s="9">
        <v>23</v>
      </c>
      <c r="E140" s="3" t="s">
        <v>1081</v>
      </c>
      <c r="F140" s="22" t="s">
        <v>1097</v>
      </c>
    </row>
    <row r="141" spans="1:6">
      <c r="A141" s="21" t="s">
        <v>624</v>
      </c>
      <c r="B141" s="8" t="s">
        <v>160</v>
      </c>
      <c r="C141" s="8" t="s">
        <v>437</v>
      </c>
      <c r="D141" s="9">
        <v>24</v>
      </c>
      <c r="E141" s="3" t="s">
        <v>1085</v>
      </c>
      <c r="F141" s="22" t="s">
        <v>1101</v>
      </c>
    </row>
    <row r="142" spans="1:6">
      <c r="A142" s="21" t="s">
        <v>625</v>
      </c>
      <c r="B142" s="8" t="s">
        <v>161</v>
      </c>
      <c r="C142" s="8" t="s">
        <v>437</v>
      </c>
      <c r="D142" s="9">
        <v>25</v>
      </c>
      <c r="E142" s="3" t="s">
        <v>1084</v>
      </c>
      <c r="F142" s="22" t="s">
        <v>1090</v>
      </c>
    </row>
    <row r="143" spans="1:6">
      <c r="A143" s="21" t="s">
        <v>626</v>
      </c>
      <c r="B143" s="8" t="s">
        <v>162</v>
      </c>
      <c r="C143" s="8" t="s">
        <v>437</v>
      </c>
      <c r="D143" s="9">
        <v>26</v>
      </c>
      <c r="E143" s="3" t="s">
        <v>1080</v>
      </c>
      <c r="F143" s="22" t="s">
        <v>1090</v>
      </c>
    </row>
    <row r="144" spans="1:6">
      <c r="A144" s="21" t="s">
        <v>627</v>
      </c>
      <c r="B144" s="8" t="s">
        <v>163</v>
      </c>
      <c r="C144" s="8" t="s">
        <v>437</v>
      </c>
      <c r="D144" s="9">
        <v>27</v>
      </c>
      <c r="E144" s="3" t="s">
        <v>1074</v>
      </c>
      <c r="F144" s="22" t="s">
        <v>1091</v>
      </c>
    </row>
    <row r="145" spans="1:6">
      <c r="A145" s="21" t="s">
        <v>628</v>
      </c>
      <c r="B145" s="8" t="s">
        <v>111</v>
      </c>
      <c r="C145" s="8" t="s">
        <v>437</v>
      </c>
      <c r="D145" s="9">
        <v>28</v>
      </c>
      <c r="E145" s="3" t="s">
        <v>1078</v>
      </c>
      <c r="F145" s="22" t="s">
        <v>1094</v>
      </c>
    </row>
    <row r="146" spans="1:6">
      <c r="A146" s="21" t="s">
        <v>629</v>
      </c>
      <c r="B146" s="8" t="s">
        <v>164</v>
      </c>
      <c r="C146" s="8" t="s">
        <v>437</v>
      </c>
      <c r="D146" s="9">
        <v>29</v>
      </c>
      <c r="E146" s="3" t="s">
        <v>1083</v>
      </c>
      <c r="F146" s="22" t="s">
        <v>1098</v>
      </c>
    </row>
    <row r="147" spans="1:6">
      <c r="A147" s="21" t="s">
        <v>630</v>
      </c>
      <c r="B147" s="8" t="s">
        <v>165</v>
      </c>
      <c r="C147" s="8" t="s">
        <v>437</v>
      </c>
      <c r="D147" s="9">
        <v>30</v>
      </c>
      <c r="E147" s="3" t="s">
        <v>1077</v>
      </c>
      <c r="F147" s="22" t="s">
        <v>1093</v>
      </c>
    </row>
    <row r="148" spans="1:6">
      <c r="A148" s="21" t="s">
        <v>631</v>
      </c>
      <c r="B148" s="8" t="s">
        <v>166</v>
      </c>
      <c r="C148" s="8" t="s">
        <v>437</v>
      </c>
      <c r="D148" s="9">
        <v>31</v>
      </c>
      <c r="E148" s="3" t="s">
        <v>1077</v>
      </c>
      <c r="F148" s="22" t="s">
        <v>1093</v>
      </c>
    </row>
    <row r="149" spans="1:6">
      <c r="A149" s="21" t="s">
        <v>632</v>
      </c>
      <c r="B149" s="8" t="s">
        <v>117</v>
      </c>
      <c r="C149" s="8" t="s">
        <v>437</v>
      </c>
      <c r="D149" s="9">
        <v>32</v>
      </c>
      <c r="E149" s="3" t="s">
        <v>1083</v>
      </c>
      <c r="F149" s="22" t="s">
        <v>1090</v>
      </c>
    </row>
    <row r="150" spans="1:6">
      <c r="A150" s="21" t="s">
        <v>633</v>
      </c>
      <c r="B150" s="8" t="s">
        <v>167</v>
      </c>
      <c r="C150" s="8" t="s">
        <v>437</v>
      </c>
      <c r="D150" s="9">
        <v>33</v>
      </c>
      <c r="E150" s="3" t="s">
        <v>1081</v>
      </c>
      <c r="F150" s="22" t="s">
        <v>1096</v>
      </c>
    </row>
    <row r="151" spans="1:6">
      <c r="A151" s="21" t="s">
        <v>634</v>
      </c>
      <c r="B151" s="8" t="s">
        <v>129</v>
      </c>
      <c r="C151" s="8" t="s">
        <v>437</v>
      </c>
      <c r="D151" s="9">
        <v>34</v>
      </c>
      <c r="E151" s="3" t="s">
        <v>1085</v>
      </c>
      <c r="F151" s="22" t="s">
        <v>1090</v>
      </c>
    </row>
    <row r="152" spans="1:6">
      <c r="A152" s="21" t="s">
        <v>635</v>
      </c>
      <c r="B152" s="8" t="s">
        <v>168</v>
      </c>
      <c r="C152" s="8" t="s">
        <v>437</v>
      </c>
      <c r="D152" s="9">
        <v>35</v>
      </c>
      <c r="E152" s="3" t="s">
        <v>1078</v>
      </c>
      <c r="F152" s="22" t="s">
        <v>1095</v>
      </c>
    </row>
    <row r="153" spans="1:6">
      <c r="A153" s="21" t="s">
        <v>636</v>
      </c>
      <c r="B153" s="8" t="s">
        <v>134</v>
      </c>
      <c r="C153" s="8" t="s">
        <v>437</v>
      </c>
      <c r="D153" s="9">
        <v>36</v>
      </c>
      <c r="E153" s="3" t="s">
        <v>1078</v>
      </c>
      <c r="F153" s="22" t="s">
        <v>1091</v>
      </c>
    </row>
    <row r="154" spans="1:6">
      <c r="A154" s="21" t="s">
        <v>637</v>
      </c>
      <c r="B154" s="8" t="s">
        <v>169</v>
      </c>
      <c r="C154" s="8" t="s">
        <v>437</v>
      </c>
      <c r="D154" s="9">
        <v>37</v>
      </c>
      <c r="E154" s="3" t="s">
        <v>1075</v>
      </c>
      <c r="F154" s="22" t="s">
        <v>1090</v>
      </c>
    </row>
    <row r="155" spans="1:6">
      <c r="A155" s="21" t="s">
        <v>638</v>
      </c>
      <c r="B155" s="8" t="s">
        <v>120</v>
      </c>
      <c r="C155" s="8" t="s">
        <v>437</v>
      </c>
      <c r="D155" s="9">
        <v>38</v>
      </c>
      <c r="E155" s="3" t="s">
        <v>1083</v>
      </c>
      <c r="F155" s="22" t="s">
        <v>1099</v>
      </c>
    </row>
    <row r="156" spans="1:6">
      <c r="A156" s="21" t="s">
        <v>639</v>
      </c>
      <c r="B156" s="8" t="s">
        <v>88</v>
      </c>
      <c r="C156" s="8" t="s">
        <v>437</v>
      </c>
      <c r="D156" s="9">
        <v>39</v>
      </c>
      <c r="E156" s="3" t="s">
        <v>1079</v>
      </c>
      <c r="F156" s="22" t="s">
        <v>1091</v>
      </c>
    </row>
    <row r="157" spans="1:6">
      <c r="A157" s="21" t="s">
        <v>640</v>
      </c>
      <c r="B157" s="8" t="s">
        <v>170</v>
      </c>
      <c r="C157" s="8" t="s">
        <v>437</v>
      </c>
      <c r="D157" s="9">
        <v>40</v>
      </c>
      <c r="E157" s="3" t="s">
        <v>1086</v>
      </c>
      <c r="F157" s="22" t="s">
        <v>1102</v>
      </c>
    </row>
    <row r="158" spans="1:6">
      <c r="A158" s="21" t="s">
        <v>641</v>
      </c>
      <c r="B158" s="8" t="s">
        <v>171</v>
      </c>
      <c r="C158" s="8" t="s">
        <v>437</v>
      </c>
      <c r="D158" s="9">
        <v>41</v>
      </c>
      <c r="E158" s="3" t="s">
        <v>1076</v>
      </c>
      <c r="F158" s="22" t="s">
        <v>1092</v>
      </c>
    </row>
    <row r="159" spans="1:6">
      <c r="A159" s="21" t="s">
        <v>642</v>
      </c>
      <c r="B159" s="8" t="s">
        <v>89</v>
      </c>
      <c r="C159" s="8" t="s">
        <v>437</v>
      </c>
      <c r="D159" s="9">
        <v>42</v>
      </c>
      <c r="E159" s="3" t="s">
        <v>1087</v>
      </c>
      <c r="F159" s="22" t="s">
        <v>1103</v>
      </c>
    </row>
    <row r="160" spans="1:6">
      <c r="A160" s="21" t="s">
        <v>643</v>
      </c>
      <c r="B160" s="8" t="s">
        <v>172</v>
      </c>
      <c r="C160" s="8" t="s">
        <v>437</v>
      </c>
      <c r="D160" s="9">
        <v>43</v>
      </c>
      <c r="E160" s="3" t="s">
        <v>1087</v>
      </c>
      <c r="F160" s="22" t="s">
        <v>1104</v>
      </c>
    </row>
    <row r="161" spans="1:6">
      <c r="A161" s="21" t="s">
        <v>644</v>
      </c>
      <c r="B161" s="8" t="s">
        <v>173</v>
      </c>
      <c r="C161" s="8" t="s">
        <v>437</v>
      </c>
      <c r="D161" s="9">
        <v>20</v>
      </c>
      <c r="E161" s="3" t="s">
        <v>1074</v>
      </c>
      <c r="F161" s="22" t="s">
        <v>1090</v>
      </c>
    </row>
    <row r="162" spans="1:6">
      <c r="A162" s="21" t="s">
        <v>645</v>
      </c>
      <c r="B162" s="8" t="s">
        <v>174</v>
      </c>
      <c r="C162" s="8" t="s">
        <v>437</v>
      </c>
      <c r="D162" s="9">
        <v>21</v>
      </c>
      <c r="E162" s="3" t="s">
        <v>1083</v>
      </c>
      <c r="F162" s="22" t="s">
        <v>1091</v>
      </c>
    </row>
    <row r="163" spans="1:6">
      <c r="A163" s="21" t="s">
        <v>646</v>
      </c>
      <c r="B163" s="8" t="s">
        <v>175</v>
      </c>
      <c r="C163" s="8" t="s">
        <v>437</v>
      </c>
      <c r="D163" s="9">
        <v>22</v>
      </c>
      <c r="E163" s="3" t="s">
        <v>1075</v>
      </c>
      <c r="F163" s="22" t="s">
        <v>1090</v>
      </c>
    </row>
    <row r="164" spans="1:6">
      <c r="A164" s="21" t="s">
        <v>647</v>
      </c>
      <c r="B164" s="8" t="s">
        <v>110</v>
      </c>
      <c r="C164" s="8" t="s">
        <v>437</v>
      </c>
      <c r="D164" s="9">
        <v>23</v>
      </c>
      <c r="E164" s="3" t="s">
        <v>1081</v>
      </c>
      <c r="F164" s="22" t="s">
        <v>1097</v>
      </c>
    </row>
    <row r="165" spans="1:6">
      <c r="A165" s="21" t="s">
        <v>648</v>
      </c>
      <c r="B165" s="8" t="s">
        <v>176</v>
      </c>
      <c r="C165" s="8" t="s">
        <v>437</v>
      </c>
      <c r="D165" s="9">
        <v>24</v>
      </c>
      <c r="E165" s="3" t="s">
        <v>1085</v>
      </c>
      <c r="F165" s="22" t="s">
        <v>1101</v>
      </c>
    </row>
    <row r="166" spans="1:6">
      <c r="A166" s="21" t="s">
        <v>649</v>
      </c>
      <c r="B166" s="8" t="s">
        <v>85</v>
      </c>
      <c r="C166" s="8" t="s">
        <v>437</v>
      </c>
      <c r="D166" s="9">
        <v>25</v>
      </c>
      <c r="E166" s="3" t="s">
        <v>1084</v>
      </c>
      <c r="F166" s="22" t="s">
        <v>1090</v>
      </c>
    </row>
    <row r="167" spans="1:6">
      <c r="A167" s="21" t="s">
        <v>650</v>
      </c>
      <c r="B167" s="8" t="s">
        <v>177</v>
      </c>
      <c r="C167" s="8" t="s">
        <v>437</v>
      </c>
      <c r="D167" s="9">
        <v>26</v>
      </c>
      <c r="E167" s="3" t="s">
        <v>1080</v>
      </c>
      <c r="F167" s="22" t="s">
        <v>1090</v>
      </c>
    </row>
    <row r="168" spans="1:6">
      <c r="A168" s="21" t="s">
        <v>651</v>
      </c>
      <c r="B168" s="8" t="s">
        <v>178</v>
      </c>
      <c r="C168" s="8" t="s">
        <v>437</v>
      </c>
      <c r="D168" s="9">
        <v>27</v>
      </c>
      <c r="E168" s="3" t="s">
        <v>1074</v>
      </c>
      <c r="F168" s="22" t="s">
        <v>1091</v>
      </c>
    </row>
    <row r="169" spans="1:6">
      <c r="A169" s="21" t="s">
        <v>652</v>
      </c>
      <c r="B169" s="8" t="s">
        <v>91</v>
      </c>
      <c r="C169" s="8" t="s">
        <v>437</v>
      </c>
      <c r="D169" s="9">
        <v>28</v>
      </c>
      <c r="E169" s="3" t="s">
        <v>1078</v>
      </c>
      <c r="F169" s="22" t="s">
        <v>1094</v>
      </c>
    </row>
    <row r="170" spans="1:6">
      <c r="A170" s="21" t="s">
        <v>653</v>
      </c>
      <c r="B170" s="8" t="s">
        <v>179</v>
      </c>
      <c r="C170" s="8" t="s">
        <v>437</v>
      </c>
      <c r="D170" s="9">
        <v>29</v>
      </c>
      <c r="E170" s="3" t="s">
        <v>1083</v>
      </c>
      <c r="F170" s="22" t="s">
        <v>1098</v>
      </c>
    </row>
    <row r="171" spans="1:6">
      <c r="A171" s="21" t="s">
        <v>654</v>
      </c>
      <c r="B171" s="8" t="s">
        <v>116</v>
      </c>
      <c r="C171" s="8" t="s">
        <v>437</v>
      </c>
      <c r="D171" s="9">
        <v>30</v>
      </c>
      <c r="E171" s="3" t="s">
        <v>1077</v>
      </c>
      <c r="F171" s="22" t="s">
        <v>1093</v>
      </c>
    </row>
    <row r="172" spans="1:6">
      <c r="A172" s="21" t="s">
        <v>655</v>
      </c>
      <c r="B172" s="8" t="s">
        <v>123</v>
      </c>
      <c r="C172" s="8" t="s">
        <v>437</v>
      </c>
      <c r="D172" s="9">
        <v>31</v>
      </c>
      <c r="E172" s="3" t="s">
        <v>1077</v>
      </c>
      <c r="F172" s="22" t="s">
        <v>1093</v>
      </c>
    </row>
    <row r="173" spans="1:6">
      <c r="A173" s="21" t="s">
        <v>656</v>
      </c>
      <c r="B173" s="8" t="s">
        <v>180</v>
      </c>
      <c r="C173" s="8" t="s">
        <v>437</v>
      </c>
      <c r="D173" s="9">
        <v>32</v>
      </c>
      <c r="E173" s="3" t="s">
        <v>1083</v>
      </c>
      <c r="F173" s="22" t="s">
        <v>1090</v>
      </c>
    </row>
    <row r="174" spans="1:6">
      <c r="A174" s="21" t="s">
        <v>657</v>
      </c>
      <c r="B174" s="8" t="s">
        <v>181</v>
      </c>
      <c r="C174" s="8" t="s">
        <v>437</v>
      </c>
      <c r="D174" s="9">
        <v>33</v>
      </c>
      <c r="E174" s="3" t="s">
        <v>1081</v>
      </c>
      <c r="F174" s="22" t="s">
        <v>1096</v>
      </c>
    </row>
    <row r="175" spans="1:6">
      <c r="A175" s="21" t="s">
        <v>658</v>
      </c>
      <c r="B175" s="8" t="s">
        <v>182</v>
      </c>
      <c r="C175" s="8" t="s">
        <v>437</v>
      </c>
      <c r="D175" s="9">
        <v>34</v>
      </c>
      <c r="E175" s="3" t="s">
        <v>1085</v>
      </c>
      <c r="F175" s="22" t="s">
        <v>1090</v>
      </c>
    </row>
    <row r="176" spans="1:6">
      <c r="A176" s="21" t="s">
        <v>659</v>
      </c>
      <c r="B176" s="8" t="s">
        <v>122</v>
      </c>
      <c r="C176" s="8" t="s">
        <v>437</v>
      </c>
      <c r="D176" s="9">
        <v>35</v>
      </c>
      <c r="E176" s="3" t="s">
        <v>1078</v>
      </c>
      <c r="F176" s="22" t="s">
        <v>1095</v>
      </c>
    </row>
    <row r="177" spans="1:6">
      <c r="A177" s="21" t="s">
        <v>660</v>
      </c>
      <c r="B177" s="8" t="s">
        <v>183</v>
      </c>
      <c r="C177" s="8" t="s">
        <v>437</v>
      </c>
      <c r="D177" s="9">
        <v>36</v>
      </c>
      <c r="E177" s="3" t="s">
        <v>1078</v>
      </c>
      <c r="F177" s="22" t="s">
        <v>1091</v>
      </c>
    </row>
    <row r="178" spans="1:6">
      <c r="A178" s="21" t="s">
        <v>661</v>
      </c>
      <c r="B178" s="8" t="s">
        <v>184</v>
      </c>
      <c r="C178" s="8" t="s">
        <v>437</v>
      </c>
      <c r="D178" s="9">
        <v>37</v>
      </c>
      <c r="E178" s="3" t="s">
        <v>1075</v>
      </c>
      <c r="F178" s="22" t="s">
        <v>1090</v>
      </c>
    </row>
    <row r="179" spans="1:6">
      <c r="A179" s="21" t="s">
        <v>662</v>
      </c>
      <c r="B179" s="8" t="s">
        <v>185</v>
      </c>
      <c r="C179" s="8" t="s">
        <v>437</v>
      </c>
      <c r="D179" s="9">
        <v>38</v>
      </c>
      <c r="E179" s="3" t="s">
        <v>1083</v>
      </c>
      <c r="F179" s="22" t="s">
        <v>1099</v>
      </c>
    </row>
    <row r="180" spans="1:6">
      <c r="A180" s="21" t="s">
        <v>663</v>
      </c>
      <c r="B180" s="8" t="s">
        <v>186</v>
      </c>
      <c r="C180" s="8" t="s">
        <v>437</v>
      </c>
      <c r="D180" s="9">
        <v>39</v>
      </c>
      <c r="E180" s="3" t="s">
        <v>1079</v>
      </c>
      <c r="F180" s="22" t="s">
        <v>1091</v>
      </c>
    </row>
    <row r="181" spans="1:6">
      <c r="A181" s="21" t="s">
        <v>664</v>
      </c>
      <c r="B181" s="8" t="s">
        <v>94</v>
      </c>
      <c r="C181" s="8" t="s">
        <v>437</v>
      </c>
      <c r="D181" s="9">
        <v>40</v>
      </c>
      <c r="E181" s="3" t="s">
        <v>1086</v>
      </c>
      <c r="F181" s="22" t="s">
        <v>1102</v>
      </c>
    </row>
    <row r="182" spans="1:6">
      <c r="A182" s="21" t="s">
        <v>665</v>
      </c>
      <c r="B182" s="8" t="s">
        <v>187</v>
      </c>
      <c r="C182" s="8" t="s">
        <v>437</v>
      </c>
      <c r="D182" s="9">
        <v>41</v>
      </c>
      <c r="E182" s="3" t="s">
        <v>1076</v>
      </c>
      <c r="F182" s="22" t="s">
        <v>1092</v>
      </c>
    </row>
    <row r="183" spans="1:6">
      <c r="A183" s="21" t="s">
        <v>666</v>
      </c>
      <c r="B183" s="8" t="s">
        <v>112</v>
      </c>
      <c r="C183" s="8" t="s">
        <v>437</v>
      </c>
      <c r="D183" s="9">
        <v>42</v>
      </c>
      <c r="E183" s="3" t="s">
        <v>1087</v>
      </c>
      <c r="F183" s="22" t="s">
        <v>1103</v>
      </c>
    </row>
    <row r="184" spans="1:6">
      <c r="A184" s="21" t="s">
        <v>667</v>
      </c>
      <c r="B184" s="8" t="s">
        <v>188</v>
      </c>
      <c r="C184" s="8" t="s">
        <v>437</v>
      </c>
      <c r="D184" s="9">
        <v>43</v>
      </c>
      <c r="E184" s="3" t="s">
        <v>1087</v>
      </c>
      <c r="F184" s="22" t="s">
        <v>1104</v>
      </c>
    </row>
    <row r="185" spans="1:6">
      <c r="A185" s="21" t="s">
        <v>668</v>
      </c>
      <c r="B185" s="8" t="s">
        <v>189</v>
      </c>
      <c r="C185" s="8" t="s">
        <v>437</v>
      </c>
      <c r="D185" s="9">
        <v>20</v>
      </c>
      <c r="E185" s="3" t="s">
        <v>1074</v>
      </c>
      <c r="F185" s="22" t="s">
        <v>1090</v>
      </c>
    </row>
    <row r="186" spans="1:6">
      <c r="A186" s="21" t="s">
        <v>669</v>
      </c>
      <c r="B186" s="8" t="s">
        <v>127</v>
      </c>
      <c r="C186" s="8" t="s">
        <v>437</v>
      </c>
      <c r="D186" s="9">
        <v>21</v>
      </c>
      <c r="E186" s="3" t="s">
        <v>1083</v>
      </c>
      <c r="F186" s="22" t="s">
        <v>1091</v>
      </c>
    </row>
    <row r="187" spans="1:6">
      <c r="A187" s="21" t="s">
        <v>670</v>
      </c>
      <c r="B187" s="8" t="s">
        <v>133</v>
      </c>
      <c r="C187" s="8" t="s">
        <v>437</v>
      </c>
      <c r="D187" s="9">
        <v>22</v>
      </c>
      <c r="E187" s="3" t="s">
        <v>1075</v>
      </c>
      <c r="F187" s="22" t="s">
        <v>1090</v>
      </c>
    </row>
    <row r="188" spans="1:6">
      <c r="A188" s="21" t="s">
        <v>671</v>
      </c>
      <c r="B188" s="8" t="s">
        <v>96</v>
      </c>
      <c r="C188" s="8" t="s">
        <v>437</v>
      </c>
      <c r="D188" s="9">
        <v>23</v>
      </c>
      <c r="E188" s="3" t="s">
        <v>1081</v>
      </c>
      <c r="F188" s="22" t="s">
        <v>1097</v>
      </c>
    </row>
    <row r="189" spans="1:6">
      <c r="A189" s="21" t="s">
        <v>672</v>
      </c>
      <c r="B189" s="8" t="s">
        <v>190</v>
      </c>
      <c r="C189" s="8" t="s">
        <v>437</v>
      </c>
      <c r="D189" s="9">
        <v>24</v>
      </c>
      <c r="E189" s="3" t="s">
        <v>1085</v>
      </c>
      <c r="F189" s="22" t="s">
        <v>1101</v>
      </c>
    </row>
    <row r="190" spans="1:6">
      <c r="A190" s="21" t="s">
        <v>673</v>
      </c>
      <c r="B190" s="8" t="s">
        <v>191</v>
      </c>
      <c r="C190" s="8" t="s">
        <v>437</v>
      </c>
      <c r="D190" s="9">
        <v>25</v>
      </c>
      <c r="E190" s="3" t="s">
        <v>1084</v>
      </c>
      <c r="F190" s="22" t="s">
        <v>1090</v>
      </c>
    </row>
    <row r="191" spans="1:6">
      <c r="A191" s="21" t="s">
        <v>674</v>
      </c>
      <c r="B191" s="8" t="s">
        <v>192</v>
      </c>
      <c r="C191" s="8" t="s">
        <v>437</v>
      </c>
      <c r="D191" s="9">
        <v>26</v>
      </c>
      <c r="E191" s="3" t="s">
        <v>1080</v>
      </c>
      <c r="F191" s="22" t="s">
        <v>1090</v>
      </c>
    </row>
    <row r="192" spans="1:6">
      <c r="A192" s="21" t="s">
        <v>675</v>
      </c>
      <c r="B192" s="8" t="s">
        <v>135</v>
      </c>
      <c r="C192" s="8" t="s">
        <v>437</v>
      </c>
      <c r="D192" s="9">
        <v>27</v>
      </c>
      <c r="E192" s="3" t="s">
        <v>1074</v>
      </c>
      <c r="F192" s="22" t="s">
        <v>1091</v>
      </c>
    </row>
    <row r="193" spans="1:6">
      <c r="A193" s="21" t="s">
        <v>676</v>
      </c>
      <c r="B193" s="8" t="s">
        <v>193</v>
      </c>
      <c r="C193" s="8" t="s">
        <v>437</v>
      </c>
      <c r="D193" s="9">
        <v>28</v>
      </c>
      <c r="E193" s="3" t="s">
        <v>1078</v>
      </c>
      <c r="F193" s="22" t="s">
        <v>1094</v>
      </c>
    </row>
    <row r="194" spans="1:6">
      <c r="A194" s="21" t="s">
        <v>677</v>
      </c>
      <c r="B194" s="8" t="s">
        <v>194</v>
      </c>
      <c r="C194" s="8" t="s">
        <v>437</v>
      </c>
      <c r="D194" s="9">
        <v>29</v>
      </c>
      <c r="E194" s="3" t="s">
        <v>1083</v>
      </c>
      <c r="F194" s="22" t="s">
        <v>1098</v>
      </c>
    </row>
    <row r="195" spans="1:6">
      <c r="A195" s="21" t="s">
        <v>678</v>
      </c>
      <c r="B195" s="8" t="s">
        <v>195</v>
      </c>
      <c r="C195" s="8" t="s">
        <v>437</v>
      </c>
      <c r="D195" s="9">
        <v>30</v>
      </c>
      <c r="E195" s="3" t="s">
        <v>1077</v>
      </c>
      <c r="F195" s="22" t="s">
        <v>1093</v>
      </c>
    </row>
    <row r="196" spans="1:6">
      <c r="A196" s="21" t="s">
        <v>679</v>
      </c>
      <c r="B196" s="8" t="s">
        <v>196</v>
      </c>
      <c r="C196" s="8" t="s">
        <v>437</v>
      </c>
      <c r="D196" s="9">
        <v>31</v>
      </c>
      <c r="E196" s="3" t="s">
        <v>1077</v>
      </c>
      <c r="F196" s="22" t="s">
        <v>1093</v>
      </c>
    </row>
    <row r="197" spans="1:6">
      <c r="A197" s="21" t="s">
        <v>680</v>
      </c>
      <c r="B197" s="8" t="s">
        <v>197</v>
      </c>
      <c r="C197" s="8" t="s">
        <v>437</v>
      </c>
      <c r="D197" s="9">
        <v>32</v>
      </c>
      <c r="E197" s="3" t="s">
        <v>1083</v>
      </c>
      <c r="F197" s="22" t="s">
        <v>1090</v>
      </c>
    </row>
    <row r="198" spans="1:6">
      <c r="A198" s="21" t="s">
        <v>681</v>
      </c>
      <c r="B198" s="8" t="s">
        <v>137</v>
      </c>
      <c r="C198" s="8" t="s">
        <v>417</v>
      </c>
      <c r="D198" s="9">
        <v>33</v>
      </c>
      <c r="E198" s="3" t="s">
        <v>1081</v>
      </c>
      <c r="F198" s="22" t="s">
        <v>1096</v>
      </c>
    </row>
    <row r="199" spans="1:6">
      <c r="A199" s="21" t="s">
        <v>682</v>
      </c>
      <c r="B199" s="8" t="s">
        <v>198</v>
      </c>
      <c r="C199" s="8" t="s">
        <v>417</v>
      </c>
      <c r="D199" s="9">
        <v>34</v>
      </c>
      <c r="E199" s="3" t="s">
        <v>1085</v>
      </c>
      <c r="F199" s="22" t="s">
        <v>1090</v>
      </c>
    </row>
    <row r="200" spans="1:6">
      <c r="A200" s="21" t="s">
        <v>683</v>
      </c>
      <c r="B200" s="8" t="s">
        <v>18</v>
      </c>
      <c r="C200" s="8" t="s">
        <v>417</v>
      </c>
      <c r="D200" s="9">
        <v>35</v>
      </c>
      <c r="E200" s="3" t="s">
        <v>1078</v>
      </c>
      <c r="F200" s="22" t="s">
        <v>1095</v>
      </c>
    </row>
    <row r="201" spans="1:6">
      <c r="A201" s="21" t="s">
        <v>684</v>
      </c>
      <c r="B201" s="8" t="s">
        <v>199</v>
      </c>
      <c r="C201" s="8" t="s">
        <v>417</v>
      </c>
      <c r="D201" s="9">
        <v>36</v>
      </c>
      <c r="E201" s="3" t="s">
        <v>1078</v>
      </c>
      <c r="F201" s="22" t="s">
        <v>1091</v>
      </c>
    </row>
    <row r="202" spans="1:6">
      <c r="A202" s="21" t="s">
        <v>685</v>
      </c>
      <c r="B202" s="8" t="s">
        <v>200</v>
      </c>
      <c r="C202" s="8" t="s">
        <v>417</v>
      </c>
      <c r="D202" s="9">
        <v>37</v>
      </c>
      <c r="E202" s="3" t="s">
        <v>1075</v>
      </c>
      <c r="F202" s="22" t="s">
        <v>1090</v>
      </c>
    </row>
    <row r="203" spans="1:6">
      <c r="A203" s="21" t="s">
        <v>686</v>
      </c>
      <c r="B203" s="8" t="s">
        <v>201</v>
      </c>
      <c r="C203" s="8" t="s">
        <v>417</v>
      </c>
      <c r="D203" s="9">
        <v>38</v>
      </c>
      <c r="E203" s="3" t="s">
        <v>1083</v>
      </c>
      <c r="F203" s="22" t="s">
        <v>1099</v>
      </c>
    </row>
    <row r="204" spans="1:6">
      <c r="A204" s="21" t="s">
        <v>687</v>
      </c>
      <c r="B204" s="8" t="s">
        <v>202</v>
      </c>
      <c r="C204" s="8" t="s">
        <v>417</v>
      </c>
      <c r="D204" s="9">
        <v>39</v>
      </c>
      <c r="E204" s="3" t="s">
        <v>1079</v>
      </c>
      <c r="F204" s="22" t="s">
        <v>1091</v>
      </c>
    </row>
    <row r="205" spans="1:6">
      <c r="A205" s="21" t="s">
        <v>688</v>
      </c>
      <c r="B205" s="8" t="s">
        <v>203</v>
      </c>
      <c r="C205" s="8" t="s">
        <v>417</v>
      </c>
      <c r="D205" s="9">
        <v>40</v>
      </c>
      <c r="E205" s="3" t="s">
        <v>1086</v>
      </c>
      <c r="F205" s="22" t="s">
        <v>1102</v>
      </c>
    </row>
    <row r="206" spans="1:6">
      <c r="A206" s="21" t="s">
        <v>689</v>
      </c>
      <c r="B206" s="8" t="s">
        <v>204</v>
      </c>
      <c r="C206" s="8" t="s">
        <v>417</v>
      </c>
      <c r="D206" s="9">
        <v>41</v>
      </c>
      <c r="E206" s="3" t="s">
        <v>1076</v>
      </c>
      <c r="F206" s="22" t="s">
        <v>1092</v>
      </c>
    </row>
    <row r="207" spans="1:6">
      <c r="A207" s="21" t="s">
        <v>690</v>
      </c>
      <c r="B207" s="8" t="s">
        <v>25</v>
      </c>
      <c r="C207" s="8" t="s">
        <v>417</v>
      </c>
      <c r="D207" s="9">
        <v>42</v>
      </c>
      <c r="E207" s="3" t="s">
        <v>1087</v>
      </c>
      <c r="F207" s="22" t="s">
        <v>1103</v>
      </c>
    </row>
    <row r="208" spans="1:6">
      <c r="A208" s="21" t="s">
        <v>691</v>
      </c>
      <c r="B208" s="8" t="s">
        <v>205</v>
      </c>
      <c r="C208" s="8" t="s">
        <v>417</v>
      </c>
      <c r="D208" s="9">
        <v>43</v>
      </c>
      <c r="E208" s="3" t="s">
        <v>1087</v>
      </c>
      <c r="F208" s="22" t="s">
        <v>1104</v>
      </c>
    </row>
    <row r="209" spans="1:6">
      <c r="A209" s="21" t="s">
        <v>692</v>
      </c>
      <c r="B209" s="8" t="s">
        <v>206</v>
      </c>
      <c r="C209" s="8" t="s">
        <v>417</v>
      </c>
      <c r="D209" s="9">
        <v>20</v>
      </c>
      <c r="E209" s="3" t="s">
        <v>1074</v>
      </c>
      <c r="F209" s="22" t="s">
        <v>1090</v>
      </c>
    </row>
    <row r="210" spans="1:6">
      <c r="A210" s="21" t="s">
        <v>693</v>
      </c>
      <c r="B210" s="8" t="s">
        <v>207</v>
      </c>
      <c r="C210" s="8" t="s">
        <v>417</v>
      </c>
      <c r="D210" s="9">
        <v>21</v>
      </c>
      <c r="E210" s="3" t="s">
        <v>1083</v>
      </c>
      <c r="F210" s="22" t="s">
        <v>1091</v>
      </c>
    </row>
    <row r="211" spans="1:6">
      <c r="A211" s="21" t="s">
        <v>694</v>
      </c>
      <c r="B211" s="8" t="s">
        <v>208</v>
      </c>
      <c r="C211" s="8" t="s">
        <v>417</v>
      </c>
      <c r="D211" s="9">
        <v>22</v>
      </c>
      <c r="E211" s="3" t="s">
        <v>1075</v>
      </c>
      <c r="F211" s="22" t="s">
        <v>1090</v>
      </c>
    </row>
    <row r="212" spans="1:6">
      <c r="A212" s="21" t="s">
        <v>695</v>
      </c>
      <c r="B212" s="8" t="s">
        <v>209</v>
      </c>
      <c r="C212" s="8" t="s">
        <v>417</v>
      </c>
      <c r="D212" s="9">
        <v>23</v>
      </c>
      <c r="E212" s="3" t="s">
        <v>1081</v>
      </c>
      <c r="F212" s="22" t="s">
        <v>1097</v>
      </c>
    </row>
    <row r="213" spans="1:6">
      <c r="A213" s="21" t="s">
        <v>696</v>
      </c>
      <c r="B213" s="8" t="s">
        <v>210</v>
      </c>
      <c r="C213" s="8" t="s">
        <v>417</v>
      </c>
      <c r="D213" s="9">
        <v>24</v>
      </c>
      <c r="E213" s="3" t="s">
        <v>1085</v>
      </c>
      <c r="F213" s="22" t="s">
        <v>1101</v>
      </c>
    </row>
    <row r="214" spans="1:6">
      <c r="A214" s="21" t="s">
        <v>697</v>
      </c>
      <c r="B214" s="8" t="s">
        <v>211</v>
      </c>
      <c r="C214" s="8" t="s">
        <v>417</v>
      </c>
      <c r="D214" s="9">
        <v>25</v>
      </c>
      <c r="E214" s="3" t="s">
        <v>1084</v>
      </c>
      <c r="F214" s="22" t="s">
        <v>1090</v>
      </c>
    </row>
    <row r="215" spans="1:6">
      <c r="A215" s="21" t="s">
        <v>698</v>
      </c>
      <c r="B215" s="8" t="s">
        <v>212</v>
      </c>
      <c r="C215" s="8" t="s">
        <v>417</v>
      </c>
      <c r="D215" s="9">
        <v>26</v>
      </c>
      <c r="E215" s="3" t="s">
        <v>1080</v>
      </c>
      <c r="F215" s="22" t="s">
        <v>1090</v>
      </c>
    </row>
    <row r="216" spans="1:6">
      <c r="A216" s="21" t="s">
        <v>699</v>
      </c>
      <c r="B216" s="8" t="s">
        <v>213</v>
      </c>
      <c r="C216" s="8" t="s">
        <v>417</v>
      </c>
      <c r="D216" s="9">
        <v>27</v>
      </c>
      <c r="E216" s="3" t="s">
        <v>1074</v>
      </c>
      <c r="F216" s="22" t="s">
        <v>1091</v>
      </c>
    </row>
    <row r="217" spans="1:6">
      <c r="A217" s="21" t="s">
        <v>700</v>
      </c>
      <c r="B217" s="8" t="s">
        <v>81</v>
      </c>
      <c r="C217" s="8" t="s">
        <v>417</v>
      </c>
      <c r="D217" s="9">
        <v>28</v>
      </c>
      <c r="E217" s="3" t="s">
        <v>1078</v>
      </c>
      <c r="F217" s="22" t="s">
        <v>1094</v>
      </c>
    </row>
    <row r="218" spans="1:6">
      <c r="A218" s="21" t="s">
        <v>701</v>
      </c>
      <c r="B218" s="8" t="s">
        <v>214</v>
      </c>
      <c r="C218" s="8" t="s">
        <v>417</v>
      </c>
      <c r="D218" s="9">
        <v>29</v>
      </c>
      <c r="E218" s="3" t="s">
        <v>1083</v>
      </c>
      <c r="F218" s="22" t="s">
        <v>1098</v>
      </c>
    </row>
    <row r="219" spans="1:6">
      <c r="A219" s="21" t="s">
        <v>702</v>
      </c>
      <c r="B219" s="8" t="s">
        <v>215</v>
      </c>
      <c r="C219" s="8" t="s">
        <v>417</v>
      </c>
      <c r="D219" s="9">
        <v>30</v>
      </c>
      <c r="E219" s="3" t="s">
        <v>1077</v>
      </c>
      <c r="F219" s="22" t="s">
        <v>1093</v>
      </c>
    </row>
    <row r="220" spans="1:6">
      <c r="A220" s="21" t="s">
        <v>703</v>
      </c>
      <c r="B220" s="8" t="s">
        <v>216</v>
      </c>
      <c r="C220" s="8" t="s">
        <v>417</v>
      </c>
      <c r="D220" s="9">
        <v>31</v>
      </c>
      <c r="E220" s="3" t="s">
        <v>1077</v>
      </c>
      <c r="F220" s="22" t="s">
        <v>1093</v>
      </c>
    </row>
    <row r="221" spans="1:6">
      <c r="A221" s="21" t="s">
        <v>704</v>
      </c>
      <c r="B221" s="8" t="s">
        <v>217</v>
      </c>
      <c r="C221" s="8" t="s">
        <v>417</v>
      </c>
      <c r="D221" s="9">
        <v>32</v>
      </c>
      <c r="E221" s="3" t="s">
        <v>1083</v>
      </c>
      <c r="F221" s="22" t="s">
        <v>1090</v>
      </c>
    </row>
    <row r="222" spans="1:6">
      <c r="A222" s="21" t="s">
        <v>705</v>
      </c>
      <c r="B222" s="8" t="s">
        <v>218</v>
      </c>
      <c r="C222" s="8" t="s">
        <v>417</v>
      </c>
      <c r="D222" s="9">
        <v>33</v>
      </c>
      <c r="E222" s="3" t="s">
        <v>1081</v>
      </c>
      <c r="F222" s="22" t="s">
        <v>1096</v>
      </c>
    </row>
    <row r="223" spans="1:6">
      <c r="A223" s="21" t="s">
        <v>706</v>
      </c>
      <c r="B223" s="8" t="s">
        <v>219</v>
      </c>
      <c r="C223" s="8" t="s">
        <v>417</v>
      </c>
      <c r="D223" s="9">
        <v>34</v>
      </c>
      <c r="E223" s="3" t="s">
        <v>1085</v>
      </c>
      <c r="F223" s="22" t="s">
        <v>1090</v>
      </c>
    </row>
    <row r="224" spans="1:6">
      <c r="A224" s="21" t="s">
        <v>707</v>
      </c>
      <c r="B224" s="8" t="s">
        <v>55</v>
      </c>
      <c r="C224" s="8" t="s">
        <v>417</v>
      </c>
      <c r="D224" s="9">
        <v>35</v>
      </c>
      <c r="E224" s="3" t="s">
        <v>1078</v>
      </c>
      <c r="F224" s="22" t="s">
        <v>1095</v>
      </c>
    </row>
    <row r="225" spans="1:6">
      <c r="A225" s="21" t="s">
        <v>708</v>
      </c>
      <c r="B225" s="8" t="s">
        <v>220</v>
      </c>
      <c r="C225" s="8" t="s">
        <v>417</v>
      </c>
      <c r="D225" s="9">
        <v>36</v>
      </c>
      <c r="E225" s="3" t="s">
        <v>1078</v>
      </c>
      <c r="F225" s="22" t="s">
        <v>1091</v>
      </c>
    </row>
    <row r="226" spans="1:6">
      <c r="A226" s="21" t="s">
        <v>709</v>
      </c>
      <c r="B226" s="8" t="s">
        <v>221</v>
      </c>
      <c r="C226" s="8" t="s">
        <v>417</v>
      </c>
      <c r="D226" s="9">
        <v>37</v>
      </c>
      <c r="E226" s="3" t="s">
        <v>1075</v>
      </c>
      <c r="F226" s="22" t="s">
        <v>1090</v>
      </c>
    </row>
    <row r="227" spans="1:6">
      <c r="A227" s="21" t="s">
        <v>710</v>
      </c>
      <c r="B227" s="8" t="s">
        <v>222</v>
      </c>
      <c r="C227" s="8" t="s">
        <v>417</v>
      </c>
      <c r="D227" s="9">
        <v>38</v>
      </c>
      <c r="E227" s="3" t="s">
        <v>1083</v>
      </c>
      <c r="F227" s="22" t="s">
        <v>1099</v>
      </c>
    </row>
    <row r="228" spans="1:6">
      <c r="A228" s="21" t="s">
        <v>711</v>
      </c>
      <c r="B228" s="8" t="s">
        <v>223</v>
      </c>
      <c r="C228" s="8" t="s">
        <v>417</v>
      </c>
      <c r="D228" s="9">
        <v>39</v>
      </c>
      <c r="E228" s="3" t="s">
        <v>1079</v>
      </c>
      <c r="F228" s="22" t="s">
        <v>1091</v>
      </c>
    </row>
    <row r="229" spans="1:6">
      <c r="A229" s="21" t="s">
        <v>712</v>
      </c>
      <c r="B229" s="8" t="s">
        <v>224</v>
      </c>
      <c r="C229" s="8" t="s">
        <v>417</v>
      </c>
      <c r="D229" s="9">
        <v>40</v>
      </c>
      <c r="E229" s="3" t="s">
        <v>1086</v>
      </c>
      <c r="F229" s="22" t="s">
        <v>1102</v>
      </c>
    </row>
    <row r="230" spans="1:6">
      <c r="A230" s="21" t="s">
        <v>713</v>
      </c>
      <c r="B230" s="8" t="s">
        <v>225</v>
      </c>
      <c r="C230" s="8" t="s">
        <v>417</v>
      </c>
      <c r="D230" s="9">
        <v>41</v>
      </c>
      <c r="E230" s="3" t="s">
        <v>1076</v>
      </c>
      <c r="F230" s="22" t="s">
        <v>1092</v>
      </c>
    </row>
    <row r="231" spans="1:6">
      <c r="A231" s="21" t="s">
        <v>714</v>
      </c>
      <c r="B231" s="8" t="s">
        <v>68</v>
      </c>
      <c r="C231" s="8" t="s">
        <v>417</v>
      </c>
      <c r="D231" s="9">
        <v>42</v>
      </c>
      <c r="E231" s="3" t="s">
        <v>1087</v>
      </c>
      <c r="F231" s="22" t="s">
        <v>1103</v>
      </c>
    </row>
    <row r="232" spans="1:6">
      <c r="A232" s="21" t="s">
        <v>715</v>
      </c>
      <c r="B232" s="8" t="s">
        <v>226</v>
      </c>
      <c r="C232" s="8" t="s">
        <v>417</v>
      </c>
      <c r="D232" s="9">
        <v>43</v>
      </c>
      <c r="E232" s="3" t="s">
        <v>1087</v>
      </c>
      <c r="F232" s="22" t="s">
        <v>1104</v>
      </c>
    </row>
    <row r="233" spans="1:6">
      <c r="A233" s="21" t="s">
        <v>716</v>
      </c>
      <c r="B233" s="8" t="s">
        <v>72</v>
      </c>
      <c r="C233" s="8" t="s">
        <v>417</v>
      </c>
      <c r="D233" s="9">
        <v>20</v>
      </c>
      <c r="E233" s="3" t="s">
        <v>1074</v>
      </c>
      <c r="F233" s="22" t="s">
        <v>1090</v>
      </c>
    </row>
    <row r="234" spans="1:6">
      <c r="A234" s="21" t="s">
        <v>717</v>
      </c>
      <c r="B234" s="8" t="s">
        <v>227</v>
      </c>
      <c r="C234" s="8" t="s">
        <v>417</v>
      </c>
      <c r="D234" s="9">
        <v>21</v>
      </c>
      <c r="E234" s="3" t="s">
        <v>1083</v>
      </c>
      <c r="F234" s="22" t="s">
        <v>1091</v>
      </c>
    </row>
    <row r="235" spans="1:6">
      <c r="A235" s="21" t="s">
        <v>718</v>
      </c>
      <c r="B235" s="8" t="s">
        <v>228</v>
      </c>
      <c r="C235" s="8" t="s">
        <v>417</v>
      </c>
      <c r="D235" s="9">
        <v>22</v>
      </c>
      <c r="E235" s="3" t="s">
        <v>1075</v>
      </c>
      <c r="F235" s="22" t="s">
        <v>1090</v>
      </c>
    </row>
    <row r="236" spans="1:6">
      <c r="A236" s="21" t="s">
        <v>719</v>
      </c>
      <c r="B236" s="8" t="s">
        <v>229</v>
      </c>
      <c r="C236" s="8" t="s">
        <v>417</v>
      </c>
      <c r="D236" s="9">
        <v>23</v>
      </c>
      <c r="E236" s="3" t="s">
        <v>1081</v>
      </c>
      <c r="F236" s="22" t="s">
        <v>1097</v>
      </c>
    </row>
    <row r="237" spans="1:6">
      <c r="A237" s="21" t="s">
        <v>720</v>
      </c>
      <c r="B237" s="8" t="s">
        <v>230</v>
      </c>
      <c r="C237" s="8" t="s">
        <v>417</v>
      </c>
      <c r="D237" s="9">
        <v>24</v>
      </c>
      <c r="E237" s="3" t="s">
        <v>1085</v>
      </c>
      <c r="F237" s="22" t="s">
        <v>1101</v>
      </c>
    </row>
    <row r="238" spans="1:6">
      <c r="A238" s="21" t="s">
        <v>721</v>
      </c>
      <c r="B238" s="8" t="s">
        <v>231</v>
      </c>
      <c r="C238" s="8" t="s">
        <v>417</v>
      </c>
      <c r="D238" s="9">
        <v>25</v>
      </c>
      <c r="E238" s="3" t="s">
        <v>1084</v>
      </c>
      <c r="F238" s="22" t="s">
        <v>1090</v>
      </c>
    </row>
    <row r="239" spans="1:6">
      <c r="A239" s="21" t="s">
        <v>722</v>
      </c>
      <c r="B239" s="8" t="s">
        <v>232</v>
      </c>
      <c r="C239" s="8" t="s">
        <v>417</v>
      </c>
      <c r="D239" s="9">
        <v>26</v>
      </c>
      <c r="E239" s="3" t="s">
        <v>1080</v>
      </c>
      <c r="F239" s="22" t="s">
        <v>1090</v>
      </c>
    </row>
    <row r="240" spans="1:6">
      <c r="A240" s="21" t="s">
        <v>723</v>
      </c>
      <c r="B240" s="8" t="s">
        <v>233</v>
      </c>
      <c r="C240" s="8" t="s">
        <v>417</v>
      </c>
      <c r="D240" s="9">
        <v>27</v>
      </c>
      <c r="E240" s="3" t="s">
        <v>1074</v>
      </c>
      <c r="F240" s="22" t="s">
        <v>1091</v>
      </c>
    </row>
    <row r="241" spans="1:6">
      <c r="A241" s="21" t="s">
        <v>724</v>
      </c>
      <c r="B241" s="8" t="s">
        <v>234</v>
      </c>
      <c r="C241" s="8" t="s">
        <v>417</v>
      </c>
      <c r="D241" s="9">
        <v>28</v>
      </c>
      <c r="E241" s="3" t="s">
        <v>1078</v>
      </c>
      <c r="F241" s="22" t="s">
        <v>1094</v>
      </c>
    </row>
    <row r="242" spans="1:6">
      <c r="A242" s="21" t="s">
        <v>725</v>
      </c>
      <c r="B242" s="8" t="s">
        <v>235</v>
      </c>
      <c r="C242" s="8" t="s">
        <v>417</v>
      </c>
      <c r="D242" s="9">
        <v>29</v>
      </c>
      <c r="E242" s="3" t="s">
        <v>1083</v>
      </c>
      <c r="F242" s="22" t="s">
        <v>1098</v>
      </c>
    </row>
    <row r="243" spans="1:6">
      <c r="A243" s="21" t="s">
        <v>726</v>
      </c>
      <c r="B243" s="8" t="s">
        <v>236</v>
      </c>
      <c r="C243" s="8" t="s">
        <v>417</v>
      </c>
      <c r="D243" s="9">
        <v>30</v>
      </c>
      <c r="E243" s="3" t="s">
        <v>1077</v>
      </c>
      <c r="F243" s="22" t="s">
        <v>1093</v>
      </c>
    </row>
    <row r="244" spans="1:6">
      <c r="A244" s="21" t="s">
        <v>727</v>
      </c>
      <c r="B244" s="8" t="s">
        <v>237</v>
      </c>
      <c r="C244" s="8" t="s">
        <v>417</v>
      </c>
      <c r="D244" s="9">
        <v>31</v>
      </c>
      <c r="E244" s="3" t="s">
        <v>1077</v>
      </c>
      <c r="F244" s="22" t="s">
        <v>1093</v>
      </c>
    </row>
    <row r="245" spans="1:6">
      <c r="A245" s="21" t="s">
        <v>728</v>
      </c>
      <c r="B245" s="8" t="s">
        <v>238</v>
      </c>
      <c r="C245" s="8" t="s">
        <v>417</v>
      </c>
      <c r="D245" s="9">
        <v>32</v>
      </c>
      <c r="E245" s="3" t="s">
        <v>1083</v>
      </c>
      <c r="F245" s="22" t="s">
        <v>1090</v>
      </c>
    </row>
    <row r="246" spans="1:6">
      <c r="A246" s="21" t="s">
        <v>729</v>
      </c>
      <c r="B246" s="8" t="s">
        <v>239</v>
      </c>
      <c r="C246" s="8" t="s">
        <v>417</v>
      </c>
      <c r="D246" s="9">
        <v>33</v>
      </c>
      <c r="E246" s="3" t="s">
        <v>1081</v>
      </c>
      <c r="F246" s="22" t="s">
        <v>1096</v>
      </c>
    </row>
    <row r="247" spans="1:6">
      <c r="A247" s="21" t="s">
        <v>730</v>
      </c>
      <c r="B247" s="8" t="s">
        <v>240</v>
      </c>
      <c r="C247" s="8" t="s">
        <v>417</v>
      </c>
      <c r="D247" s="9">
        <v>34</v>
      </c>
      <c r="E247" s="3" t="s">
        <v>1085</v>
      </c>
      <c r="F247" s="22" t="s">
        <v>1090</v>
      </c>
    </row>
    <row r="248" spans="1:6">
      <c r="A248" s="21" t="s">
        <v>731</v>
      </c>
      <c r="B248" s="8" t="s">
        <v>241</v>
      </c>
      <c r="C248" s="8" t="s">
        <v>417</v>
      </c>
      <c r="D248" s="9">
        <v>35</v>
      </c>
      <c r="E248" s="3" t="s">
        <v>1078</v>
      </c>
      <c r="F248" s="22" t="s">
        <v>1095</v>
      </c>
    </row>
    <row r="249" spans="1:6">
      <c r="A249" s="21" t="s">
        <v>732</v>
      </c>
      <c r="B249" s="8" t="s">
        <v>242</v>
      </c>
      <c r="C249" s="8" t="s">
        <v>417</v>
      </c>
      <c r="D249" s="9">
        <v>36</v>
      </c>
      <c r="E249" s="3" t="s">
        <v>1078</v>
      </c>
      <c r="F249" s="22" t="s">
        <v>1091</v>
      </c>
    </row>
    <row r="250" spans="1:6">
      <c r="A250" s="21" t="s">
        <v>733</v>
      </c>
      <c r="B250" s="8" t="s">
        <v>59</v>
      </c>
      <c r="C250" s="8" t="s">
        <v>417</v>
      </c>
      <c r="D250" s="9">
        <v>37</v>
      </c>
      <c r="E250" s="3" t="s">
        <v>1075</v>
      </c>
      <c r="F250" s="22" t="s">
        <v>1090</v>
      </c>
    </row>
    <row r="251" spans="1:6">
      <c r="A251" s="21" t="s">
        <v>734</v>
      </c>
      <c r="B251" s="8" t="s">
        <v>243</v>
      </c>
      <c r="C251" s="8" t="s">
        <v>417</v>
      </c>
      <c r="D251" s="9">
        <v>38</v>
      </c>
      <c r="E251" s="3" t="s">
        <v>1083</v>
      </c>
      <c r="F251" s="22" t="s">
        <v>1099</v>
      </c>
    </row>
    <row r="252" spans="1:6">
      <c r="A252" s="21" t="s">
        <v>735</v>
      </c>
      <c r="B252" s="8" t="s">
        <v>38</v>
      </c>
      <c r="C252" s="8" t="s">
        <v>417</v>
      </c>
      <c r="D252" s="9">
        <v>39</v>
      </c>
      <c r="E252" s="3" t="s">
        <v>1079</v>
      </c>
      <c r="F252" s="22" t="s">
        <v>1091</v>
      </c>
    </row>
    <row r="253" spans="1:6">
      <c r="A253" s="21" t="s">
        <v>736</v>
      </c>
      <c r="B253" s="8" t="s">
        <v>47</v>
      </c>
      <c r="C253" s="8" t="s">
        <v>417</v>
      </c>
      <c r="D253" s="9">
        <v>40</v>
      </c>
      <c r="E253" s="3" t="s">
        <v>1086</v>
      </c>
      <c r="F253" s="22" t="s">
        <v>1102</v>
      </c>
    </row>
    <row r="254" spans="1:6">
      <c r="A254" s="21" t="s">
        <v>737</v>
      </c>
      <c r="B254" s="8" t="s">
        <v>244</v>
      </c>
      <c r="C254" s="8" t="s">
        <v>417</v>
      </c>
      <c r="D254" s="9">
        <v>41</v>
      </c>
      <c r="E254" s="3" t="s">
        <v>1076</v>
      </c>
      <c r="F254" s="22" t="s">
        <v>1092</v>
      </c>
    </row>
    <row r="255" spans="1:6">
      <c r="A255" s="21" t="s">
        <v>738</v>
      </c>
      <c r="B255" s="8" t="s">
        <v>245</v>
      </c>
      <c r="C255" s="8" t="s">
        <v>417</v>
      </c>
      <c r="D255" s="9">
        <v>42</v>
      </c>
      <c r="E255" s="3" t="s">
        <v>1087</v>
      </c>
      <c r="F255" s="22" t="s">
        <v>1103</v>
      </c>
    </row>
    <row r="256" spans="1:6">
      <c r="A256" s="21" t="s">
        <v>739</v>
      </c>
      <c r="B256" s="8" t="s">
        <v>29</v>
      </c>
      <c r="C256" s="8" t="s">
        <v>417</v>
      </c>
      <c r="D256" s="9">
        <v>43</v>
      </c>
      <c r="E256" s="3" t="s">
        <v>1087</v>
      </c>
      <c r="F256" s="22" t="s">
        <v>1104</v>
      </c>
    </row>
    <row r="257" spans="1:6">
      <c r="A257" s="21" t="s">
        <v>740</v>
      </c>
      <c r="B257" s="8" t="s">
        <v>246</v>
      </c>
      <c r="C257" s="8" t="s">
        <v>417</v>
      </c>
      <c r="D257" s="9">
        <v>20</v>
      </c>
      <c r="E257" s="3" t="s">
        <v>1074</v>
      </c>
      <c r="F257" s="22" t="s">
        <v>1090</v>
      </c>
    </row>
    <row r="258" spans="1:6">
      <c r="A258" s="21" t="s">
        <v>741</v>
      </c>
      <c r="B258" s="8" t="s">
        <v>247</v>
      </c>
      <c r="C258" s="8" t="s">
        <v>417</v>
      </c>
      <c r="D258" s="9">
        <v>21</v>
      </c>
      <c r="E258" s="3" t="s">
        <v>1083</v>
      </c>
      <c r="F258" s="22" t="s">
        <v>1091</v>
      </c>
    </row>
    <row r="259" spans="1:6">
      <c r="A259" s="21" t="s">
        <v>742</v>
      </c>
      <c r="B259" s="8" t="s">
        <v>248</v>
      </c>
      <c r="C259" s="8" t="s">
        <v>417</v>
      </c>
      <c r="D259" s="9">
        <v>22</v>
      </c>
      <c r="E259" s="3" t="s">
        <v>1075</v>
      </c>
      <c r="F259" s="22" t="s">
        <v>1090</v>
      </c>
    </row>
    <row r="260" spans="1:6">
      <c r="A260" s="21" t="s">
        <v>743</v>
      </c>
      <c r="B260" s="8" t="s">
        <v>249</v>
      </c>
      <c r="C260" s="8" t="s">
        <v>417</v>
      </c>
      <c r="D260" s="9">
        <v>23</v>
      </c>
      <c r="E260" s="3" t="s">
        <v>1081</v>
      </c>
      <c r="F260" s="22" t="s">
        <v>1097</v>
      </c>
    </row>
    <row r="261" spans="1:6">
      <c r="A261" s="21" t="s">
        <v>744</v>
      </c>
      <c r="B261" s="8" t="s">
        <v>250</v>
      </c>
      <c r="C261" s="8" t="s">
        <v>417</v>
      </c>
      <c r="D261" s="9">
        <v>24</v>
      </c>
      <c r="E261" s="3" t="s">
        <v>1085</v>
      </c>
      <c r="F261" s="22" t="s">
        <v>1101</v>
      </c>
    </row>
    <row r="262" spans="1:6">
      <c r="A262" s="21" t="s">
        <v>745</v>
      </c>
      <c r="B262" s="8" t="s">
        <v>251</v>
      </c>
      <c r="C262" s="8" t="s">
        <v>417</v>
      </c>
      <c r="D262" s="9">
        <v>25</v>
      </c>
      <c r="E262" s="3" t="s">
        <v>1084</v>
      </c>
      <c r="F262" s="22" t="s">
        <v>1090</v>
      </c>
    </row>
    <row r="263" spans="1:6">
      <c r="A263" s="21" t="s">
        <v>746</v>
      </c>
      <c r="B263" s="8" t="s">
        <v>252</v>
      </c>
      <c r="C263" s="8" t="s">
        <v>417</v>
      </c>
      <c r="D263" s="9">
        <v>26</v>
      </c>
      <c r="E263" s="3" t="s">
        <v>1080</v>
      </c>
      <c r="F263" s="22" t="s">
        <v>1090</v>
      </c>
    </row>
    <row r="264" spans="1:6">
      <c r="A264" s="21" t="s">
        <v>747</v>
      </c>
      <c r="B264" s="8" t="s">
        <v>253</v>
      </c>
      <c r="C264" s="8" t="s">
        <v>417</v>
      </c>
      <c r="D264" s="9">
        <v>27</v>
      </c>
      <c r="E264" s="3" t="s">
        <v>1074</v>
      </c>
      <c r="F264" s="22" t="s">
        <v>1091</v>
      </c>
    </row>
    <row r="265" spans="1:6">
      <c r="A265" s="21" t="s">
        <v>748</v>
      </c>
      <c r="B265" s="8" t="s">
        <v>41</v>
      </c>
      <c r="C265" s="8" t="s">
        <v>417</v>
      </c>
      <c r="D265" s="9">
        <v>28</v>
      </c>
      <c r="E265" s="3" t="s">
        <v>1078</v>
      </c>
      <c r="F265" s="22" t="s">
        <v>1094</v>
      </c>
    </row>
    <row r="266" spans="1:6">
      <c r="A266" s="21" t="s">
        <v>749</v>
      </c>
      <c r="B266" s="8" t="s">
        <v>254</v>
      </c>
      <c r="C266" s="8" t="s">
        <v>417</v>
      </c>
      <c r="D266" s="9">
        <v>29</v>
      </c>
      <c r="E266" s="3" t="s">
        <v>1083</v>
      </c>
      <c r="F266" s="22" t="s">
        <v>1098</v>
      </c>
    </row>
    <row r="267" spans="1:6">
      <c r="A267" s="21" t="s">
        <v>750</v>
      </c>
      <c r="B267" s="8" t="s">
        <v>255</v>
      </c>
      <c r="C267" s="8" t="s">
        <v>417</v>
      </c>
      <c r="D267" s="9">
        <v>30</v>
      </c>
      <c r="E267" s="3" t="s">
        <v>1077</v>
      </c>
      <c r="F267" s="22" t="s">
        <v>1093</v>
      </c>
    </row>
    <row r="268" spans="1:6">
      <c r="A268" s="21" t="s">
        <v>751</v>
      </c>
      <c r="B268" s="8" t="s">
        <v>256</v>
      </c>
      <c r="C268" s="8" t="s">
        <v>417</v>
      </c>
      <c r="D268" s="9">
        <v>31</v>
      </c>
      <c r="E268" s="3" t="s">
        <v>1077</v>
      </c>
      <c r="F268" s="22" t="s">
        <v>1093</v>
      </c>
    </row>
    <row r="269" spans="1:6">
      <c r="A269" s="21" t="s">
        <v>752</v>
      </c>
      <c r="B269" s="8" t="s">
        <v>53</v>
      </c>
      <c r="C269" s="8" t="s">
        <v>417</v>
      </c>
      <c r="D269" s="9">
        <v>32</v>
      </c>
      <c r="E269" s="3" t="s">
        <v>1083</v>
      </c>
      <c r="F269" s="22" t="s">
        <v>1090</v>
      </c>
    </row>
    <row r="270" spans="1:6">
      <c r="A270" s="21" t="s">
        <v>753</v>
      </c>
      <c r="B270" s="8" t="s">
        <v>257</v>
      </c>
      <c r="C270" s="8" t="s">
        <v>417</v>
      </c>
      <c r="D270" s="9">
        <v>33</v>
      </c>
      <c r="E270" s="3" t="s">
        <v>1081</v>
      </c>
      <c r="F270" s="22" t="s">
        <v>1096</v>
      </c>
    </row>
    <row r="271" spans="1:6">
      <c r="A271" s="21" t="s">
        <v>754</v>
      </c>
      <c r="B271" s="8" t="s">
        <v>258</v>
      </c>
      <c r="C271" s="8" t="s">
        <v>417</v>
      </c>
      <c r="D271" s="9">
        <v>34</v>
      </c>
      <c r="E271" s="3" t="s">
        <v>1085</v>
      </c>
      <c r="F271" s="22" t="s">
        <v>1090</v>
      </c>
    </row>
    <row r="272" spans="1:6">
      <c r="A272" s="21" t="s">
        <v>755</v>
      </c>
      <c r="B272" s="8" t="s">
        <v>259</v>
      </c>
      <c r="C272" s="8" t="s">
        <v>417</v>
      </c>
      <c r="D272" s="9">
        <v>35</v>
      </c>
      <c r="E272" s="3" t="s">
        <v>1078</v>
      </c>
      <c r="F272" s="22" t="s">
        <v>1095</v>
      </c>
    </row>
    <row r="273" spans="1:6">
      <c r="A273" s="21" t="s">
        <v>756</v>
      </c>
      <c r="B273" s="8" t="s">
        <v>260</v>
      </c>
      <c r="C273" s="8" t="s">
        <v>417</v>
      </c>
      <c r="D273" s="9">
        <v>36</v>
      </c>
      <c r="E273" s="3" t="s">
        <v>1078</v>
      </c>
      <c r="F273" s="22" t="s">
        <v>1091</v>
      </c>
    </row>
    <row r="274" spans="1:6">
      <c r="A274" s="21" t="s">
        <v>757</v>
      </c>
      <c r="B274" s="8" t="s">
        <v>261</v>
      </c>
      <c r="C274" s="8" t="s">
        <v>417</v>
      </c>
      <c r="D274" s="9">
        <v>37</v>
      </c>
      <c r="E274" s="3" t="s">
        <v>1075</v>
      </c>
      <c r="F274" s="22" t="s">
        <v>1090</v>
      </c>
    </row>
    <row r="275" spans="1:6">
      <c r="A275" s="21" t="s">
        <v>758</v>
      </c>
      <c r="B275" s="8" t="s">
        <v>262</v>
      </c>
      <c r="C275" s="8" t="s">
        <v>417</v>
      </c>
      <c r="D275" s="9">
        <v>38</v>
      </c>
      <c r="E275" s="3" t="s">
        <v>1083</v>
      </c>
      <c r="F275" s="22" t="s">
        <v>1099</v>
      </c>
    </row>
    <row r="276" spans="1:6">
      <c r="A276" s="21" t="s">
        <v>759</v>
      </c>
      <c r="B276" s="8" t="s">
        <v>263</v>
      </c>
      <c r="C276" s="8" t="s">
        <v>417</v>
      </c>
      <c r="D276" s="9">
        <v>39</v>
      </c>
      <c r="E276" s="3" t="s">
        <v>1079</v>
      </c>
      <c r="F276" s="22" t="s">
        <v>1091</v>
      </c>
    </row>
    <row r="277" spans="1:6">
      <c r="A277" s="21" t="s">
        <v>760</v>
      </c>
      <c r="B277" s="8" t="s">
        <v>264</v>
      </c>
      <c r="C277" s="8" t="s">
        <v>417</v>
      </c>
      <c r="D277" s="9">
        <v>40</v>
      </c>
      <c r="E277" s="3" t="s">
        <v>1086</v>
      </c>
      <c r="F277" s="22" t="s">
        <v>1102</v>
      </c>
    </row>
    <row r="278" spans="1:6">
      <c r="A278" s="21" t="s">
        <v>761</v>
      </c>
      <c r="B278" s="8" t="s">
        <v>265</v>
      </c>
      <c r="C278" s="8" t="s">
        <v>417</v>
      </c>
      <c r="D278" s="9">
        <v>41</v>
      </c>
      <c r="E278" s="3" t="s">
        <v>1076</v>
      </c>
      <c r="F278" s="22" t="s">
        <v>1092</v>
      </c>
    </row>
    <row r="279" spans="1:6">
      <c r="A279" s="21" t="s">
        <v>762</v>
      </c>
      <c r="B279" s="8" t="s">
        <v>35</v>
      </c>
      <c r="C279" s="8" t="s">
        <v>417</v>
      </c>
      <c r="D279" s="9">
        <v>42</v>
      </c>
      <c r="E279" s="3" t="s">
        <v>1087</v>
      </c>
      <c r="F279" s="22" t="s">
        <v>1103</v>
      </c>
    </row>
    <row r="280" spans="1:6">
      <c r="A280" s="21" t="s">
        <v>763</v>
      </c>
      <c r="B280" s="8" t="s">
        <v>266</v>
      </c>
      <c r="C280" s="8" t="s">
        <v>417</v>
      </c>
      <c r="D280" s="9">
        <v>43</v>
      </c>
      <c r="E280" s="3" t="s">
        <v>1087</v>
      </c>
      <c r="F280" s="22" t="s">
        <v>1104</v>
      </c>
    </row>
    <row r="281" spans="1:6">
      <c r="A281" s="21" t="s">
        <v>764</v>
      </c>
      <c r="B281" s="8" t="s">
        <v>267</v>
      </c>
      <c r="C281" s="8" t="s">
        <v>417</v>
      </c>
      <c r="D281" s="9">
        <v>20</v>
      </c>
      <c r="E281" s="3" t="s">
        <v>1074</v>
      </c>
      <c r="F281" s="22" t="s">
        <v>1090</v>
      </c>
    </row>
    <row r="282" spans="1:6">
      <c r="A282" s="21" t="s">
        <v>765</v>
      </c>
      <c r="B282" s="8" t="s">
        <v>268</v>
      </c>
      <c r="C282" s="8" t="s">
        <v>417</v>
      </c>
      <c r="D282" s="9">
        <v>21</v>
      </c>
      <c r="E282" s="3" t="s">
        <v>1083</v>
      </c>
      <c r="F282" s="22" t="s">
        <v>1091</v>
      </c>
    </row>
    <row r="283" spans="1:6">
      <c r="A283" s="21" t="s">
        <v>766</v>
      </c>
      <c r="B283" s="8" t="s">
        <v>269</v>
      </c>
      <c r="C283" s="8" t="s">
        <v>417</v>
      </c>
      <c r="D283" s="9">
        <v>22</v>
      </c>
      <c r="E283" s="3" t="s">
        <v>1075</v>
      </c>
      <c r="F283" s="22" t="s">
        <v>1090</v>
      </c>
    </row>
    <row r="284" spans="1:6">
      <c r="A284" s="21" t="s">
        <v>767</v>
      </c>
      <c r="B284" s="8" t="s">
        <v>71</v>
      </c>
      <c r="C284" s="8" t="s">
        <v>417</v>
      </c>
      <c r="D284" s="9">
        <v>23</v>
      </c>
      <c r="E284" s="3" t="s">
        <v>1081</v>
      </c>
      <c r="F284" s="22" t="s">
        <v>1097</v>
      </c>
    </row>
    <row r="285" spans="1:6">
      <c r="A285" s="21" t="s">
        <v>768</v>
      </c>
      <c r="B285" s="8" t="s">
        <v>270</v>
      </c>
      <c r="C285" s="8" t="s">
        <v>417</v>
      </c>
      <c r="D285" s="9">
        <v>24</v>
      </c>
      <c r="E285" s="3" t="s">
        <v>1085</v>
      </c>
      <c r="F285" s="22" t="s">
        <v>1101</v>
      </c>
    </row>
    <row r="286" spans="1:6">
      <c r="A286" s="21" t="s">
        <v>769</v>
      </c>
      <c r="B286" s="8" t="s">
        <v>271</v>
      </c>
      <c r="C286" s="8" t="s">
        <v>417</v>
      </c>
      <c r="D286" s="9">
        <v>25</v>
      </c>
      <c r="E286" s="3" t="s">
        <v>1084</v>
      </c>
      <c r="F286" s="22" t="s">
        <v>1090</v>
      </c>
    </row>
    <row r="287" spans="1:6">
      <c r="A287" s="21" t="s">
        <v>770</v>
      </c>
      <c r="B287" s="8" t="s">
        <v>272</v>
      </c>
      <c r="C287" s="8" t="s">
        <v>417</v>
      </c>
      <c r="D287" s="9">
        <v>26</v>
      </c>
      <c r="E287" s="3" t="s">
        <v>1080</v>
      </c>
      <c r="F287" s="22" t="s">
        <v>1090</v>
      </c>
    </row>
    <row r="288" spans="1:6">
      <c r="A288" s="21" t="s">
        <v>771</v>
      </c>
      <c r="B288" s="8" t="s">
        <v>273</v>
      </c>
      <c r="C288" s="8" t="s">
        <v>417</v>
      </c>
      <c r="D288" s="9">
        <v>27</v>
      </c>
      <c r="E288" s="3" t="s">
        <v>1074</v>
      </c>
      <c r="F288" s="22" t="s">
        <v>1091</v>
      </c>
    </row>
    <row r="289" spans="1:6">
      <c r="A289" s="21" t="s">
        <v>772</v>
      </c>
      <c r="B289" s="8" t="s">
        <v>274</v>
      </c>
      <c r="C289" s="8" t="s">
        <v>417</v>
      </c>
      <c r="D289" s="9">
        <v>28</v>
      </c>
      <c r="E289" s="3" t="s">
        <v>1078</v>
      </c>
      <c r="F289" s="22" t="s">
        <v>1094</v>
      </c>
    </row>
    <row r="290" spans="1:6">
      <c r="A290" s="21" t="s">
        <v>773</v>
      </c>
      <c r="B290" s="8" t="s">
        <v>275</v>
      </c>
      <c r="C290" s="8" t="s">
        <v>417</v>
      </c>
      <c r="D290" s="9">
        <v>29</v>
      </c>
      <c r="E290" s="3" t="s">
        <v>1083</v>
      </c>
      <c r="F290" s="22" t="s">
        <v>1098</v>
      </c>
    </row>
    <row r="291" spans="1:6">
      <c r="A291" s="21" t="s">
        <v>774</v>
      </c>
      <c r="B291" s="8" t="s">
        <v>276</v>
      </c>
      <c r="C291" s="8" t="s">
        <v>417</v>
      </c>
      <c r="D291" s="9">
        <v>30</v>
      </c>
      <c r="E291" s="3" t="s">
        <v>1077</v>
      </c>
      <c r="F291" s="22" t="s">
        <v>1093</v>
      </c>
    </row>
    <row r="292" spans="1:6">
      <c r="A292" s="21" t="s">
        <v>775</v>
      </c>
      <c r="B292" s="8" t="s">
        <v>277</v>
      </c>
      <c r="C292" s="8" t="s">
        <v>417</v>
      </c>
      <c r="D292" s="9">
        <v>31</v>
      </c>
      <c r="E292" s="3" t="s">
        <v>1077</v>
      </c>
      <c r="F292" s="22" t="s">
        <v>1093</v>
      </c>
    </row>
    <row r="293" spans="1:6">
      <c r="A293" s="21" t="s">
        <v>776</v>
      </c>
      <c r="B293" s="8" t="s">
        <v>278</v>
      </c>
      <c r="C293" s="8" t="s">
        <v>417</v>
      </c>
      <c r="D293" s="9">
        <v>32</v>
      </c>
      <c r="E293" s="3" t="s">
        <v>1083</v>
      </c>
      <c r="F293" s="22" t="s">
        <v>1090</v>
      </c>
    </row>
    <row r="294" spans="1:6">
      <c r="A294" s="21" t="s">
        <v>777</v>
      </c>
      <c r="B294" s="8" t="s">
        <v>279</v>
      </c>
      <c r="C294" s="8" t="s">
        <v>417</v>
      </c>
      <c r="D294" s="9">
        <v>33</v>
      </c>
      <c r="E294" s="3" t="s">
        <v>1081</v>
      </c>
      <c r="F294" s="22" t="s">
        <v>1096</v>
      </c>
    </row>
    <row r="295" spans="1:6">
      <c r="A295" s="21" t="s">
        <v>778</v>
      </c>
      <c r="B295" s="8" t="s">
        <v>280</v>
      </c>
      <c r="C295" s="8" t="s">
        <v>417</v>
      </c>
      <c r="D295" s="9">
        <v>34</v>
      </c>
      <c r="E295" s="3" t="s">
        <v>1085</v>
      </c>
      <c r="F295" s="22" t="s">
        <v>1090</v>
      </c>
    </row>
    <row r="296" spans="1:6">
      <c r="A296" s="21" t="s">
        <v>779</v>
      </c>
      <c r="B296" s="8" t="s">
        <v>281</v>
      </c>
      <c r="C296" s="8" t="s">
        <v>417</v>
      </c>
      <c r="D296" s="9">
        <v>35</v>
      </c>
      <c r="E296" s="3" t="s">
        <v>1078</v>
      </c>
      <c r="F296" s="22" t="s">
        <v>1095</v>
      </c>
    </row>
    <row r="297" spans="1:6">
      <c r="A297" s="21" t="s">
        <v>780</v>
      </c>
      <c r="B297" s="8" t="s">
        <v>282</v>
      </c>
      <c r="C297" s="8" t="s">
        <v>417</v>
      </c>
      <c r="D297" s="9">
        <v>36</v>
      </c>
      <c r="E297" s="3" t="s">
        <v>1078</v>
      </c>
      <c r="F297" s="22" t="s">
        <v>1091</v>
      </c>
    </row>
    <row r="298" spans="1:6">
      <c r="A298" s="21" t="s">
        <v>781</v>
      </c>
      <c r="B298" s="8" t="s">
        <v>283</v>
      </c>
      <c r="C298" s="8" t="s">
        <v>437</v>
      </c>
      <c r="D298" s="9">
        <v>37</v>
      </c>
      <c r="E298" s="3" t="s">
        <v>1075</v>
      </c>
      <c r="F298" s="22" t="s">
        <v>1090</v>
      </c>
    </row>
    <row r="299" spans="1:6">
      <c r="A299" s="21" t="s">
        <v>782</v>
      </c>
      <c r="B299" s="8" t="s">
        <v>139</v>
      </c>
      <c r="C299" s="8" t="s">
        <v>437</v>
      </c>
      <c r="D299" s="9">
        <v>38</v>
      </c>
      <c r="E299" s="3" t="s">
        <v>1083</v>
      </c>
      <c r="F299" s="22" t="s">
        <v>1099</v>
      </c>
    </row>
    <row r="300" spans="1:6">
      <c r="A300" s="21" t="s">
        <v>783</v>
      </c>
      <c r="B300" s="8" t="s">
        <v>284</v>
      </c>
      <c r="C300" s="8" t="s">
        <v>437</v>
      </c>
      <c r="D300" s="9">
        <v>39</v>
      </c>
      <c r="E300" s="3" t="s">
        <v>1079</v>
      </c>
      <c r="F300" s="22" t="s">
        <v>1091</v>
      </c>
    </row>
    <row r="301" spans="1:6">
      <c r="A301" s="21" t="s">
        <v>784</v>
      </c>
      <c r="B301" s="8" t="s">
        <v>118</v>
      </c>
      <c r="C301" s="8" t="s">
        <v>437</v>
      </c>
      <c r="D301" s="9">
        <v>40</v>
      </c>
      <c r="E301" s="3" t="s">
        <v>1086</v>
      </c>
      <c r="F301" s="22" t="s">
        <v>1102</v>
      </c>
    </row>
    <row r="302" spans="1:6">
      <c r="A302" s="21" t="s">
        <v>785</v>
      </c>
      <c r="B302" s="8" t="s">
        <v>285</v>
      </c>
      <c r="C302" s="8" t="s">
        <v>437</v>
      </c>
      <c r="D302" s="9">
        <v>41</v>
      </c>
      <c r="E302" s="3" t="s">
        <v>1076</v>
      </c>
      <c r="F302" s="22" t="s">
        <v>1092</v>
      </c>
    </row>
    <row r="303" spans="1:6">
      <c r="A303" s="21" t="s">
        <v>786</v>
      </c>
      <c r="B303" s="8" t="s">
        <v>286</v>
      </c>
      <c r="C303" s="8" t="s">
        <v>437</v>
      </c>
      <c r="D303" s="9">
        <v>42</v>
      </c>
      <c r="E303" s="3" t="s">
        <v>1087</v>
      </c>
      <c r="F303" s="22" t="s">
        <v>1103</v>
      </c>
    </row>
    <row r="304" spans="1:6">
      <c r="A304" s="21" t="s">
        <v>787</v>
      </c>
      <c r="B304" s="8" t="s">
        <v>287</v>
      </c>
      <c r="C304" s="8" t="s">
        <v>437</v>
      </c>
      <c r="D304" s="9">
        <v>43</v>
      </c>
      <c r="E304" s="3" t="s">
        <v>1087</v>
      </c>
      <c r="F304" s="22" t="s">
        <v>1104</v>
      </c>
    </row>
    <row r="305" spans="1:6">
      <c r="A305" s="21" t="s">
        <v>788</v>
      </c>
      <c r="B305" s="8" t="s">
        <v>288</v>
      </c>
      <c r="C305" s="8" t="s">
        <v>437</v>
      </c>
      <c r="D305" s="9">
        <v>20</v>
      </c>
      <c r="E305" s="3" t="s">
        <v>1074</v>
      </c>
      <c r="F305" s="22" t="s">
        <v>1090</v>
      </c>
    </row>
    <row r="306" spans="1:6">
      <c r="A306" s="21" t="s">
        <v>789</v>
      </c>
      <c r="B306" s="8" t="s">
        <v>289</v>
      </c>
      <c r="C306" s="8" t="s">
        <v>437</v>
      </c>
      <c r="D306" s="9">
        <v>21</v>
      </c>
      <c r="E306" s="3" t="s">
        <v>1083</v>
      </c>
      <c r="F306" s="22" t="s">
        <v>1091</v>
      </c>
    </row>
    <row r="307" spans="1:6">
      <c r="A307" s="21" t="s">
        <v>790</v>
      </c>
      <c r="B307" s="8" t="s">
        <v>290</v>
      </c>
      <c r="C307" s="8" t="s">
        <v>437</v>
      </c>
      <c r="D307" s="9">
        <v>22</v>
      </c>
      <c r="E307" s="3" t="s">
        <v>1075</v>
      </c>
      <c r="F307" s="22" t="s">
        <v>1090</v>
      </c>
    </row>
    <row r="308" spans="1:6">
      <c r="A308" s="21" t="s">
        <v>791</v>
      </c>
      <c r="B308" s="8" t="s">
        <v>291</v>
      </c>
      <c r="C308" s="8" t="s">
        <v>437</v>
      </c>
      <c r="D308" s="9">
        <v>23</v>
      </c>
      <c r="E308" s="3" t="s">
        <v>1081</v>
      </c>
      <c r="F308" s="22" t="s">
        <v>1097</v>
      </c>
    </row>
    <row r="309" spans="1:6">
      <c r="A309" s="21" t="s">
        <v>792</v>
      </c>
      <c r="B309" s="8" t="s">
        <v>113</v>
      </c>
      <c r="C309" s="8" t="s">
        <v>437</v>
      </c>
      <c r="D309" s="9">
        <v>24</v>
      </c>
      <c r="E309" s="3" t="s">
        <v>1085</v>
      </c>
      <c r="F309" s="22" t="s">
        <v>1101</v>
      </c>
    </row>
    <row r="310" spans="1:6">
      <c r="A310" s="21" t="s">
        <v>793</v>
      </c>
      <c r="B310" s="8" t="s">
        <v>292</v>
      </c>
      <c r="C310" s="8" t="s">
        <v>437</v>
      </c>
      <c r="D310" s="9">
        <v>25</v>
      </c>
      <c r="E310" s="3" t="s">
        <v>1084</v>
      </c>
      <c r="F310" s="22" t="s">
        <v>1090</v>
      </c>
    </row>
    <row r="311" spans="1:6">
      <c r="A311" s="21" t="s">
        <v>794</v>
      </c>
      <c r="B311" s="8" t="s">
        <v>293</v>
      </c>
      <c r="C311" s="8" t="s">
        <v>437</v>
      </c>
      <c r="D311" s="9">
        <v>26</v>
      </c>
      <c r="E311" s="3" t="s">
        <v>1080</v>
      </c>
      <c r="F311" s="22" t="s">
        <v>1090</v>
      </c>
    </row>
    <row r="312" spans="1:6">
      <c r="A312" s="21" t="s">
        <v>795</v>
      </c>
      <c r="B312" s="8" t="s">
        <v>294</v>
      </c>
      <c r="C312" s="8" t="s">
        <v>437</v>
      </c>
      <c r="D312" s="9">
        <v>27</v>
      </c>
      <c r="E312" s="3" t="s">
        <v>1074</v>
      </c>
      <c r="F312" s="22" t="s">
        <v>1091</v>
      </c>
    </row>
    <row r="313" spans="1:6">
      <c r="A313" s="21" t="s">
        <v>796</v>
      </c>
      <c r="B313" s="8" t="s">
        <v>295</v>
      </c>
      <c r="C313" s="8" t="s">
        <v>437</v>
      </c>
      <c r="D313" s="9">
        <v>28</v>
      </c>
      <c r="E313" s="3" t="s">
        <v>1078</v>
      </c>
      <c r="F313" s="22" t="s">
        <v>1094</v>
      </c>
    </row>
    <row r="314" spans="1:6">
      <c r="A314" s="21" t="s">
        <v>797</v>
      </c>
      <c r="B314" s="8" t="s">
        <v>132</v>
      </c>
      <c r="C314" s="8" t="s">
        <v>437</v>
      </c>
      <c r="D314" s="9">
        <v>29</v>
      </c>
      <c r="E314" s="3" t="s">
        <v>1083</v>
      </c>
      <c r="F314" s="22" t="s">
        <v>1098</v>
      </c>
    </row>
    <row r="315" spans="1:6">
      <c r="A315" s="21" t="s">
        <v>798</v>
      </c>
      <c r="B315" s="8" t="s">
        <v>296</v>
      </c>
      <c r="C315" s="8" t="s">
        <v>437</v>
      </c>
      <c r="D315" s="9">
        <v>30</v>
      </c>
      <c r="E315" s="3" t="s">
        <v>1077</v>
      </c>
      <c r="F315" s="22" t="s">
        <v>1093</v>
      </c>
    </row>
    <row r="316" spans="1:6">
      <c r="A316" s="21" t="s">
        <v>799</v>
      </c>
      <c r="B316" s="8" t="s">
        <v>297</v>
      </c>
      <c r="C316" s="8" t="s">
        <v>437</v>
      </c>
      <c r="D316" s="9">
        <v>31</v>
      </c>
      <c r="E316" s="3" t="s">
        <v>1077</v>
      </c>
      <c r="F316" s="22" t="s">
        <v>1093</v>
      </c>
    </row>
    <row r="317" spans="1:6">
      <c r="A317" s="21" t="s">
        <v>800</v>
      </c>
      <c r="B317" s="8" t="s">
        <v>298</v>
      </c>
      <c r="C317" s="8" t="s">
        <v>437</v>
      </c>
      <c r="D317" s="9">
        <v>32</v>
      </c>
      <c r="E317" s="3" t="s">
        <v>1083</v>
      </c>
      <c r="F317" s="22" t="s">
        <v>1090</v>
      </c>
    </row>
    <row r="318" spans="1:6">
      <c r="A318" s="21" t="s">
        <v>801</v>
      </c>
      <c r="B318" s="8" t="s">
        <v>299</v>
      </c>
      <c r="C318" s="8" t="s">
        <v>437</v>
      </c>
      <c r="D318" s="9">
        <v>33</v>
      </c>
      <c r="E318" s="3" t="s">
        <v>1081</v>
      </c>
      <c r="F318" s="22" t="s">
        <v>1096</v>
      </c>
    </row>
    <row r="319" spans="1:6">
      <c r="A319" s="21" t="s">
        <v>802</v>
      </c>
      <c r="B319" s="8" t="s">
        <v>300</v>
      </c>
      <c r="C319" s="8" t="s">
        <v>437</v>
      </c>
      <c r="D319" s="9">
        <v>34</v>
      </c>
      <c r="E319" s="3" t="s">
        <v>1085</v>
      </c>
      <c r="F319" s="22" t="s">
        <v>1090</v>
      </c>
    </row>
    <row r="320" spans="1:6">
      <c r="A320" s="21" t="s">
        <v>803</v>
      </c>
      <c r="B320" s="8" t="s">
        <v>301</v>
      </c>
      <c r="C320" s="8" t="s">
        <v>437</v>
      </c>
      <c r="D320" s="9">
        <v>35</v>
      </c>
      <c r="E320" s="3" t="s">
        <v>1078</v>
      </c>
      <c r="F320" s="22" t="s">
        <v>1095</v>
      </c>
    </row>
    <row r="321" spans="1:6">
      <c r="A321" s="21" t="s">
        <v>804</v>
      </c>
      <c r="B321" s="8" t="s">
        <v>302</v>
      </c>
      <c r="C321" s="8" t="s">
        <v>437</v>
      </c>
      <c r="D321" s="9">
        <v>36</v>
      </c>
      <c r="E321" s="3" t="s">
        <v>1078</v>
      </c>
      <c r="F321" s="22" t="s">
        <v>1091</v>
      </c>
    </row>
    <row r="322" spans="1:6">
      <c r="A322" s="21" t="s">
        <v>805</v>
      </c>
      <c r="B322" s="8" t="s">
        <v>303</v>
      </c>
      <c r="C322" s="8" t="s">
        <v>437</v>
      </c>
      <c r="D322" s="9">
        <v>37</v>
      </c>
      <c r="E322" s="3" t="s">
        <v>1075</v>
      </c>
      <c r="F322" s="22" t="s">
        <v>1090</v>
      </c>
    </row>
    <row r="323" spans="1:6">
      <c r="A323" s="21" t="s">
        <v>806</v>
      </c>
      <c r="B323" s="8" t="s">
        <v>131</v>
      </c>
      <c r="C323" s="8" t="s">
        <v>437</v>
      </c>
      <c r="D323" s="9">
        <v>38</v>
      </c>
      <c r="E323" s="3" t="s">
        <v>1083</v>
      </c>
      <c r="F323" s="22" t="s">
        <v>1099</v>
      </c>
    </row>
    <row r="324" spans="1:6">
      <c r="A324" s="21" t="s">
        <v>807</v>
      </c>
      <c r="B324" s="8" t="s">
        <v>130</v>
      </c>
      <c r="C324" s="8" t="s">
        <v>437</v>
      </c>
      <c r="D324" s="9">
        <v>39</v>
      </c>
      <c r="E324" s="3" t="s">
        <v>1079</v>
      </c>
      <c r="F324" s="22" t="s">
        <v>1091</v>
      </c>
    </row>
    <row r="325" spans="1:6">
      <c r="A325" s="21" t="s">
        <v>808</v>
      </c>
      <c r="B325" s="8" t="s">
        <v>304</v>
      </c>
      <c r="C325" s="8" t="s">
        <v>437</v>
      </c>
      <c r="D325" s="9">
        <v>40</v>
      </c>
      <c r="E325" s="3" t="s">
        <v>1086</v>
      </c>
      <c r="F325" s="22" t="s">
        <v>1102</v>
      </c>
    </row>
    <row r="326" spans="1:6">
      <c r="A326" s="21" t="s">
        <v>809</v>
      </c>
      <c r="B326" s="8" t="s">
        <v>305</v>
      </c>
      <c r="C326" s="8" t="s">
        <v>437</v>
      </c>
      <c r="D326" s="9">
        <v>41</v>
      </c>
      <c r="E326" s="3" t="s">
        <v>1076</v>
      </c>
      <c r="F326" s="22" t="s">
        <v>1092</v>
      </c>
    </row>
    <row r="327" spans="1:6">
      <c r="A327" s="21" t="s">
        <v>810</v>
      </c>
      <c r="B327" s="8" t="s">
        <v>306</v>
      </c>
      <c r="C327" s="8" t="s">
        <v>437</v>
      </c>
      <c r="D327" s="9">
        <v>42</v>
      </c>
      <c r="E327" s="3" t="s">
        <v>1087</v>
      </c>
      <c r="F327" s="22" t="s">
        <v>1103</v>
      </c>
    </row>
    <row r="328" spans="1:6">
      <c r="A328" s="21" t="s">
        <v>811</v>
      </c>
      <c r="B328" s="8" t="s">
        <v>161</v>
      </c>
      <c r="C328" s="8" t="s">
        <v>437</v>
      </c>
      <c r="D328" s="9">
        <v>43</v>
      </c>
      <c r="E328" s="3" t="s">
        <v>1087</v>
      </c>
      <c r="F328" s="22" t="s">
        <v>1104</v>
      </c>
    </row>
    <row r="329" spans="1:6">
      <c r="A329" s="21" t="s">
        <v>812</v>
      </c>
      <c r="B329" s="8" t="s">
        <v>307</v>
      </c>
      <c r="C329" s="8" t="s">
        <v>437</v>
      </c>
      <c r="D329" s="9">
        <v>20</v>
      </c>
      <c r="E329" s="3" t="s">
        <v>1074</v>
      </c>
      <c r="F329" s="22" t="s">
        <v>1090</v>
      </c>
    </row>
    <row r="330" spans="1:6">
      <c r="A330" s="21" t="s">
        <v>813</v>
      </c>
      <c r="B330" s="8" t="s">
        <v>308</v>
      </c>
      <c r="C330" s="8" t="s">
        <v>437</v>
      </c>
      <c r="D330" s="9">
        <v>21</v>
      </c>
      <c r="E330" s="3" t="s">
        <v>1083</v>
      </c>
      <c r="F330" s="22" t="s">
        <v>1091</v>
      </c>
    </row>
    <row r="331" spans="1:6">
      <c r="A331" s="21" t="s">
        <v>814</v>
      </c>
      <c r="B331" s="8" t="s">
        <v>309</v>
      </c>
      <c r="C331" s="8" t="s">
        <v>437</v>
      </c>
      <c r="D331" s="9">
        <v>22</v>
      </c>
      <c r="E331" s="3" t="s">
        <v>1075</v>
      </c>
      <c r="F331" s="22" t="s">
        <v>1090</v>
      </c>
    </row>
    <row r="332" spans="1:6">
      <c r="A332" s="21" t="s">
        <v>815</v>
      </c>
      <c r="B332" s="8" t="s">
        <v>310</v>
      </c>
      <c r="C332" s="8" t="s">
        <v>437</v>
      </c>
      <c r="D332" s="9">
        <v>23</v>
      </c>
      <c r="E332" s="3" t="s">
        <v>1081</v>
      </c>
      <c r="F332" s="22" t="s">
        <v>1097</v>
      </c>
    </row>
    <row r="333" spans="1:6">
      <c r="A333" s="21" t="s">
        <v>816</v>
      </c>
      <c r="B333" s="8" t="s">
        <v>73</v>
      </c>
      <c r="C333" s="8" t="s">
        <v>437</v>
      </c>
      <c r="D333" s="9">
        <v>24</v>
      </c>
      <c r="E333" s="3" t="s">
        <v>1085</v>
      </c>
      <c r="F333" s="22" t="s">
        <v>1101</v>
      </c>
    </row>
    <row r="334" spans="1:6">
      <c r="A334" s="21" t="s">
        <v>817</v>
      </c>
      <c r="B334" s="8" t="s">
        <v>311</v>
      </c>
      <c r="C334" s="8" t="s">
        <v>437</v>
      </c>
      <c r="D334" s="9">
        <v>25</v>
      </c>
      <c r="E334" s="3" t="s">
        <v>1084</v>
      </c>
      <c r="F334" s="22" t="s">
        <v>1090</v>
      </c>
    </row>
    <row r="335" spans="1:6">
      <c r="A335" s="21" t="s">
        <v>818</v>
      </c>
      <c r="B335" s="8" t="s">
        <v>312</v>
      </c>
      <c r="C335" s="8" t="s">
        <v>437</v>
      </c>
      <c r="D335" s="9">
        <v>26</v>
      </c>
      <c r="E335" s="3" t="s">
        <v>1080</v>
      </c>
      <c r="F335" s="22" t="s">
        <v>1090</v>
      </c>
    </row>
    <row r="336" spans="1:6">
      <c r="A336" s="21" t="s">
        <v>819</v>
      </c>
      <c r="B336" s="8" t="s">
        <v>313</v>
      </c>
      <c r="C336" s="8" t="s">
        <v>437</v>
      </c>
      <c r="D336" s="9">
        <v>27</v>
      </c>
      <c r="E336" s="3" t="s">
        <v>1074</v>
      </c>
      <c r="F336" s="22" t="s">
        <v>1091</v>
      </c>
    </row>
    <row r="337" spans="1:6">
      <c r="A337" s="21" t="s">
        <v>820</v>
      </c>
      <c r="B337" s="8" t="s">
        <v>314</v>
      </c>
      <c r="C337" s="8" t="s">
        <v>437</v>
      </c>
      <c r="D337" s="9">
        <v>28</v>
      </c>
      <c r="E337" s="3" t="s">
        <v>1078</v>
      </c>
      <c r="F337" s="22" t="s">
        <v>1094</v>
      </c>
    </row>
    <row r="338" spans="1:6">
      <c r="A338" s="21" t="s">
        <v>821</v>
      </c>
      <c r="B338" s="8" t="s">
        <v>134</v>
      </c>
      <c r="C338" s="8" t="s">
        <v>437</v>
      </c>
      <c r="D338" s="9">
        <v>29</v>
      </c>
      <c r="E338" s="3" t="s">
        <v>1083</v>
      </c>
      <c r="F338" s="22" t="s">
        <v>1098</v>
      </c>
    </row>
    <row r="339" spans="1:6">
      <c r="A339" s="21" t="s">
        <v>822</v>
      </c>
      <c r="B339" s="8" t="s">
        <v>134</v>
      </c>
      <c r="C339" s="8" t="s">
        <v>437</v>
      </c>
      <c r="D339" s="9">
        <v>30</v>
      </c>
      <c r="E339" s="3" t="s">
        <v>1077</v>
      </c>
      <c r="F339" s="22" t="s">
        <v>1093</v>
      </c>
    </row>
    <row r="340" spans="1:6">
      <c r="A340" s="21" t="s">
        <v>823</v>
      </c>
      <c r="B340" s="8" t="s">
        <v>315</v>
      </c>
      <c r="C340" s="8" t="s">
        <v>437</v>
      </c>
      <c r="D340" s="9">
        <v>31</v>
      </c>
      <c r="E340" s="3" t="s">
        <v>1077</v>
      </c>
      <c r="F340" s="22" t="s">
        <v>1093</v>
      </c>
    </row>
    <row r="341" spans="1:6">
      <c r="A341" s="21" t="s">
        <v>824</v>
      </c>
      <c r="B341" s="8" t="s">
        <v>316</v>
      </c>
      <c r="C341" s="8" t="s">
        <v>437</v>
      </c>
      <c r="D341" s="9">
        <v>32</v>
      </c>
      <c r="E341" s="3" t="s">
        <v>1083</v>
      </c>
      <c r="F341" s="22" t="s">
        <v>1090</v>
      </c>
    </row>
    <row r="342" spans="1:6">
      <c r="A342" s="21" t="s">
        <v>825</v>
      </c>
      <c r="B342" s="8" t="s">
        <v>317</v>
      </c>
      <c r="C342" s="8" t="s">
        <v>437</v>
      </c>
      <c r="D342" s="9">
        <v>33</v>
      </c>
      <c r="E342" s="3" t="s">
        <v>1081</v>
      </c>
      <c r="F342" s="22" t="s">
        <v>1096</v>
      </c>
    </row>
    <row r="343" spans="1:6">
      <c r="A343" s="21" t="s">
        <v>826</v>
      </c>
      <c r="B343" s="8" t="s">
        <v>318</v>
      </c>
      <c r="C343" s="8" t="s">
        <v>437</v>
      </c>
      <c r="D343" s="9">
        <v>34</v>
      </c>
      <c r="E343" s="3" t="s">
        <v>1085</v>
      </c>
      <c r="F343" s="22" t="s">
        <v>1090</v>
      </c>
    </row>
    <row r="344" spans="1:6">
      <c r="A344" s="21" t="s">
        <v>827</v>
      </c>
      <c r="B344" s="8" t="s">
        <v>319</v>
      </c>
      <c r="C344" s="8" t="s">
        <v>437</v>
      </c>
      <c r="D344" s="9">
        <v>35</v>
      </c>
      <c r="E344" s="3" t="s">
        <v>1078</v>
      </c>
      <c r="F344" s="22" t="s">
        <v>1095</v>
      </c>
    </row>
    <row r="345" spans="1:6">
      <c r="A345" s="21" t="s">
        <v>828</v>
      </c>
      <c r="B345" s="8" t="s">
        <v>320</v>
      </c>
      <c r="C345" s="8" t="s">
        <v>437</v>
      </c>
      <c r="D345" s="9">
        <v>36</v>
      </c>
      <c r="E345" s="3" t="s">
        <v>1078</v>
      </c>
      <c r="F345" s="22" t="s">
        <v>1091</v>
      </c>
    </row>
    <row r="346" spans="1:6">
      <c r="A346" s="21" t="s">
        <v>829</v>
      </c>
      <c r="B346" s="8" t="s">
        <v>321</v>
      </c>
      <c r="C346" s="8" t="s">
        <v>437</v>
      </c>
      <c r="D346" s="9">
        <v>37</v>
      </c>
      <c r="E346" s="3" t="s">
        <v>1075</v>
      </c>
      <c r="F346" s="22" t="s">
        <v>1090</v>
      </c>
    </row>
    <row r="347" spans="1:6">
      <c r="A347" s="21" t="s">
        <v>830</v>
      </c>
      <c r="B347" s="8" t="s">
        <v>172</v>
      </c>
      <c r="C347" s="8" t="s">
        <v>437</v>
      </c>
      <c r="D347" s="9">
        <v>38</v>
      </c>
      <c r="E347" s="3" t="s">
        <v>1083</v>
      </c>
      <c r="F347" s="22" t="s">
        <v>1099</v>
      </c>
    </row>
    <row r="348" spans="1:6">
      <c r="A348" s="21" t="s">
        <v>831</v>
      </c>
      <c r="B348" s="8" t="s">
        <v>175</v>
      </c>
      <c r="C348" s="8" t="s">
        <v>437</v>
      </c>
      <c r="D348" s="9">
        <v>39</v>
      </c>
      <c r="E348" s="3" t="s">
        <v>1079</v>
      </c>
      <c r="F348" s="22" t="s">
        <v>1091</v>
      </c>
    </row>
    <row r="349" spans="1:6">
      <c r="A349" s="21" t="s">
        <v>832</v>
      </c>
      <c r="B349" s="8" t="s">
        <v>322</v>
      </c>
      <c r="C349" s="8" t="s">
        <v>437</v>
      </c>
      <c r="D349" s="9">
        <v>40</v>
      </c>
      <c r="E349" s="3" t="s">
        <v>1086</v>
      </c>
      <c r="F349" s="22" t="s">
        <v>1102</v>
      </c>
    </row>
    <row r="350" spans="1:6">
      <c r="A350" s="21" t="s">
        <v>833</v>
      </c>
      <c r="B350" s="8" t="s">
        <v>101</v>
      </c>
      <c r="C350" s="8" t="s">
        <v>437</v>
      </c>
      <c r="D350" s="9">
        <v>41</v>
      </c>
      <c r="E350" s="3" t="s">
        <v>1076</v>
      </c>
      <c r="F350" s="22" t="s">
        <v>1092</v>
      </c>
    </row>
    <row r="351" spans="1:6">
      <c r="A351" s="21" t="s">
        <v>834</v>
      </c>
      <c r="B351" s="8" t="s">
        <v>323</v>
      </c>
      <c r="C351" s="8" t="s">
        <v>437</v>
      </c>
      <c r="D351" s="9">
        <v>42</v>
      </c>
      <c r="E351" s="3" t="s">
        <v>1087</v>
      </c>
      <c r="F351" s="22" t="s">
        <v>1103</v>
      </c>
    </row>
    <row r="352" spans="1:6">
      <c r="A352" s="21" t="s">
        <v>835</v>
      </c>
      <c r="B352" s="8" t="s">
        <v>177</v>
      </c>
      <c r="C352" s="8" t="s">
        <v>437</v>
      </c>
      <c r="D352" s="9">
        <v>43</v>
      </c>
      <c r="E352" s="3" t="s">
        <v>1087</v>
      </c>
      <c r="F352" s="22" t="s">
        <v>1104</v>
      </c>
    </row>
    <row r="353" spans="1:6">
      <c r="A353" s="21" t="s">
        <v>836</v>
      </c>
      <c r="B353" s="8" t="s">
        <v>136</v>
      </c>
      <c r="C353" s="8" t="s">
        <v>437</v>
      </c>
      <c r="D353" s="9">
        <v>20</v>
      </c>
      <c r="E353" s="3" t="s">
        <v>1074</v>
      </c>
      <c r="F353" s="22" t="s">
        <v>1090</v>
      </c>
    </row>
    <row r="354" spans="1:6">
      <c r="A354" s="21" t="s">
        <v>837</v>
      </c>
      <c r="B354" s="8" t="s">
        <v>324</v>
      </c>
      <c r="C354" s="8" t="s">
        <v>437</v>
      </c>
      <c r="D354" s="9">
        <v>21</v>
      </c>
      <c r="E354" s="3" t="s">
        <v>1083</v>
      </c>
      <c r="F354" s="22" t="s">
        <v>1091</v>
      </c>
    </row>
    <row r="355" spans="1:6">
      <c r="A355" s="21" t="s">
        <v>838</v>
      </c>
      <c r="B355" s="8" t="s">
        <v>116</v>
      </c>
      <c r="C355" s="8" t="s">
        <v>437</v>
      </c>
      <c r="D355" s="9">
        <v>22</v>
      </c>
      <c r="E355" s="3" t="s">
        <v>1075</v>
      </c>
      <c r="F355" s="22" t="s">
        <v>1090</v>
      </c>
    </row>
    <row r="356" spans="1:6">
      <c r="A356" s="21" t="s">
        <v>839</v>
      </c>
      <c r="B356" s="8" t="s">
        <v>182</v>
      </c>
      <c r="C356" s="8" t="s">
        <v>437</v>
      </c>
      <c r="D356" s="9">
        <v>23</v>
      </c>
      <c r="E356" s="3" t="s">
        <v>1081</v>
      </c>
      <c r="F356" s="22" t="s">
        <v>1097</v>
      </c>
    </row>
    <row r="357" spans="1:6">
      <c r="A357" s="21" t="s">
        <v>840</v>
      </c>
      <c r="B357" s="8" t="s">
        <v>122</v>
      </c>
      <c r="C357" s="8" t="s">
        <v>437</v>
      </c>
      <c r="D357" s="9">
        <v>24</v>
      </c>
      <c r="E357" s="3" t="s">
        <v>1085</v>
      </c>
      <c r="F357" s="22" t="s">
        <v>1101</v>
      </c>
    </row>
    <row r="358" spans="1:6">
      <c r="A358" s="21" t="s">
        <v>841</v>
      </c>
      <c r="B358" s="8" t="s">
        <v>325</v>
      </c>
      <c r="C358" s="8" t="s">
        <v>437</v>
      </c>
      <c r="D358" s="9">
        <v>25</v>
      </c>
      <c r="E358" s="3" t="s">
        <v>1084</v>
      </c>
      <c r="F358" s="22" t="s">
        <v>1090</v>
      </c>
    </row>
    <row r="359" spans="1:6">
      <c r="A359" s="21" t="s">
        <v>842</v>
      </c>
      <c r="B359" s="8" t="s">
        <v>326</v>
      </c>
      <c r="C359" s="8" t="s">
        <v>437</v>
      </c>
      <c r="D359" s="9">
        <v>26</v>
      </c>
      <c r="E359" s="3" t="s">
        <v>1080</v>
      </c>
      <c r="F359" s="22" t="s">
        <v>1090</v>
      </c>
    </row>
    <row r="360" spans="1:6">
      <c r="A360" s="21" t="s">
        <v>843</v>
      </c>
      <c r="B360" s="8" t="s">
        <v>327</v>
      </c>
      <c r="C360" s="8" t="s">
        <v>437</v>
      </c>
      <c r="D360" s="9">
        <v>27</v>
      </c>
      <c r="E360" s="3" t="s">
        <v>1074</v>
      </c>
      <c r="F360" s="22" t="s">
        <v>1091</v>
      </c>
    </row>
    <row r="361" spans="1:6">
      <c r="A361" s="21" t="s">
        <v>844</v>
      </c>
      <c r="B361" s="8" t="s">
        <v>328</v>
      </c>
      <c r="C361" s="8" t="s">
        <v>437</v>
      </c>
      <c r="D361" s="9">
        <v>28</v>
      </c>
      <c r="E361" s="3" t="s">
        <v>1078</v>
      </c>
      <c r="F361" s="22" t="s">
        <v>1094</v>
      </c>
    </row>
    <row r="362" spans="1:6">
      <c r="A362" s="21" t="s">
        <v>845</v>
      </c>
      <c r="B362" s="8" t="s">
        <v>329</v>
      </c>
      <c r="C362" s="8" t="s">
        <v>437</v>
      </c>
      <c r="D362" s="9">
        <v>29</v>
      </c>
      <c r="E362" s="3" t="s">
        <v>1083</v>
      </c>
      <c r="F362" s="22" t="s">
        <v>1098</v>
      </c>
    </row>
    <row r="363" spans="1:6">
      <c r="A363" s="21" t="s">
        <v>846</v>
      </c>
      <c r="B363" s="8" t="s">
        <v>330</v>
      </c>
      <c r="C363" s="8" t="s">
        <v>437</v>
      </c>
      <c r="D363" s="9">
        <v>30</v>
      </c>
      <c r="E363" s="3" t="s">
        <v>1077</v>
      </c>
      <c r="F363" s="22" t="s">
        <v>1093</v>
      </c>
    </row>
    <row r="364" spans="1:6">
      <c r="A364" s="21" t="s">
        <v>847</v>
      </c>
      <c r="B364" s="8" t="s">
        <v>331</v>
      </c>
      <c r="C364" s="8" t="s">
        <v>437</v>
      </c>
      <c r="D364" s="9">
        <v>31</v>
      </c>
      <c r="E364" s="3" t="s">
        <v>1077</v>
      </c>
      <c r="F364" s="22" t="s">
        <v>1093</v>
      </c>
    </row>
    <row r="365" spans="1:6">
      <c r="A365" s="21" t="s">
        <v>848</v>
      </c>
      <c r="B365" s="8" t="s">
        <v>332</v>
      </c>
      <c r="C365" s="8" t="s">
        <v>437</v>
      </c>
      <c r="D365" s="9">
        <v>32</v>
      </c>
      <c r="E365" s="3" t="s">
        <v>1083</v>
      </c>
      <c r="F365" s="22" t="s">
        <v>1090</v>
      </c>
    </row>
    <row r="366" spans="1:6">
      <c r="A366" s="21" t="s">
        <v>849</v>
      </c>
      <c r="B366" s="8" t="s">
        <v>333</v>
      </c>
      <c r="C366" s="8" t="s">
        <v>437</v>
      </c>
      <c r="D366" s="9">
        <v>33</v>
      </c>
      <c r="E366" s="3" t="s">
        <v>1081</v>
      </c>
      <c r="F366" s="22" t="s">
        <v>1096</v>
      </c>
    </row>
    <row r="367" spans="1:6">
      <c r="A367" s="21" t="s">
        <v>850</v>
      </c>
      <c r="B367" s="8" t="s">
        <v>334</v>
      </c>
      <c r="C367" s="8" t="s">
        <v>437</v>
      </c>
      <c r="D367" s="9">
        <v>34</v>
      </c>
      <c r="E367" s="3" t="s">
        <v>1085</v>
      </c>
      <c r="F367" s="22" t="s">
        <v>1090</v>
      </c>
    </row>
    <row r="368" spans="1:6">
      <c r="A368" s="21" t="s">
        <v>851</v>
      </c>
      <c r="B368" s="8" t="s">
        <v>335</v>
      </c>
      <c r="C368" s="8" t="s">
        <v>437</v>
      </c>
      <c r="D368" s="9">
        <v>35</v>
      </c>
      <c r="E368" s="3" t="s">
        <v>1078</v>
      </c>
      <c r="F368" s="22" t="s">
        <v>1095</v>
      </c>
    </row>
    <row r="369" spans="1:6">
      <c r="A369" s="21" t="s">
        <v>852</v>
      </c>
      <c r="B369" s="8" t="s">
        <v>336</v>
      </c>
      <c r="C369" s="8" t="s">
        <v>437</v>
      </c>
      <c r="D369" s="9">
        <v>36</v>
      </c>
      <c r="E369" s="3" t="s">
        <v>1078</v>
      </c>
      <c r="F369" s="22" t="s">
        <v>1091</v>
      </c>
    </row>
    <row r="370" spans="1:6">
      <c r="A370" s="21" t="s">
        <v>853</v>
      </c>
      <c r="B370" s="8" t="s">
        <v>191</v>
      </c>
      <c r="C370" s="8" t="s">
        <v>437</v>
      </c>
      <c r="D370" s="9">
        <v>37</v>
      </c>
      <c r="E370" s="3" t="s">
        <v>1075</v>
      </c>
      <c r="F370" s="22" t="s">
        <v>1090</v>
      </c>
    </row>
    <row r="371" spans="1:6">
      <c r="A371" s="21" t="s">
        <v>854</v>
      </c>
      <c r="B371" s="8" t="s">
        <v>192</v>
      </c>
      <c r="C371" s="8" t="s">
        <v>437</v>
      </c>
      <c r="D371" s="9">
        <v>38</v>
      </c>
      <c r="E371" s="3" t="s">
        <v>1083</v>
      </c>
      <c r="F371" s="22" t="s">
        <v>1099</v>
      </c>
    </row>
    <row r="372" spans="1:6">
      <c r="A372" s="21" t="s">
        <v>855</v>
      </c>
      <c r="B372" s="8" t="s">
        <v>337</v>
      </c>
      <c r="C372" s="8" t="s">
        <v>437</v>
      </c>
      <c r="D372" s="9">
        <v>39</v>
      </c>
      <c r="E372" s="3" t="s">
        <v>1079</v>
      </c>
      <c r="F372" s="22" t="s">
        <v>1091</v>
      </c>
    </row>
    <row r="373" spans="1:6">
      <c r="A373" s="21" t="s">
        <v>856</v>
      </c>
      <c r="B373" s="8" t="s">
        <v>338</v>
      </c>
      <c r="C373" s="8" t="s">
        <v>437</v>
      </c>
      <c r="D373" s="9">
        <v>40</v>
      </c>
      <c r="E373" s="3" t="s">
        <v>1086</v>
      </c>
      <c r="F373" s="22" t="s">
        <v>1102</v>
      </c>
    </row>
    <row r="374" spans="1:6">
      <c r="A374" s="21" t="s">
        <v>857</v>
      </c>
      <c r="B374" s="8" t="s">
        <v>18</v>
      </c>
      <c r="C374" s="8" t="s">
        <v>417</v>
      </c>
      <c r="D374" s="9">
        <v>41</v>
      </c>
      <c r="E374" s="3" t="s">
        <v>1076</v>
      </c>
      <c r="F374" s="22" t="s">
        <v>1092</v>
      </c>
    </row>
    <row r="375" spans="1:6">
      <c r="A375" s="21" t="s">
        <v>858</v>
      </c>
      <c r="B375" s="8" t="s">
        <v>339</v>
      </c>
      <c r="C375" s="8" t="s">
        <v>417</v>
      </c>
      <c r="D375" s="9">
        <v>42</v>
      </c>
      <c r="E375" s="3" t="s">
        <v>1087</v>
      </c>
      <c r="F375" s="22" t="s">
        <v>1103</v>
      </c>
    </row>
    <row r="376" spans="1:6">
      <c r="A376" s="21" t="s">
        <v>859</v>
      </c>
      <c r="B376" s="8" t="s">
        <v>340</v>
      </c>
      <c r="C376" s="8" t="s">
        <v>417</v>
      </c>
      <c r="D376" s="9">
        <v>43</v>
      </c>
      <c r="E376" s="3" t="s">
        <v>1087</v>
      </c>
      <c r="F376" s="22" t="s">
        <v>1104</v>
      </c>
    </row>
    <row r="377" spans="1:6">
      <c r="A377" s="21" t="s">
        <v>860</v>
      </c>
      <c r="B377" s="8" t="s">
        <v>204</v>
      </c>
      <c r="C377" s="8" t="s">
        <v>417</v>
      </c>
      <c r="D377" s="9">
        <v>20</v>
      </c>
      <c r="E377" s="3" t="s">
        <v>1074</v>
      </c>
      <c r="F377" s="22" t="s">
        <v>1090</v>
      </c>
    </row>
    <row r="378" spans="1:6">
      <c r="A378" s="21" t="s">
        <v>861</v>
      </c>
      <c r="B378" s="8" t="s">
        <v>341</v>
      </c>
      <c r="C378" s="8" t="s">
        <v>417</v>
      </c>
      <c r="D378" s="9">
        <v>21</v>
      </c>
      <c r="E378" s="3" t="s">
        <v>1083</v>
      </c>
      <c r="F378" s="22" t="s">
        <v>1091</v>
      </c>
    </row>
    <row r="379" spans="1:6">
      <c r="A379" s="21" t="s">
        <v>862</v>
      </c>
      <c r="B379" s="8" t="s">
        <v>342</v>
      </c>
      <c r="C379" s="8" t="s">
        <v>417</v>
      </c>
      <c r="D379" s="9">
        <v>22</v>
      </c>
      <c r="E379" s="3" t="s">
        <v>1075</v>
      </c>
      <c r="F379" s="22" t="s">
        <v>1090</v>
      </c>
    </row>
    <row r="380" spans="1:6">
      <c r="A380" s="21" t="s">
        <v>863</v>
      </c>
      <c r="B380" s="8" t="s">
        <v>343</v>
      </c>
      <c r="C380" s="8" t="s">
        <v>417</v>
      </c>
      <c r="D380" s="9">
        <v>23</v>
      </c>
      <c r="E380" s="3" t="s">
        <v>1081</v>
      </c>
      <c r="F380" s="22" t="s">
        <v>1097</v>
      </c>
    </row>
    <row r="381" spans="1:6">
      <c r="A381" s="21" t="s">
        <v>864</v>
      </c>
      <c r="B381" s="8" t="s">
        <v>344</v>
      </c>
      <c r="C381" s="8" t="s">
        <v>417</v>
      </c>
      <c r="D381" s="9">
        <v>24</v>
      </c>
      <c r="E381" s="3" t="s">
        <v>1085</v>
      </c>
      <c r="F381" s="22" t="s">
        <v>1101</v>
      </c>
    </row>
    <row r="382" spans="1:6">
      <c r="A382" s="21" t="s">
        <v>865</v>
      </c>
      <c r="B382" s="8" t="s">
        <v>207</v>
      </c>
      <c r="C382" s="8" t="s">
        <v>417</v>
      </c>
      <c r="D382" s="9">
        <v>25</v>
      </c>
      <c r="E382" s="3" t="s">
        <v>1084</v>
      </c>
      <c r="F382" s="22" t="s">
        <v>1090</v>
      </c>
    </row>
    <row r="383" spans="1:6">
      <c r="A383" s="21" t="s">
        <v>866</v>
      </c>
      <c r="B383" s="8" t="s">
        <v>345</v>
      </c>
      <c r="C383" s="8" t="s">
        <v>417</v>
      </c>
      <c r="D383" s="9">
        <v>26</v>
      </c>
      <c r="E383" s="3" t="s">
        <v>1080</v>
      </c>
      <c r="F383" s="22" t="s">
        <v>1090</v>
      </c>
    </row>
    <row r="384" spans="1:6">
      <c r="A384" s="21" t="s">
        <v>867</v>
      </c>
      <c r="B384" s="8" t="s">
        <v>209</v>
      </c>
      <c r="C384" s="8" t="s">
        <v>417</v>
      </c>
      <c r="D384" s="9">
        <v>27</v>
      </c>
      <c r="E384" s="3" t="s">
        <v>1074</v>
      </c>
      <c r="F384" s="22" t="s">
        <v>1091</v>
      </c>
    </row>
    <row r="385" spans="1:6">
      <c r="A385" s="21" t="s">
        <v>868</v>
      </c>
      <c r="B385" s="8" t="s">
        <v>346</v>
      </c>
      <c r="C385" s="8" t="s">
        <v>417</v>
      </c>
      <c r="D385" s="9">
        <v>28</v>
      </c>
      <c r="E385" s="3" t="s">
        <v>1078</v>
      </c>
      <c r="F385" s="22" t="s">
        <v>1094</v>
      </c>
    </row>
    <row r="386" spans="1:6">
      <c r="A386" s="21" t="s">
        <v>869</v>
      </c>
      <c r="B386" s="8" t="s">
        <v>347</v>
      </c>
      <c r="C386" s="8" t="s">
        <v>417</v>
      </c>
      <c r="D386" s="9">
        <v>29</v>
      </c>
      <c r="E386" s="3" t="s">
        <v>1083</v>
      </c>
      <c r="F386" s="22" t="s">
        <v>1098</v>
      </c>
    </row>
    <row r="387" spans="1:6">
      <c r="A387" s="21" t="s">
        <v>870</v>
      </c>
      <c r="B387" s="8" t="s">
        <v>348</v>
      </c>
      <c r="C387" s="8" t="s">
        <v>417</v>
      </c>
      <c r="D387" s="9">
        <v>30</v>
      </c>
      <c r="E387" s="3" t="s">
        <v>1077</v>
      </c>
      <c r="F387" s="22" t="s">
        <v>1093</v>
      </c>
    </row>
    <row r="388" spans="1:6">
      <c r="A388" s="21" t="s">
        <v>871</v>
      </c>
      <c r="B388" s="8" t="s">
        <v>349</v>
      </c>
      <c r="C388" s="8" t="s">
        <v>417</v>
      </c>
      <c r="D388" s="9">
        <v>31</v>
      </c>
      <c r="E388" s="3" t="s">
        <v>1077</v>
      </c>
      <c r="F388" s="22" t="s">
        <v>1093</v>
      </c>
    </row>
    <row r="389" spans="1:6">
      <c r="A389" s="21" t="s">
        <v>872</v>
      </c>
      <c r="B389" s="8" t="s">
        <v>350</v>
      </c>
      <c r="C389" s="8" t="s">
        <v>417</v>
      </c>
      <c r="D389" s="9">
        <v>32</v>
      </c>
      <c r="E389" s="3" t="s">
        <v>1083</v>
      </c>
      <c r="F389" s="22" t="s">
        <v>1090</v>
      </c>
    </row>
    <row r="390" spans="1:6">
      <c r="A390" s="21" t="s">
        <v>873</v>
      </c>
      <c r="B390" s="8" t="s">
        <v>351</v>
      </c>
      <c r="C390" s="8" t="s">
        <v>417</v>
      </c>
      <c r="D390" s="9">
        <v>33</v>
      </c>
      <c r="E390" s="3" t="s">
        <v>1081</v>
      </c>
      <c r="F390" s="22" t="s">
        <v>1096</v>
      </c>
    </row>
    <row r="391" spans="1:6">
      <c r="A391" s="21" t="s">
        <v>874</v>
      </c>
      <c r="B391" s="8" t="s">
        <v>216</v>
      </c>
      <c r="C391" s="8" t="s">
        <v>417</v>
      </c>
      <c r="D391" s="9">
        <v>34</v>
      </c>
      <c r="E391" s="3" t="s">
        <v>1085</v>
      </c>
      <c r="F391" s="22" t="s">
        <v>1090</v>
      </c>
    </row>
    <row r="392" spans="1:6">
      <c r="A392" s="21" t="s">
        <v>875</v>
      </c>
      <c r="B392" s="8" t="s">
        <v>352</v>
      </c>
      <c r="C392" s="8" t="s">
        <v>417</v>
      </c>
      <c r="D392" s="9">
        <v>35</v>
      </c>
      <c r="E392" s="3" t="s">
        <v>1078</v>
      </c>
      <c r="F392" s="22" t="s">
        <v>1095</v>
      </c>
    </row>
    <row r="393" spans="1:6">
      <c r="A393" s="21" t="s">
        <v>876</v>
      </c>
      <c r="B393" s="8" t="s">
        <v>353</v>
      </c>
      <c r="C393" s="8" t="s">
        <v>417</v>
      </c>
      <c r="D393" s="9">
        <v>36</v>
      </c>
      <c r="E393" s="3" t="s">
        <v>1078</v>
      </c>
      <c r="F393" s="22" t="s">
        <v>1091</v>
      </c>
    </row>
    <row r="394" spans="1:6">
      <c r="A394" s="21" t="s">
        <v>877</v>
      </c>
      <c r="B394" s="8" t="s">
        <v>354</v>
      </c>
      <c r="C394" s="8" t="s">
        <v>417</v>
      </c>
      <c r="D394" s="9">
        <v>37</v>
      </c>
      <c r="E394" s="3" t="s">
        <v>1075</v>
      </c>
      <c r="F394" s="22" t="s">
        <v>1090</v>
      </c>
    </row>
    <row r="395" spans="1:6">
      <c r="A395" s="21" t="s">
        <v>878</v>
      </c>
      <c r="B395" s="8" t="s">
        <v>355</v>
      </c>
      <c r="C395" s="8" t="s">
        <v>417</v>
      </c>
      <c r="D395" s="9">
        <v>38</v>
      </c>
      <c r="E395" s="3" t="s">
        <v>1083</v>
      </c>
      <c r="F395" s="22" t="s">
        <v>1099</v>
      </c>
    </row>
    <row r="396" spans="1:6">
      <c r="A396" s="21" t="s">
        <v>879</v>
      </c>
      <c r="B396" s="8" t="s">
        <v>219</v>
      </c>
      <c r="C396" s="8" t="s">
        <v>417</v>
      </c>
      <c r="D396" s="9">
        <v>39</v>
      </c>
      <c r="E396" s="3" t="s">
        <v>1079</v>
      </c>
      <c r="F396" s="22" t="s">
        <v>1091</v>
      </c>
    </row>
    <row r="397" spans="1:6">
      <c r="A397" s="21" t="s">
        <v>880</v>
      </c>
      <c r="B397" s="8" t="s">
        <v>55</v>
      </c>
      <c r="C397" s="8" t="s">
        <v>417</v>
      </c>
      <c r="D397" s="9">
        <v>40</v>
      </c>
      <c r="E397" s="3" t="s">
        <v>1086</v>
      </c>
      <c r="F397" s="22" t="s">
        <v>1102</v>
      </c>
    </row>
    <row r="398" spans="1:6">
      <c r="A398" s="21" t="s">
        <v>881</v>
      </c>
      <c r="B398" s="8" t="s">
        <v>220</v>
      </c>
      <c r="C398" s="8" t="s">
        <v>417</v>
      </c>
      <c r="D398" s="9">
        <v>41</v>
      </c>
      <c r="E398" s="3" t="s">
        <v>1076</v>
      </c>
      <c r="F398" s="22" t="s">
        <v>1092</v>
      </c>
    </row>
    <row r="399" spans="1:6">
      <c r="A399" s="21" t="s">
        <v>882</v>
      </c>
      <c r="B399" s="8" t="s">
        <v>356</v>
      </c>
      <c r="C399" s="8" t="s">
        <v>417</v>
      </c>
      <c r="D399" s="9">
        <v>42</v>
      </c>
      <c r="E399" s="3" t="s">
        <v>1087</v>
      </c>
      <c r="F399" s="22" t="s">
        <v>1103</v>
      </c>
    </row>
    <row r="400" spans="1:6">
      <c r="A400" s="21" t="s">
        <v>883</v>
      </c>
      <c r="B400" s="8" t="s">
        <v>221</v>
      </c>
      <c r="C400" s="8" t="s">
        <v>417</v>
      </c>
      <c r="D400" s="9">
        <v>43</v>
      </c>
      <c r="E400" s="3" t="s">
        <v>1087</v>
      </c>
      <c r="F400" s="22" t="s">
        <v>1104</v>
      </c>
    </row>
    <row r="401" spans="1:6">
      <c r="A401" s="21" t="s">
        <v>884</v>
      </c>
      <c r="B401" s="8" t="s">
        <v>357</v>
      </c>
      <c r="C401" s="8" t="s">
        <v>417</v>
      </c>
      <c r="D401" s="9">
        <v>20</v>
      </c>
      <c r="E401" s="3" t="s">
        <v>1074</v>
      </c>
      <c r="F401" s="22" t="s">
        <v>1090</v>
      </c>
    </row>
    <row r="402" spans="1:6">
      <c r="A402" s="21" t="s">
        <v>885</v>
      </c>
      <c r="B402" s="8" t="s">
        <v>224</v>
      </c>
      <c r="C402" s="8" t="s">
        <v>417</v>
      </c>
      <c r="D402" s="9">
        <v>21</v>
      </c>
      <c r="E402" s="3" t="s">
        <v>1083</v>
      </c>
      <c r="F402" s="22" t="s">
        <v>1091</v>
      </c>
    </row>
    <row r="403" spans="1:6">
      <c r="A403" s="21" t="s">
        <v>886</v>
      </c>
      <c r="B403" s="8" t="s">
        <v>358</v>
      </c>
      <c r="C403" s="8" t="s">
        <v>417</v>
      </c>
      <c r="D403" s="9">
        <v>22</v>
      </c>
      <c r="E403" s="3" t="s">
        <v>1075</v>
      </c>
      <c r="F403" s="22" t="s">
        <v>1090</v>
      </c>
    </row>
    <row r="404" spans="1:6">
      <c r="A404" s="21" t="s">
        <v>887</v>
      </c>
      <c r="B404" s="8" t="s">
        <v>359</v>
      </c>
      <c r="C404" s="8" t="s">
        <v>417</v>
      </c>
      <c r="D404" s="9">
        <v>23</v>
      </c>
      <c r="E404" s="3" t="s">
        <v>1081</v>
      </c>
      <c r="F404" s="22" t="s">
        <v>1097</v>
      </c>
    </row>
    <row r="405" spans="1:6">
      <c r="A405" s="21" t="s">
        <v>888</v>
      </c>
      <c r="B405" s="8" t="s">
        <v>360</v>
      </c>
      <c r="C405" s="8" t="s">
        <v>417</v>
      </c>
      <c r="D405" s="9">
        <v>24</v>
      </c>
      <c r="E405" s="3" t="s">
        <v>1085</v>
      </c>
      <c r="F405" s="22" t="s">
        <v>1101</v>
      </c>
    </row>
    <row r="406" spans="1:6">
      <c r="A406" s="21" t="s">
        <v>889</v>
      </c>
      <c r="B406" s="8" t="s">
        <v>361</v>
      </c>
      <c r="C406" s="8" t="s">
        <v>417</v>
      </c>
      <c r="D406" s="9">
        <v>25</v>
      </c>
      <c r="E406" s="3" t="s">
        <v>1084</v>
      </c>
      <c r="F406" s="22" t="s">
        <v>1090</v>
      </c>
    </row>
    <row r="407" spans="1:6">
      <c r="A407" s="21" t="s">
        <v>890</v>
      </c>
      <c r="B407" s="8" t="s">
        <v>362</v>
      </c>
      <c r="C407" s="8" t="s">
        <v>417</v>
      </c>
      <c r="D407" s="9">
        <v>26</v>
      </c>
      <c r="E407" s="3" t="s">
        <v>1080</v>
      </c>
      <c r="F407" s="22" t="s">
        <v>1090</v>
      </c>
    </row>
    <row r="408" spans="1:6">
      <c r="A408" s="21" t="s">
        <v>891</v>
      </c>
      <c r="B408" s="8" t="s">
        <v>363</v>
      </c>
      <c r="C408" s="8" t="s">
        <v>417</v>
      </c>
      <c r="D408" s="9">
        <v>27</v>
      </c>
      <c r="E408" s="3" t="s">
        <v>1074</v>
      </c>
      <c r="F408" s="22" t="s">
        <v>1091</v>
      </c>
    </row>
    <row r="409" spans="1:6">
      <c r="A409" s="21" t="s">
        <v>892</v>
      </c>
      <c r="B409" s="8" t="s">
        <v>364</v>
      </c>
      <c r="C409" s="8" t="s">
        <v>417</v>
      </c>
      <c r="D409" s="9">
        <v>28</v>
      </c>
      <c r="E409" s="3" t="s">
        <v>1078</v>
      </c>
      <c r="F409" s="22" t="s">
        <v>1094</v>
      </c>
    </row>
    <row r="410" spans="1:6">
      <c r="A410" s="21" t="s">
        <v>893</v>
      </c>
      <c r="B410" s="8" t="s">
        <v>365</v>
      </c>
      <c r="C410" s="8" t="s">
        <v>417</v>
      </c>
      <c r="D410" s="9">
        <v>29</v>
      </c>
      <c r="E410" s="3" t="s">
        <v>1083</v>
      </c>
      <c r="F410" s="22" t="s">
        <v>1098</v>
      </c>
    </row>
    <row r="411" spans="1:6">
      <c r="A411" s="21" t="s">
        <v>894</v>
      </c>
      <c r="B411" s="8" t="s">
        <v>366</v>
      </c>
      <c r="C411" s="8" t="s">
        <v>417</v>
      </c>
      <c r="D411" s="9">
        <v>30</v>
      </c>
      <c r="E411" s="3" t="s">
        <v>1077</v>
      </c>
      <c r="F411" s="22" t="s">
        <v>1093</v>
      </c>
    </row>
    <row r="412" spans="1:6">
      <c r="A412" s="21" t="s">
        <v>895</v>
      </c>
      <c r="B412" s="8" t="s">
        <v>73</v>
      </c>
      <c r="C412" s="8" t="s">
        <v>417</v>
      </c>
      <c r="D412" s="9">
        <v>31</v>
      </c>
      <c r="E412" s="3" t="s">
        <v>1077</v>
      </c>
      <c r="F412" s="22" t="s">
        <v>1093</v>
      </c>
    </row>
    <row r="413" spans="1:6">
      <c r="A413" s="21" t="s">
        <v>896</v>
      </c>
      <c r="B413" s="8" t="s">
        <v>367</v>
      </c>
      <c r="C413" s="8" t="s">
        <v>417</v>
      </c>
      <c r="D413" s="9">
        <v>32</v>
      </c>
      <c r="E413" s="3" t="s">
        <v>1083</v>
      </c>
      <c r="F413" s="22" t="s">
        <v>1090</v>
      </c>
    </row>
    <row r="414" spans="1:6">
      <c r="A414" s="21" t="s">
        <v>897</v>
      </c>
      <c r="B414" s="8" t="s">
        <v>368</v>
      </c>
      <c r="C414" s="8" t="s">
        <v>417</v>
      </c>
      <c r="D414" s="9">
        <v>33</v>
      </c>
      <c r="E414" s="3" t="s">
        <v>1081</v>
      </c>
      <c r="F414" s="22" t="s">
        <v>1096</v>
      </c>
    </row>
    <row r="415" spans="1:6">
      <c r="A415" s="21" t="s">
        <v>898</v>
      </c>
      <c r="B415" s="8" t="s">
        <v>369</v>
      </c>
      <c r="C415" s="8" t="s">
        <v>417</v>
      </c>
      <c r="D415" s="9">
        <v>34</v>
      </c>
      <c r="E415" s="3" t="s">
        <v>1085</v>
      </c>
      <c r="F415" s="22" t="s">
        <v>1090</v>
      </c>
    </row>
    <row r="416" spans="1:6">
      <c r="A416" s="21" t="s">
        <v>899</v>
      </c>
      <c r="B416" s="8" t="s">
        <v>370</v>
      </c>
      <c r="C416" s="8" t="s">
        <v>417</v>
      </c>
      <c r="D416" s="9">
        <v>35</v>
      </c>
      <c r="E416" s="3" t="s">
        <v>1078</v>
      </c>
      <c r="F416" s="22" t="s">
        <v>1095</v>
      </c>
    </row>
    <row r="417" spans="1:6">
      <c r="A417" s="21" t="s">
        <v>900</v>
      </c>
      <c r="B417" s="8" t="s">
        <v>371</v>
      </c>
      <c r="C417" s="8" t="s">
        <v>417</v>
      </c>
      <c r="D417" s="9">
        <v>36</v>
      </c>
      <c r="E417" s="3" t="s">
        <v>1078</v>
      </c>
      <c r="F417" s="22" t="s">
        <v>1091</v>
      </c>
    </row>
    <row r="418" spans="1:6">
      <c r="A418" s="21" t="s">
        <v>901</v>
      </c>
      <c r="B418" s="8" t="s">
        <v>372</v>
      </c>
      <c r="C418" s="8" t="s">
        <v>417</v>
      </c>
      <c r="D418" s="9">
        <v>37</v>
      </c>
      <c r="E418" s="3" t="s">
        <v>1075</v>
      </c>
      <c r="F418" s="22" t="s">
        <v>1090</v>
      </c>
    </row>
    <row r="419" spans="1:6">
      <c r="A419" s="21" t="s">
        <v>902</v>
      </c>
      <c r="B419" s="8" t="s">
        <v>79</v>
      </c>
      <c r="C419" s="8" t="s">
        <v>417</v>
      </c>
      <c r="D419" s="9">
        <v>38</v>
      </c>
      <c r="E419" s="3" t="s">
        <v>1083</v>
      </c>
      <c r="F419" s="22" t="s">
        <v>1099</v>
      </c>
    </row>
    <row r="420" spans="1:6">
      <c r="A420" s="21" t="s">
        <v>903</v>
      </c>
      <c r="B420" s="8" t="s">
        <v>373</v>
      </c>
      <c r="C420" s="8" t="s">
        <v>417</v>
      </c>
      <c r="D420" s="9">
        <v>39</v>
      </c>
      <c r="E420" s="3" t="s">
        <v>1079</v>
      </c>
      <c r="F420" s="22" t="s">
        <v>1091</v>
      </c>
    </row>
    <row r="421" spans="1:6">
      <c r="A421" s="21" t="s">
        <v>904</v>
      </c>
      <c r="B421" s="8" t="s">
        <v>374</v>
      </c>
      <c r="C421" s="8" t="s">
        <v>417</v>
      </c>
      <c r="D421" s="9">
        <v>40</v>
      </c>
      <c r="E421" s="3" t="s">
        <v>1086</v>
      </c>
      <c r="F421" s="22" t="s">
        <v>1102</v>
      </c>
    </row>
    <row r="422" spans="1:6">
      <c r="A422" s="21" t="s">
        <v>905</v>
      </c>
      <c r="B422" s="8" t="s">
        <v>375</v>
      </c>
      <c r="C422" s="8" t="s">
        <v>417</v>
      </c>
      <c r="D422" s="9">
        <v>41</v>
      </c>
      <c r="E422" s="3" t="s">
        <v>1076</v>
      </c>
      <c r="F422" s="22" t="s">
        <v>1092</v>
      </c>
    </row>
    <row r="423" spans="1:6">
      <c r="A423" s="21" t="s">
        <v>906</v>
      </c>
      <c r="B423" s="8" t="s">
        <v>376</v>
      </c>
      <c r="C423" s="8" t="s">
        <v>417</v>
      </c>
      <c r="D423" s="9">
        <v>42</v>
      </c>
      <c r="E423" s="3" t="s">
        <v>1087</v>
      </c>
      <c r="F423" s="22" t="s">
        <v>1103</v>
      </c>
    </row>
    <row r="424" spans="1:6">
      <c r="A424" s="21" t="s">
        <v>907</v>
      </c>
      <c r="B424" s="8" t="s">
        <v>377</v>
      </c>
      <c r="C424" s="8" t="s">
        <v>417</v>
      </c>
      <c r="D424" s="9">
        <v>43</v>
      </c>
      <c r="E424" s="3" t="s">
        <v>1087</v>
      </c>
      <c r="F424" s="22" t="s">
        <v>1104</v>
      </c>
    </row>
    <row r="425" spans="1:6">
      <c r="A425" s="21" t="s">
        <v>908</v>
      </c>
      <c r="B425" s="8" t="s">
        <v>378</v>
      </c>
      <c r="C425" s="8" t="s">
        <v>417</v>
      </c>
      <c r="D425" s="9">
        <v>20</v>
      </c>
      <c r="E425" s="3" t="s">
        <v>1074</v>
      </c>
      <c r="F425" s="22" t="s">
        <v>1090</v>
      </c>
    </row>
    <row r="426" spans="1:6">
      <c r="A426" s="21" t="s">
        <v>909</v>
      </c>
      <c r="B426" s="8" t="s">
        <v>379</v>
      </c>
      <c r="C426" s="8" t="s">
        <v>417</v>
      </c>
      <c r="D426" s="9">
        <v>21</v>
      </c>
      <c r="E426" s="3" t="s">
        <v>1083</v>
      </c>
      <c r="F426" s="22" t="s">
        <v>1091</v>
      </c>
    </row>
    <row r="427" spans="1:6">
      <c r="A427" s="21" t="s">
        <v>910</v>
      </c>
      <c r="B427" s="8" t="s">
        <v>241</v>
      </c>
      <c r="C427" s="8" t="s">
        <v>417</v>
      </c>
      <c r="D427" s="9">
        <v>22</v>
      </c>
      <c r="E427" s="3" t="s">
        <v>1075</v>
      </c>
      <c r="F427" s="22" t="s">
        <v>1090</v>
      </c>
    </row>
    <row r="428" spans="1:6">
      <c r="A428" s="21" t="s">
        <v>911</v>
      </c>
      <c r="B428" s="8" t="s">
        <v>47</v>
      </c>
      <c r="C428" s="8" t="s">
        <v>417</v>
      </c>
      <c r="D428" s="9">
        <v>23</v>
      </c>
      <c r="E428" s="3" t="s">
        <v>1081</v>
      </c>
      <c r="F428" s="22" t="s">
        <v>1097</v>
      </c>
    </row>
    <row r="429" spans="1:6">
      <c r="A429" s="21" t="s">
        <v>912</v>
      </c>
      <c r="B429" s="8" t="s">
        <v>47</v>
      </c>
      <c r="C429" s="8" t="s">
        <v>417</v>
      </c>
      <c r="D429" s="9">
        <v>24</v>
      </c>
      <c r="E429" s="3" t="s">
        <v>1085</v>
      </c>
      <c r="F429" s="22" t="s">
        <v>1101</v>
      </c>
    </row>
    <row r="430" spans="1:6">
      <c r="A430" s="21" t="s">
        <v>913</v>
      </c>
      <c r="B430" s="8" t="s">
        <v>244</v>
      </c>
      <c r="C430" s="8" t="s">
        <v>417</v>
      </c>
      <c r="D430" s="9">
        <v>25</v>
      </c>
      <c r="E430" s="3" t="s">
        <v>1084</v>
      </c>
      <c r="F430" s="22" t="s">
        <v>1090</v>
      </c>
    </row>
    <row r="431" spans="1:6">
      <c r="A431" s="21" t="s">
        <v>914</v>
      </c>
      <c r="B431" s="8" t="s">
        <v>380</v>
      </c>
      <c r="C431" s="8" t="s">
        <v>417</v>
      </c>
      <c r="D431" s="9">
        <v>26</v>
      </c>
      <c r="E431" s="3" t="s">
        <v>1080</v>
      </c>
      <c r="F431" s="22" t="s">
        <v>1090</v>
      </c>
    </row>
    <row r="432" spans="1:6">
      <c r="A432" s="21" t="s">
        <v>915</v>
      </c>
      <c r="B432" s="8" t="s">
        <v>246</v>
      </c>
      <c r="C432" s="8" t="s">
        <v>417</v>
      </c>
      <c r="D432" s="9">
        <v>27</v>
      </c>
      <c r="E432" s="3" t="s">
        <v>1074</v>
      </c>
      <c r="F432" s="22" t="s">
        <v>1091</v>
      </c>
    </row>
    <row r="433" spans="1:6">
      <c r="A433" s="21" t="s">
        <v>916</v>
      </c>
      <c r="B433" s="8" t="s">
        <v>381</v>
      </c>
      <c r="C433" s="8" t="s">
        <v>417</v>
      </c>
      <c r="D433" s="9">
        <v>28</v>
      </c>
      <c r="E433" s="3" t="s">
        <v>1078</v>
      </c>
      <c r="F433" s="22" t="s">
        <v>1094</v>
      </c>
    </row>
    <row r="434" spans="1:6">
      <c r="A434" s="21" t="s">
        <v>917</v>
      </c>
      <c r="B434" s="8" t="s">
        <v>63</v>
      </c>
      <c r="C434" s="8" t="s">
        <v>417</v>
      </c>
      <c r="D434" s="9">
        <v>29</v>
      </c>
      <c r="E434" s="3" t="s">
        <v>1083</v>
      </c>
      <c r="F434" s="22" t="s">
        <v>1098</v>
      </c>
    </row>
    <row r="435" spans="1:6">
      <c r="A435" s="21" t="s">
        <v>918</v>
      </c>
      <c r="B435" s="8" t="s">
        <v>382</v>
      </c>
      <c r="C435" s="8" t="s">
        <v>417</v>
      </c>
      <c r="D435" s="9">
        <v>30</v>
      </c>
      <c r="E435" s="3" t="s">
        <v>1077</v>
      </c>
      <c r="F435" s="22" t="s">
        <v>1093</v>
      </c>
    </row>
    <row r="436" spans="1:6">
      <c r="A436" s="21" t="s">
        <v>919</v>
      </c>
      <c r="B436" s="8" t="s">
        <v>253</v>
      </c>
      <c r="C436" s="8" t="s">
        <v>417</v>
      </c>
      <c r="D436" s="9">
        <v>31</v>
      </c>
      <c r="E436" s="3" t="s">
        <v>1077</v>
      </c>
      <c r="F436" s="22" t="s">
        <v>1093</v>
      </c>
    </row>
    <row r="437" spans="1:6">
      <c r="A437" s="21" t="s">
        <v>920</v>
      </c>
      <c r="B437" s="8" t="s">
        <v>383</v>
      </c>
      <c r="C437" s="8" t="s">
        <v>417</v>
      </c>
      <c r="D437" s="9">
        <v>32</v>
      </c>
      <c r="E437" s="3" t="s">
        <v>1083</v>
      </c>
      <c r="F437" s="22" t="s">
        <v>1090</v>
      </c>
    </row>
    <row r="438" spans="1:6">
      <c r="A438" s="21" t="s">
        <v>921</v>
      </c>
      <c r="B438" s="8" t="s">
        <v>384</v>
      </c>
      <c r="C438" s="8" t="s">
        <v>417</v>
      </c>
      <c r="D438" s="9">
        <v>33</v>
      </c>
      <c r="E438" s="3" t="s">
        <v>1081</v>
      </c>
      <c r="F438" s="22" t="s">
        <v>1096</v>
      </c>
    </row>
    <row r="439" spans="1:6">
      <c r="A439" s="21" t="s">
        <v>922</v>
      </c>
      <c r="B439" s="8" t="s">
        <v>385</v>
      </c>
      <c r="C439" s="8" t="s">
        <v>417</v>
      </c>
      <c r="D439" s="9">
        <v>34</v>
      </c>
      <c r="E439" s="3" t="s">
        <v>1085</v>
      </c>
      <c r="F439" s="22" t="s">
        <v>1090</v>
      </c>
    </row>
    <row r="440" spans="1:6">
      <c r="A440" s="21" t="s">
        <v>923</v>
      </c>
      <c r="B440" s="8" t="s">
        <v>386</v>
      </c>
      <c r="C440" s="8" t="s">
        <v>417</v>
      </c>
      <c r="D440" s="9">
        <v>35</v>
      </c>
      <c r="E440" s="3" t="s">
        <v>1078</v>
      </c>
      <c r="F440" s="22" t="s">
        <v>1095</v>
      </c>
    </row>
    <row r="441" spans="1:6">
      <c r="A441" s="21" t="s">
        <v>924</v>
      </c>
      <c r="B441" s="8" t="s">
        <v>254</v>
      </c>
      <c r="C441" s="8" t="s">
        <v>417</v>
      </c>
      <c r="D441" s="9">
        <v>36</v>
      </c>
      <c r="E441" s="3" t="s">
        <v>1078</v>
      </c>
      <c r="F441" s="22" t="s">
        <v>1091</v>
      </c>
    </row>
    <row r="442" spans="1:6">
      <c r="A442" s="21" t="s">
        <v>925</v>
      </c>
      <c r="B442" s="8" t="s">
        <v>255</v>
      </c>
      <c r="C442" s="8" t="s">
        <v>417</v>
      </c>
      <c r="D442" s="9">
        <v>37</v>
      </c>
      <c r="E442" s="3" t="s">
        <v>1075</v>
      </c>
      <c r="F442" s="22" t="s">
        <v>1090</v>
      </c>
    </row>
    <row r="443" spans="1:6">
      <c r="A443" s="21" t="s">
        <v>926</v>
      </c>
      <c r="B443" s="8" t="s">
        <v>256</v>
      </c>
      <c r="C443" s="8" t="s">
        <v>417</v>
      </c>
      <c r="D443" s="9">
        <v>38</v>
      </c>
      <c r="E443" s="3" t="s">
        <v>1083</v>
      </c>
      <c r="F443" s="22" t="s">
        <v>1099</v>
      </c>
    </row>
    <row r="444" spans="1:6">
      <c r="A444" s="21" t="s">
        <v>927</v>
      </c>
      <c r="B444" s="8" t="s">
        <v>256</v>
      </c>
      <c r="C444" s="8" t="s">
        <v>417</v>
      </c>
      <c r="D444" s="9">
        <v>39</v>
      </c>
      <c r="E444" s="3" t="s">
        <v>1079</v>
      </c>
      <c r="F444" s="22" t="s">
        <v>1091</v>
      </c>
    </row>
    <row r="445" spans="1:6">
      <c r="A445" s="21" t="s">
        <v>928</v>
      </c>
      <c r="B445" s="8" t="s">
        <v>260</v>
      </c>
      <c r="C445" s="8" t="s">
        <v>417</v>
      </c>
      <c r="D445" s="9">
        <v>40</v>
      </c>
      <c r="E445" s="3" t="s">
        <v>1086</v>
      </c>
      <c r="F445" s="22" t="s">
        <v>1102</v>
      </c>
    </row>
    <row r="446" spans="1:6">
      <c r="A446" s="21" t="s">
        <v>929</v>
      </c>
      <c r="B446" s="8" t="s">
        <v>387</v>
      </c>
      <c r="C446" s="8" t="s">
        <v>417</v>
      </c>
      <c r="D446" s="9">
        <v>41</v>
      </c>
      <c r="E446" s="3" t="s">
        <v>1076</v>
      </c>
      <c r="F446" s="22" t="s">
        <v>1092</v>
      </c>
    </row>
    <row r="447" spans="1:6">
      <c r="A447" s="21" t="s">
        <v>930</v>
      </c>
      <c r="B447" s="8" t="s">
        <v>261</v>
      </c>
      <c r="C447" s="8" t="s">
        <v>417</v>
      </c>
      <c r="D447" s="9">
        <v>42</v>
      </c>
      <c r="E447" s="3" t="s">
        <v>1087</v>
      </c>
      <c r="F447" s="22" t="s">
        <v>1103</v>
      </c>
    </row>
    <row r="448" spans="1:6">
      <c r="A448" s="21" t="s">
        <v>931</v>
      </c>
      <c r="B448" s="8" t="s">
        <v>388</v>
      </c>
      <c r="C448" s="8" t="s">
        <v>417</v>
      </c>
      <c r="D448" s="9">
        <v>43</v>
      </c>
      <c r="E448" s="3" t="s">
        <v>1087</v>
      </c>
      <c r="F448" s="22" t="s">
        <v>1104</v>
      </c>
    </row>
    <row r="449" spans="1:6">
      <c r="A449" s="21" t="s">
        <v>932</v>
      </c>
      <c r="B449" s="8" t="s">
        <v>389</v>
      </c>
      <c r="C449" s="8" t="s">
        <v>417</v>
      </c>
      <c r="D449" s="9">
        <v>20</v>
      </c>
      <c r="E449" s="3" t="s">
        <v>1074</v>
      </c>
      <c r="F449" s="22" t="s">
        <v>1090</v>
      </c>
    </row>
    <row r="450" spans="1:6">
      <c r="A450" s="21" t="s">
        <v>933</v>
      </c>
      <c r="B450" s="8" t="s">
        <v>264</v>
      </c>
      <c r="C450" s="8" t="s">
        <v>417</v>
      </c>
      <c r="D450" s="9">
        <v>21</v>
      </c>
      <c r="E450" s="3" t="s">
        <v>1083</v>
      </c>
      <c r="F450" s="22" t="s">
        <v>1091</v>
      </c>
    </row>
    <row r="451" spans="1:6">
      <c r="A451" s="21" t="s">
        <v>934</v>
      </c>
      <c r="B451" s="8" t="s">
        <v>60</v>
      </c>
      <c r="C451" s="8" t="s">
        <v>417</v>
      </c>
      <c r="D451" s="9">
        <v>22</v>
      </c>
      <c r="E451" s="3" t="s">
        <v>1075</v>
      </c>
      <c r="F451" s="22" t="s">
        <v>1090</v>
      </c>
    </row>
    <row r="452" spans="1:6">
      <c r="A452" s="21" t="s">
        <v>935</v>
      </c>
      <c r="B452" s="8" t="s">
        <v>267</v>
      </c>
      <c r="C452" s="8" t="s">
        <v>417</v>
      </c>
      <c r="D452" s="9">
        <v>23</v>
      </c>
      <c r="E452" s="3" t="s">
        <v>1081</v>
      </c>
      <c r="F452" s="22" t="s">
        <v>1097</v>
      </c>
    </row>
    <row r="453" spans="1:6">
      <c r="A453" s="21" t="s">
        <v>936</v>
      </c>
      <c r="B453" s="8" t="s">
        <v>269</v>
      </c>
      <c r="C453" s="8" t="s">
        <v>417</v>
      </c>
      <c r="D453" s="9">
        <v>24</v>
      </c>
      <c r="E453" s="3" t="s">
        <v>1085</v>
      </c>
      <c r="F453" s="22" t="s">
        <v>1101</v>
      </c>
    </row>
    <row r="454" spans="1:6">
      <c r="A454" s="21" t="s">
        <v>937</v>
      </c>
      <c r="B454" s="8" t="s">
        <v>390</v>
      </c>
      <c r="C454" s="8" t="s">
        <v>417</v>
      </c>
      <c r="D454" s="9">
        <v>25</v>
      </c>
      <c r="E454" s="3" t="s">
        <v>1084</v>
      </c>
      <c r="F454" s="22" t="s">
        <v>1090</v>
      </c>
    </row>
    <row r="455" spans="1:6">
      <c r="A455" s="21" t="s">
        <v>938</v>
      </c>
      <c r="B455" s="8" t="s">
        <v>391</v>
      </c>
      <c r="C455" s="8" t="s">
        <v>417</v>
      </c>
      <c r="D455" s="9">
        <v>26</v>
      </c>
      <c r="E455" s="3" t="s">
        <v>1080</v>
      </c>
      <c r="F455" s="22" t="s">
        <v>1090</v>
      </c>
    </row>
    <row r="456" spans="1:6">
      <c r="A456" s="21" t="s">
        <v>939</v>
      </c>
      <c r="B456" s="8" t="s">
        <v>271</v>
      </c>
      <c r="C456" s="8" t="s">
        <v>417</v>
      </c>
      <c r="D456" s="9">
        <v>27</v>
      </c>
      <c r="E456" s="3" t="s">
        <v>1074</v>
      </c>
      <c r="F456" s="22" t="s">
        <v>1091</v>
      </c>
    </row>
    <row r="457" spans="1:6">
      <c r="A457" s="21" t="s">
        <v>940</v>
      </c>
      <c r="B457" s="8" t="s">
        <v>392</v>
      </c>
      <c r="C457" s="8" t="s">
        <v>417</v>
      </c>
      <c r="D457" s="9">
        <v>28</v>
      </c>
      <c r="E457" s="3" t="s">
        <v>1078</v>
      </c>
      <c r="F457" s="22" t="s">
        <v>1094</v>
      </c>
    </row>
    <row r="458" spans="1:6">
      <c r="A458" s="21" t="s">
        <v>941</v>
      </c>
      <c r="B458" s="8" t="s">
        <v>393</v>
      </c>
      <c r="C458" s="8" t="s">
        <v>417</v>
      </c>
      <c r="D458" s="9">
        <v>29</v>
      </c>
      <c r="E458" s="3" t="s">
        <v>1083</v>
      </c>
      <c r="F458" s="22" t="s">
        <v>1098</v>
      </c>
    </row>
    <row r="459" spans="1:6">
      <c r="A459" s="21" t="s">
        <v>942</v>
      </c>
      <c r="B459" s="8" t="s">
        <v>394</v>
      </c>
      <c r="C459" s="8" t="s">
        <v>417</v>
      </c>
      <c r="D459" s="9">
        <v>30</v>
      </c>
      <c r="E459" s="3" t="s">
        <v>1077</v>
      </c>
      <c r="F459" s="22" t="s">
        <v>1093</v>
      </c>
    </row>
    <row r="460" spans="1:6">
      <c r="A460" s="21" t="s">
        <v>943</v>
      </c>
      <c r="B460" s="8" t="s">
        <v>395</v>
      </c>
      <c r="C460" s="8" t="s">
        <v>417</v>
      </c>
      <c r="D460" s="9">
        <v>31</v>
      </c>
      <c r="E460" s="3" t="s">
        <v>1077</v>
      </c>
      <c r="F460" s="22" t="s">
        <v>1093</v>
      </c>
    </row>
    <row r="461" spans="1:6">
      <c r="A461" s="21" t="s">
        <v>944</v>
      </c>
      <c r="B461" s="8" t="s">
        <v>275</v>
      </c>
      <c r="C461" s="8" t="s">
        <v>417</v>
      </c>
      <c r="D461" s="9">
        <v>32</v>
      </c>
      <c r="E461" s="3" t="s">
        <v>1083</v>
      </c>
      <c r="F461" s="22" t="s">
        <v>1090</v>
      </c>
    </row>
    <row r="462" spans="1:6">
      <c r="A462" s="21" t="s">
        <v>945</v>
      </c>
      <c r="B462" s="8" t="s">
        <v>396</v>
      </c>
      <c r="C462" s="8" t="s">
        <v>417</v>
      </c>
      <c r="D462" s="9">
        <v>33</v>
      </c>
      <c r="E462" s="3" t="s">
        <v>1081</v>
      </c>
      <c r="F462" s="22" t="s">
        <v>1096</v>
      </c>
    </row>
    <row r="463" spans="1:6">
      <c r="A463" s="21" t="s">
        <v>946</v>
      </c>
      <c r="B463" s="8" t="s">
        <v>397</v>
      </c>
      <c r="C463" s="8" t="s">
        <v>417</v>
      </c>
      <c r="D463" s="9">
        <v>34</v>
      </c>
      <c r="E463" s="3" t="s">
        <v>1085</v>
      </c>
      <c r="F463" s="22" t="s">
        <v>1090</v>
      </c>
    </row>
    <row r="464" spans="1:6">
      <c r="A464" s="21" t="s">
        <v>947</v>
      </c>
      <c r="B464" s="8" t="s">
        <v>398</v>
      </c>
      <c r="C464" s="8" t="s">
        <v>417</v>
      </c>
      <c r="D464" s="9">
        <v>36</v>
      </c>
      <c r="E464" s="3" t="s">
        <v>1078</v>
      </c>
      <c r="F464" s="22" t="s">
        <v>1091</v>
      </c>
    </row>
    <row r="465" spans="1:6">
      <c r="A465" s="21" t="s">
        <v>948</v>
      </c>
      <c r="B465" s="8" t="s">
        <v>118</v>
      </c>
      <c r="C465" s="8" t="s">
        <v>437</v>
      </c>
      <c r="D465" s="9">
        <v>37</v>
      </c>
      <c r="E465" s="3" t="s">
        <v>1075</v>
      </c>
      <c r="F465" s="22" t="s">
        <v>1090</v>
      </c>
    </row>
    <row r="466" spans="1:6">
      <c r="A466" s="21" t="s">
        <v>949</v>
      </c>
      <c r="B466" s="8" t="s">
        <v>285</v>
      </c>
      <c r="C466" s="8" t="s">
        <v>437</v>
      </c>
      <c r="D466" s="9">
        <v>38</v>
      </c>
      <c r="E466" s="3" t="s">
        <v>1083</v>
      </c>
      <c r="F466" s="22" t="s">
        <v>1099</v>
      </c>
    </row>
    <row r="467" spans="1:6">
      <c r="A467" s="21" t="s">
        <v>950</v>
      </c>
      <c r="B467" s="8" t="s">
        <v>109</v>
      </c>
      <c r="C467" s="8" t="s">
        <v>437</v>
      </c>
      <c r="D467" s="9">
        <v>39</v>
      </c>
      <c r="E467" s="3" t="s">
        <v>1079</v>
      </c>
      <c r="F467" s="22" t="s">
        <v>1091</v>
      </c>
    </row>
    <row r="468" spans="1:6">
      <c r="A468" s="21" t="s">
        <v>951</v>
      </c>
      <c r="B468" s="8" t="s">
        <v>286</v>
      </c>
      <c r="C468" s="8" t="s">
        <v>437</v>
      </c>
      <c r="D468" s="9">
        <v>40</v>
      </c>
      <c r="E468" s="3" t="s">
        <v>1086</v>
      </c>
      <c r="F468" s="22" t="s">
        <v>1102</v>
      </c>
    </row>
    <row r="469" spans="1:6">
      <c r="A469" s="21" t="s">
        <v>952</v>
      </c>
      <c r="B469" s="8" t="s">
        <v>143</v>
      </c>
      <c r="C469" s="8" t="s">
        <v>437</v>
      </c>
      <c r="D469" s="9">
        <v>41</v>
      </c>
      <c r="E469" s="3" t="s">
        <v>1076</v>
      </c>
      <c r="F469" s="22" t="s">
        <v>1092</v>
      </c>
    </row>
    <row r="470" spans="1:6">
      <c r="A470" s="21" t="s">
        <v>953</v>
      </c>
      <c r="B470" s="8" t="s">
        <v>288</v>
      </c>
      <c r="C470" s="8" t="s">
        <v>437</v>
      </c>
      <c r="D470" s="9">
        <v>42</v>
      </c>
      <c r="E470" s="3" t="s">
        <v>1087</v>
      </c>
      <c r="F470" s="22" t="s">
        <v>1103</v>
      </c>
    </row>
    <row r="471" spans="1:6">
      <c r="A471" s="21" t="s">
        <v>954</v>
      </c>
      <c r="B471" s="8" t="s">
        <v>125</v>
      </c>
      <c r="C471" s="8" t="s">
        <v>437</v>
      </c>
      <c r="D471" s="9">
        <v>43</v>
      </c>
      <c r="E471" s="3" t="s">
        <v>1087</v>
      </c>
      <c r="F471" s="22" t="s">
        <v>1104</v>
      </c>
    </row>
    <row r="472" spans="1:6">
      <c r="A472" s="21" t="s">
        <v>955</v>
      </c>
      <c r="B472" s="8" t="s">
        <v>113</v>
      </c>
      <c r="C472" s="8" t="s">
        <v>437</v>
      </c>
      <c r="D472" s="9">
        <v>20</v>
      </c>
      <c r="E472" s="3" t="s">
        <v>1074</v>
      </c>
      <c r="F472" s="22" t="s">
        <v>1090</v>
      </c>
    </row>
    <row r="473" spans="1:6">
      <c r="A473" s="21" t="s">
        <v>956</v>
      </c>
      <c r="B473" s="8" t="s">
        <v>144</v>
      </c>
      <c r="C473" s="8" t="s">
        <v>437</v>
      </c>
      <c r="D473" s="9">
        <v>21</v>
      </c>
      <c r="E473" s="3" t="s">
        <v>1083</v>
      </c>
      <c r="F473" s="22" t="s">
        <v>1091</v>
      </c>
    </row>
    <row r="474" spans="1:6">
      <c r="A474" s="21" t="s">
        <v>957</v>
      </c>
      <c r="B474" s="8" t="s">
        <v>115</v>
      </c>
      <c r="C474" s="8" t="s">
        <v>437</v>
      </c>
      <c r="D474" s="9">
        <v>22</v>
      </c>
      <c r="E474" s="3" t="s">
        <v>1075</v>
      </c>
      <c r="F474" s="22" t="s">
        <v>1090</v>
      </c>
    </row>
    <row r="475" spans="1:6">
      <c r="A475" s="21" t="s">
        <v>958</v>
      </c>
      <c r="B475" s="8" t="s">
        <v>132</v>
      </c>
      <c r="C475" s="8" t="s">
        <v>437</v>
      </c>
      <c r="D475" s="9">
        <v>23</v>
      </c>
      <c r="E475" s="3" t="s">
        <v>1081</v>
      </c>
      <c r="F475" s="22" t="s">
        <v>1097</v>
      </c>
    </row>
    <row r="476" spans="1:6">
      <c r="A476" s="21" t="s">
        <v>959</v>
      </c>
      <c r="B476" s="8" t="s">
        <v>147</v>
      </c>
      <c r="C476" s="8" t="s">
        <v>437</v>
      </c>
      <c r="D476" s="9">
        <v>24</v>
      </c>
      <c r="E476" s="3" t="s">
        <v>1085</v>
      </c>
      <c r="F476" s="22" t="s">
        <v>1101</v>
      </c>
    </row>
    <row r="477" spans="1:6">
      <c r="A477" s="21" t="s">
        <v>960</v>
      </c>
      <c r="B477" s="8" t="s">
        <v>95</v>
      </c>
      <c r="C477" s="8" t="s">
        <v>437</v>
      </c>
      <c r="D477" s="9">
        <v>25</v>
      </c>
      <c r="E477" s="3" t="s">
        <v>1084</v>
      </c>
      <c r="F477" s="22" t="s">
        <v>1090</v>
      </c>
    </row>
    <row r="478" spans="1:6">
      <c r="A478" s="21" t="s">
        <v>961</v>
      </c>
      <c r="B478" s="8" t="s">
        <v>148</v>
      </c>
      <c r="C478" s="8" t="s">
        <v>437</v>
      </c>
      <c r="D478" s="9">
        <v>26</v>
      </c>
      <c r="E478" s="3" t="s">
        <v>1080</v>
      </c>
      <c r="F478" s="22" t="s">
        <v>1090</v>
      </c>
    </row>
    <row r="479" spans="1:6">
      <c r="A479" s="21" t="s">
        <v>962</v>
      </c>
      <c r="B479" s="8" t="s">
        <v>151</v>
      </c>
      <c r="C479" s="8" t="s">
        <v>437</v>
      </c>
      <c r="D479" s="9">
        <v>27</v>
      </c>
      <c r="E479" s="3" t="s">
        <v>1074</v>
      </c>
      <c r="F479" s="22" t="s">
        <v>1091</v>
      </c>
    </row>
    <row r="480" spans="1:6">
      <c r="A480" s="21" t="s">
        <v>963</v>
      </c>
      <c r="B480" s="8" t="s">
        <v>124</v>
      </c>
      <c r="C480" s="8" t="s">
        <v>437</v>
      </c>
      <c r="D480" s="9">
        <v>28</v>
      </c>
      <c r="E480" s="3" t="s">
        <v>1078</v>
      </c>
      <c r="F480" s="22" t="s">
        <v>1094</v>
      </c>
    </row>
    <row r="481" spans="1:6">
      <c r="A481" s="21" t="s">
        <v>964</v>
      </c>
      <c r="B481" s="8" t="s">
        <v>301</v>
      </c>
      <c r="C481" s="8" t="s">
        <v>437</v>
      </c>
      <c r="D481" s="9">
        <v>29</v>
      </c>
      <c r="E481" s="3" t="s">
        <v>1083</v>
      </c>
      <c r="F481" s="22" t="s">
        <v>1098</v>
      </c>
    </row>
    <row r="482" spans="1:6">
      <c r="A482" s="21" t="s">
        <v>965</v>
      </c>
      <c r="B482" s="8" t="s">
        <v>131</v>
      </c>
      <c r="C482" s="8" t="s">
        <v>437</v>
      </c>
      <c r="D482" s="9">
        <v>30</v>
      </c>
      <c r="E482" s="3" t="s">
        <v>1077</v>
      </c>
      <c r="F482" s="22" t="s">
        <v>1093</v>
      </c>
    </row>
    <row r="483" spans="1:6">
      <c r="A483" s="21" t="s">
        <v>966</v>
      </c>
      <c r="B483" s="8" t="s">
        <v>93</v>
      </c>
      <c r="C483" s="8" t="s">
        <v>437</v>
      </c>
      <c r="D483" s="9">
        <v>31</v>
      </c>
      <c r="E483" s="3" t="s">
        <v>1077</v>
      </c>
      <c r="F483" s="22" t="s">
        <v>1093</v>
      </c>
    </row>
    <row r="484" spans="1:6">
      <c r="A484" s="21" t="s">
        <v>967</v>
      </c>
      <c r="B484" s="8" t="s">
        <v>156</v>
      </c>
      <c r="C484" s="8" t="s">
        <v>437</v>
      </c>
      <c r="D484" s="9">
        <v>32</v>
      </c>
      <c r="E484" s="3" t="s">
        <v>1083</v>
      </c>
      <c r="F484" s="22" t="s">
        <v>1090</v>
      </c>
    </row>
    <row r="485" spans="1:6">
      <c r="A485" s="21" t="s">
        <v>968</v>
      </c>
      <c r="B485" s="8" t="s">
        <v>157</v>
      </c>
      <c r="C485" s="8" t="s">
        <v>437</v>
      </c>
      <c r="D485" s="9">
        <v>33</v>
      </c>
      <c r="E485" s="3" t="s">
        <v>1081</v>
      </c>
      <c r="F485" s="22" t="s">
        <v>1096</v>
      </c>
    </row>
    <row r="486" spans="1:6">
      <c r="A486" s="21" t="s">
        <v>969</v>
      </c>
      <c r="B486" s="8" t="s">
        <v>158</v>
      </c>
      <c r="C486" s="8" t="s">
        <v>437</v>
      </c>
      <c r="D486" s="9">
        <v>34</v>
      </c>
      <c r="E486" s="3" t="s">
        <v>1085</v>
      </c>
      <c r="F486" s="22" t="s">
        <v>1090</v>
      </c>
    </row>
    <row r="487" spans="1:6">
      <c r="A487" s="21" t="s">
        <v>970</v>
      </c>
      <c r="B487" s="8" t="s">
        <v>159</v>
      </c>
      <c r="C487" s="8" t="s">
        <v>437</v>
      </c>
      <c r="D487" s="9">
        <v>35</v>
      </c>
      <c r="E487" s="3" t="s">
        <v>1078</v>
      </c>
      <c r="F487" s="22" t="s">
        <v>1095</v>
      </c>
    </row>
    <row r="488" spans="1:6">
      <c r="A488" s="21" t="s">
        <v>971</v>
      </c>
      <c r="B488" s="8" t="s">
        <v>161</v>
      </c>
      <c r="C488" s="8" t="s">
        <v>437</v>
      </c>
      <c r="D488" s="9">
        <v>36</v>
      </c>
      <c r="E488" s="3" t="s">
        <v>1078</v>
      </c>
      <c r="F488" s="22" t="s">
        <v>1091</v>
      </c>
    </row>
    <row r="489" spans="1:6">
      <c r="A489" s="21" t="s">
        <v>972</v>
      </c>
      <c r="B489" s="8" t="s">
        <v>111</v>
      </c>
      <c r="C489" s="8" t="s">
        <v>437</v>
      </c>
      <c r="D489" s="9">
        <v>37</v>
      </c>
      <c r="E489" s="3" t="s">
        <v>1075</v>
      </c>
      <c r="F489" s="22" t="s">
        <v>1090</v>
      </c>
    </row>
    <row r="490" spans="1:6">
      <c r="A490" s="21" t="s">
        <v>973</v>
      </c>
      <c r="B490" s="8" t="s">
        <v>164</v>
      </c>
      <c r="C490" s="8" t="s">
        <v>437</v>
      </c>
      <c r="D490" s="9">
        <v>38</v>
      </c>
      <c r="E490" s="3" t="s">
        <v>1083</v>
      </c>
      <c r="F490" s="22" t="s">
        <v>1099</v>
      </c>
    </row>
    <row r="491" spans="1:6">
      <c r="A491" s="21" t="s">
        <v>974</v>
      </c>
      <c r="B491" s="8" t="s">
        <v>165</v>
      </c>
      <c r="C491" s="8" t="s">
        <v>437</v>
      </c>
      <c r="D491" s="9">
        <v>39</v>
      </c>
      <c r="E491" s="3" t="s">
        <v>1079</v>
      </c>
      <c r="F491" s="22" t="s">
        <v>1091</v>
      </c>
    </row>
    <row r="492" spans="1:6">
      <c r="A492" s="21" t="s">
        <v>975</v>
      </c>
      <c r="B492" s="8" t="s">
        <v>117</v>
      </c>
      <c r="C492" s="8" t="s">
        <v>437</v>
      </c>
      <c r="D492" s="9">
        <v>40</v>
      </c>
      <c r="E492" s="3" t="s">
        <v>1086</v>
      </c>
      <c r="F492" s="22" t="s">
        <v>1102</v>
      </c>
    </row>
    <row r="493" spans="1:6">
      <c r="A493" s="21" t="s">
        <v>976</v>
      </c>
      <c r="B493" s="8" t="s">
        <v>167</v>
      </c>
      <c r="C493" s="8" t="s">
        <v>437</v>
      </c>
      <c r="D493" s="9">
        <v>41</v>
      </c>
      <c r="E493" s="3" t="s">
        <v>1076</v>
      </c>
      <c r="F493" s="22" t="s">
        <v>1092</v>
      </c>
    </row>
    <row r="494" spans="1:6">
      <c r="A494" s="21" t="s">
        <v>977</v>
      </c>
      <c r="B494" s="8" t="s">
        <v>129</v>
      </c>
      <c r="C494" s="8" t="s">
        <v>437</v>
      </c>
      <c r="D494" s="9">
        <v>42</v>
      </c>
      <c r="E494" s="3" t="s">
        <v>1087</v>
      </c>
      <c r="F494" s="22" t="s">
        <v>1103</v>
      </c>
    </row>
    <row r="495" spans="1:6">
      <c r="A495" s="21" t="s">
        <v>978</v>
      </c>
      <c r="B495" s="8" t="s">
        <v>134</v>
      </c>
      <c r="C495" s="8" t="s">
        <v>437</v>
      </c>
      <c r="D495" s="9">
        <v>43</v>
      </c>
      <c r="E495" s="3" t="s">
        <v>1087</v>
      </c>
      <c r="F495" s="22" t="s">
        <v>1104</v>
      </c>
    </row>
    <row r="496" spans="1:6">
      <c r="A496" s="21" t="s">
        <v>979</v>
      </c>
      <c r="B496" s="8" t="s">
        <v>120</v>
      </c>
      <c r="C496" s="8" t="s">
        <v>437</v>
      </c>
      <c r="D496" s="9">
        <v>20</v>
      </c>
      <c r="E496" s="3" t="s">
        <v>1074</v>
      </c>
      <c r="F496" s="22" t="s">
        <v>1090</v>
      </c>
    </row>
    <row r="497" spans="1:6">
      <c r="A497" s="21" t="s">
        <v>980</v>
      </c>
      <c r="B497" s="8" t="s">
        <v>88</v>
      </c>
      <c r="C497" s="8" t="s">
        <v>437</v>
      </c>
      <c r="D497" s="9">
        <v>21</v>
      </c>
      <c r="E497" s="3" t="s">
        <v>1083</v>
      </c>
      <c r="F497" s="22" t="s">
        <v>1091</v>
      </c>
    </row>
    <row r="498" spans="1:6">
      <c r="A498" s="21" t="s">
        <v>981</v>
      </c>
      <c r="B498" s="8" t="s">
        <v>318</v>
      </c>
      <c r="C498" s="8" t="s">
        <v>437</v>
      </c>
      <c r="D498" s="9">
        <v>22</v>
      </c>
      <c r="E498" s="3" t="s">
        <v>1075</v>
      </c>
      <c r="F498" s="22" t="s">
        <v>1090</v>
      </c>
    </row>
    <row r="499" spans="1:6">
      <c r="A499" s="21" t="s">
        <v>982</v>
      </c>
      <c r="B499" s="8" t="s">
        <v>172</v>
      </c>
      <c r="C499" s="8" t="s">
        <v>437</v>
      </c>
      <c r="D499" s="9">
        <v>23</v>
      </c>
      <c r="E499" s="3" t="s">
        <v>1081</v>
      </c>
      <c r="F499" s="22" t="s">
        <v>1097</v>
      </c>
    </row>
    <row r="500" spans="1:6">
      <c r="A500" s="21" t="s">
        <v>983</v>
      </c>
      <c r="B500" s="8" t="s">
        <v>173</v>
      </c>
      <c r="C500" s="8" t="s">
        <v>437</v>
      </c>
      <c r="D500" s="9">
        <v>24</v>
      </c>
      <c r="E500" s="3" t="s">
        <v>1085</v>
      </c>
      <c r="F500" s="22" t="s">
        <v>1101</v>
      </c>
    </row>
    <row r="501" spans="1:6">
      <c r="A501" s="21" t="s">
        <v>984</v>
      </c>
      <c r="B501" s="8" t="s">
        <v>174</v>
      </c>
      <c r="C501" s="8" t="s">
        <v>437</v>
      </c>
      <c r="D501" s="9">
        <v>25</v>
      </c>
      <c r="E501" s="3" t="s">
        <v>1084</v>
      </c>
      <c r="F501" s="22" t="s">
        <v>1090</v>
      </c>
    </row>
    <row r="502" spans="1:6">
      <c r="A502" s="21" t="s">
        <v>985</v>
      </c>
      <c r="B502" s="8" t="s">
        <v>175</v>
      </c>
      <c r="C502" s="8" t="s">
        <v>437</v>
      </c>
      <c r="D502" s="9">
        <v>26</v>
      </c>
      <c r="E502" s="3" t="s">
        <v>1080</v>
      </c>
      <c r="F502" s="22" t="s">
        <v>1090</v>
      </c>
    </row>
    <row r="503" spans="1:6">
      <c r="A503" s="21" t="s">
        <v>986</v>
      </c>
      <c r="B503" s="8" t="s">
        <v>110</v>
      </c>
      <c r="C503" s="8" t="s">
        <v>437</v>
      </c>
      <c r="D503" s="9">
        <v>27</v>
      </c>
      <c r="E503" s="3" t="s">
        <v>1074</v>
      </c>
      <c r="F503" s="22" t="s">
        <v>1091</v>
      </c>
    </row>
    <row r="504" spans="1:6">
      <c r="A504" s="21" t="s">
        <v>987</v>
      </c>
      <c r="B504" s="8" t="s">
        <v>85</v>
      </c>
      <c r="C504" s="8" t="s">
        <v>437</v>
      </c>
      <c r="D504" s="9">
        <v>28</v>
      </c>
      <c r="E504" s="3" t="s">
        <v>1078</v>
      </c>
      <c r="F504" s="22" t="s">
        <v>1094</v>
      </c>
    </row>
    <row r="505" spans="1:6">
      <c r="A505" s="21" t="s">
        <v>988</v>
      </c>
      <c r="B505" s="8" t="s">
        <v>177</v>
      </c>
      <c r="C505" s="8" t="s">
        <v>437</v>
      </c>
      <c r="D505" s="9">
        <v>29</v>
      </c>
      <c r="E505" s="3" t="s">
        <v>1083</v>
      </c>
      <c r="F505" s="22" t="s">
        <v>1098</v>
      </c>
    </row>
    <row r="506" spans="1:6">
      <c r="A506" s="21" t="s">
        <v>989</v>
      </c>
      <c r="B506" s="8" t="s">
        <v>91</v>
      </c>
      <c r="C506" s="8" t="s">
        <v>437</v>
      </c>
      <c r="D506" s="9">
        <v>30</v>
      </c>
      <c r="E506" s="3" t="s">
        <v>1077</v>
      </c>
      <c r="F506" s="22" t="s">
        <v>1093</v>
      </c>
    </row>
    <row r="507" spans="1:6">
      <c r="A507" s="21" t="s">
        <v>990</v>
      </c>
      <c r="B507" s="8" t="s">
        <v>179</v>
      </c>
      <c r="C507" s="8" t="s">
        <v>437</v>
      </c>
      <c r="D507" s="9">
        <v>31</v>
      </c>
      <c r="E507" s="3" t="s">
        <v>1077</v>
      </c>
      <c r="F507" s="22" t="s">
        <v>1093</v>
      </c>
    </row>
    <row r="508" spans="1:6">
      <c r="A508" s="21" t="s">
        <v>991</v>
      </c>
      <c r="B508" s="8" t="s">
        <v>123</v>
      </c>
      <c r="C508" s="8" t="s">
        <v>437</v>
      </c>
      <c r="D508" s="9">
        <v>32</v>
      </c>
      <c r="E508" s="3" t="s">
        <v>1083</v>
      </c>
      <c r="F508" s="22" t="s">
        <v>1090</v>
      </c>
    </row>
    <row r="509" spans="1:6">
      <c r="A509" s="21" t="s">
        <v>992</v>
      </c>
      <c r="B509" s="8" t="s">
        <v>180</v>
      </c>
      <c r="C509" s="8" t="s">
        <v>437</v>
      </c>
      <c r="D509" s="9">
        <v>33</v>
      </c>
      <c r="E509" s="3" t="s">
        <v>1081</v>
      </c>
      <c r="F509" s="22" t="s">
        <v>1096</v>
      </c>
    </row>
    <row r="510" spans="1:6">
      <c r="A510" s="21" t="s">
        <v>993</v>
      </c>
      <c r="B510" s="8" t="s">
        <v>181</v>
      </c>
      <c r="C510" s="8" t="s">
        <v>437</v>
      </c>
      <c r="D510" s="9">
        <v>34</v>
      </c>
      <c r="E510" s="3" t="s">
        <v>1085</v>
      </c>
      <c r="F510" s="22" t="s">
        <v>1090</v>
      </c>
    </row>
    <row r="511" spans="1:6">
      <c r="A511" s="21" t="s">
        <v>994</v>
      </c>
      <c r="B511" s="8" t="s">
        <v>182</v>
      </c>
      <c r="C511" s="8" t="s">
        <v>437</v>
      </c>
      <c r="D511" s="9">
        <v>35</v>
      </c>
      <c r="E511" s="3" t="s">
        <v>1078</v>
      </c>
      <c r="F511" s="22" t="s">
        <v>1095</v>
      </c>
    </row>
    <row r="512" spans="1:6">
      <c r="A512" s="21" t="s">
        <v>995</v>
      </c>
      <c r="B512" s="8" t="s">
        <v>122</v>
      </c>
      <c r="C512" s="8" t="s">
        <v>437</v>
      </c>
      <c r="D512" s="9">
        <v>36</v>
      </c>
      <c r="E512" s="3" t="s">
        <v>1078</v>
      </c>
      <c r="F512" s="22" t="s">
        <v>1091</v>
      </c>
    </row>
    <row r="513" spans="1:6">
      <c r="A513" s="21" t="s">
        <v>996</v>
      </c>
      <c r="B513" s="8" t="s">
        <v>187</v>
      </c>
      <c r="C513" s="8" t="s">
        <v>437</v>
      </c>
      <c r="D513" s="9">
        <v>38</v>
      </c>
      <c r="E513" s="3" t="s">
        <v>1083</v>
      </c>
      <c r="F513" s="22" t="s">
        <v>1099</v>
      </c>
    </row>
    <row r="514" spans="1:6">
      <c r="A514" s="21" t="s">
        <v>997</v>
      </c>
      <c r="B514" s="8" t="s">
        <v>112</v>
      </c>
      <c r="C514" s="8" t="s">
        <v>437</v>
      </c>
      <c r="D514" s="9">
        <v>39</v>
      </c>
      <c r="E514" s="3" t="s">
        <v>1079</v>
      </c>
      <c r="F514" s="22" t="s">
        <v>1091</v>
      </c>
    </row>
    <row r="515" spans="1:6">
      <c r="A515" s="21" t="s">
        <v>998</v>
      </c>
      <c r="B515" s="8" t="s">
        <v>188</v>
      </c>
      <c r="C515" s="8" t="s">
        <v>437</v>
      </c>
      <c r="D515" s="9">
        <v>40</v>
      </c>
      <c r="E515" s="3" t="s">
        <v>1086</v>
      </c>
      <c r="F515" s="22" t="s">
        <v>1102</v>
      </c>
    </row>
    <row r="516" spans="1:6">
      <c r="A516" s="21" t="s">
        <v>999</v>
      </c>
      <c r="B516" s="8" t="s">
        <v>133</v>
      </c>
      <c r="C516" s="8" t="s">
        <v>437</v>
      </c>
      <c r="D516" s="9">
        <v>41</v>
      </c>
      <c r="E516" s="3" t="s">
        <v>1076</v>
      </c>
      <c r="F516" s="22" t="s">
        <v>1092</v>
      </c>
    </row>
    <row r="517" spans="1:6">
      <c r="A517" s="21" t="s">
        <v>1000</v>
      </c>
      <c r="B517" s="8" t="s">
        <v>192</v>
      </c>
      <c r="C517" s="8" t="s">
        <v>437</v>
      </c>
      <c r="D517" s="9">
        <v>42</v>
      </c>
      <c r="E517" s="3" t="s">
        <v>1087</v>
      </c>
      <c r="F517" s="22" t="s">
        <v>1103</v>
      </c>
    </row>
    <row r="518" spans="1:6">
      <c r="A518" s="21" t="s">
        <v>1001</v>
      </c>
      <c r="B518" s="8" t="s">
        <v>135</v>
      </c>
      <c r="C518" s="8" t="s">
        <v>437</v>
      </c>
      <c r="D518" s="9">
        <v>43</v>
      </c>
      <c r="E518" s="3" t="s">
        <v>1087</v>
      </c>
      <c r="F518" s="22" t="s">
        <v>1104</v>
      </c>
    </row>
    <row r="519" spans="1:6">
      <c r="A519" s="21" t="s">
        <v>1002</v>
      </c>
      <c r="B519" s="8" t="s">
        <v>194</v>
      </c>
      <c r="C519" s="8" t="s">
        <v>437</v>
      </c>
      <c r="D519" s="9">
        <v>20</v>
      </c>
      <c r="E519" s="3" t="s">
        <v>1074</v>
      </c>
      <c r="F519" s="22" t="s">
        <v>1090</v>
      </c>
    </row>
    <row r="520" spans="1:6">
      <c r="A520" s="21" t="s">
        <v>1003</v>
      </c>
      <c r="B520" s="8" t="s">
        <v>195</v>
      </c>
      <c r="C520" s="8" t="s">
        <v>437</v>
      </c>
      <c r="D520" s="9">
        <v>21</v>
      </c>
      <c r="E520" s="3" t="s">
        <v>1083</v>
      </c>
      <c r="F520" s="22" t="s">
        <v>1091</v>
      </c>
    </row>
    <row r="521" spans="1:6">
      <c r="A521" s="21" t="s">
        <v>1004</v>
      </c>
      <c r="B521" s="8" t="s">
        <v>137</v>
      </c>
      <c r="C521" s="8" t="s">
        <v>417</v>
      </c>
      <c r="D521" s="9">
        <v>22</v>
      </c>
      <c r="E521" s="3" t="s">
        <v>1075</v>
      </c>
      <c r="F521" s="22" t="s">
        <v>1090</v>
      </c>
    </row>
    <row r="522" spans="1:6">
      <c r="A522" s="21" t="s">
        <v>1005</v>
      </c>
      <c r="B522" s="8" t="s">
        <v>18</v>
      </c>
      <c r="C522" s="8" t="s">
        <v>417</v>
      </c>
      <c r="D522" s="9">
        <v>23</v>
      </c>
      <c r="E522" s="3" t="s">
        <v>1081</v>
      </c>
      <c r="F522" s="22" t="s">
        <v>1097</v>
      </c>
    </row>
    <row r="523" spans="1:6">
      <c r="A523" s="21" t="s">
        <v>1006</v>
      </c>
      <c r="B523" s="8" t="s">
        <v>199</v>
      </c>
      <c r="C523" s="8" t="s">
        <v>417</v>
      </c>
      <c r="D523" s="9">
        <v>24</v>
      </c>
      <c r="E523" s="3" t="s">
        <v>1085</v>
      </c>
      <c r="F523" s="22" t="s">
        <v>1101</v>
      </c>
    </row>
    <row r="524" spans="1:6">
      <c r="A524" s="21" t="s">
        <v>1007</v>
      </c>
      <c r="B524" s="8" t="s">
        <v>200</v>
      </c>
      <c r="C524" s="8" t="s">
        <v>417</v>
      </c>
      <c r="D524" s="9">
        <v>25</v>
      </c>
      <c r="E524" s="3" t="s">
        <v>1084</v>
      </c>
      <c r="F524" s="22" t="s">
        <v>1090</v>
      </c>
    </row>
    <row r="525" spans="1:6">
      <c r="A525" s="21" t="s">
        <v>1008</v>
      </c>
      <c r="B525" s="8" t="s">
        <v>25</v>
      </c>
      <c r="C525" s="8" t="s">
        <v>417</v>
      </c>
      <c r="D525" s="9">
        <v>26</v>
      </c>
      <c r="E525" s="3" t="s">
        <v>1080</v>
      </c>
      <c r="F525" s="22" t="s">
        <v>1090</v>
      </c>
    </row>
    <row r="526" spans="1:6">
      <c r="A526" s="21" t="s">
        <v>1009</v>
      </c>
      <c r="B526" s="8" t="s">
        <v>205</v>
      </c>
      <c r="C526" s="8" t="s">
        <v>417</v>
      </c>
      <c r="D526" s="9">
        <v>27</v>
      </c>
      <c r="E526" s="3" t="s">
        <v>1074</v>
      </c>
      <c r="F526" s="22" t="s">
        <v>1091</v>
      </c>
    </row>
    <row r="527" spans="1:6">
      <c r="A527" s="21" t="s">
        <v>1010</v>
      </c>
      <c r="B527" s="8" t="s">
        <v>207</v>
      </c>
      <c r="C527" s="8" t="s">
        <v>417</v>
      </c>
      <c r="D527" s="9">
        <v>28</v>
      </c>
      <c r="E527" s="3" t="s">
        <v>1078</v>
      </c>
      <c r="F527" s="22" t="s">
        <v>1094</v>
      </c>
    </row>
    <row r="528" spans="1:6">
      <c r="A528" s="21" t="s">
        <v>1011</v>
      </c>
      <c r="B528" s="8" t="s">
        <v>55</v>
      </c>
      <c r="C528" s="8" t="s">
        <v>417</v>
      </c>
      <c r="D528" s="9">
        <v>29</v>
      </c>
      <c r="E528" s="3" t="s">
        <v>1083</v>
      </c>
      <c r="F528" s="22" t="s">
        <v>1098</v>
      </c>
    </row>
    <row r="529" spans="1:6">
      <c r="A529" s="21" t="s">
        <v>1012</v>
      </c>
      <c r="B529" s="8" t="s">
        <v>221</v>
      </c>
      <c r="C529" s="8" t="s">
        <v>417</v>
      </c>
      <c r="D529" s="9">
        <v>30</v>
      </c>
      <c r="E529" s="3" t="s">
        <v>1077</v>
      </c>
      <c r="F529" s="22" t="s">
        <v>1093</v>
      </c>
    </row>
    <row r="530" spans="1:6">
      <c r="A530" s="21" t="s">
        <v>1013</v>
      </c>
      <c r="B530" s="8" t="s">
        <v>72</v>
      </c>
      <c r="C530" s="8" t="s">
        <v>417</v>
      </c>
      <c r="D530" s="9">
        <v>31</v>
      </c>
      <c r="E530" s="3" t="s">
        <v>1077</v>
      </c>
      <c r="F530" s="22" t="s">
        <v>1093</v>
      </c>
    </row>
    <row r="531" spans="1:6">
      <c r="A531" s="21" t="s">
        <v>1014</v>
      </c>
      <c r="B531" s="8" t="s">
        <v>228</v>
      </c>
      <c r="C531" s="8" t="s">
        <v>417</v>
      </c>
      <c r="D531" s="9">
        <v>32</v>
      </c>
      <c r="E531" s="3" t="s">
        <v>1083</v>
      </c>
      <c r="F531" s="22" t="s">
        <v>1090</v>
      </c>
    </row>
    <row r="532" spans="1:6">
      <c r="A532" s="21" t="s">
        <v>1015</v>
      </c>
      <c r="B532" s="8" t="s">
        <v>231</v>
      </c>
      <c r="C532" s="8" t="s">
        <v>417</v>
      </c>
      <c r="D532" s="9">
        <v>33</v>
      </c>
      <c r="E532" s="3" t="s">
        <v>1081</v>
      </c>
      <c r="F532" s="22" t="s">
        <v>1096</v>
      </c>
    </row>
    <row r="533" spans="1:6">
      <c r="A533" s="21" t="s">
        <v>1016</v>
      </c>
      <c r="B533" s="8" t="s">
        <v>237</v>
      </c>
      <c r="C533" s="8" t="s">
        <v>417</v>
      </c>
      <c r="D533" s="9">
        <v>34</v>
      </c>
      <c r="E533" s="3" t="s">
        <v>1085</v>
      </c>
      <c r="F533" s="22" t="s">
        <v>1090</v>
      </c>
    </row>
    <row r="534" spans="1:6">
      <c r="A534" s="21" t="s">
        <v>1017</v>
      </c>
      <c r="B534" s="8" t="s">
        <v>240</v>
      </c>
      <c r="C534" s="8" t="s">
        <v>417</v>
      </c>
      <c r="D534" s="9">
        <v>35</v>
      </c>
      <c r="E534" s="3" t="s">
        <v>1078</v>
      </c>
      <c r="F534" s="22" t="s">
        <v>1095</v>
      </c>
    </row>
    <row r="535" spans="1:6">
      <c r="A535" s="21" t="s">
        <v>1018</v>
      </c>
      <c r="B535" s="8" t="s">
        <v>59</v>
      </c>
      <c r="C535" s="8" t="s">
        <v>417</v>
      </c>
      <c r="D535" s="9">
        <v>36</v>
      </c>
      <c r="E535" s="3" t="s">
        <v>1078</v>
      </c>
      <c r="F535" s="22" t="s">
        <v>1091</v>
      </c>
    </row>
    <row r="536" spans="1:6">
      <c r="A536" s="21" t="s">
        <v>1019</v>
      </c>
      <c r="B536" s="8" t="s">
        <v>38</v>
      </c>
      <c r="C536" s="8" t="s">
        <v>417</v>
      </c>
      <c r="D536" s="9">
        <v>37</v>
      </c>
      <c r="E536" s="3" t="s">
        <v>1075</v>
      </c>
      <c r="F536" s="22" t="s">
        <v>1090</v>
      </c>
    </row>
    <row r="537" spans="1:6">
      <c r="A537" s="21" t="s">
        <v>1020</v>
      </c>
      <c r="B537" s="8" t="s">
        <v>47</v>
      </c>
      <c r="C537" s="8" t="s">
        <v>417</v>
      </c>
      <c r="D537" s="9">
        <v>38</v>
      </c>
      <c r="E537" s="3" t="s">
        <v>1083</v>
      </c>
      <c r="F537" s="22" t="s">
        <v>1099</v>
      </c>
    </row>
    <row r="538" spans="1:6">
      <c r="A538" s="21" t="s">
        <v>1021</v>
      </c>
      <c r="B538" s="8" t="s">
        <v>29</v>
      </c>
      <c r="C538" s="8" t="s">
        <v>417</v>
      </c>
      <c r="D538" s="9">
        <v>39</v>
      </c>
      <c r="E538" s="3" t="s">
        <v>1079</v>
      </c>
      <c r="F538" s="22" t="s">
        <v>1091</v>
      </c>
    </row>
    <row r="539" spans="1:6">
      <c r="A539" s="21" t="s">
        <v>1022</v>
      </c>
      <c r="B539" s="8" t="s">
        <v>246</v>
      </c>
      <c r="C539" s="8" t="s">
        <v>417</v>
      </c>
      <c r="D539" s="9">
        <v>40</v>
      </c>
      <c r="E539" s="3" t="s">
        <v>1086</v>
      </c>
      <c r="F539" s="22" t="s">
        <v>1102</v>
      </c>
    </row>
    <row r="540" spans="1:6">
      <c r="A540" s="21" t="s">
        <v>1023</v>
      </c>
      <c r="B540" s="8" t="s">
        <v>253</v>
      </c>
      <c r="C540" s="8" t="s">
        <v>417</v>
      </c>
      <c r="D540" s="9">
        <v>41</v>
      </c>
      <c r="E540" s="3" t="s">
        <v>1076</v>
      </c>
      <c r="F540" s="22" t="s">
        <v>1092</v>
      </c>
    </row>
    <row r="541" spans="1:6">
      <c r="A541" s="21" t="s">
        <v>1024</v>
      </c>
      <c r="B541" s="8" t="s">
        <v>41</v>
      </c>
      <c r="C541" s="8" t="s">
        <v>417</v>
      </c>
      <c r="D541" s="9">
        <v>42</v>
      </c>
      <c r="E541" s="3" t="s">
        <v>1087</v>
      </c>
      <c r="F541" s="22" t="s">
        <v>1103</v>
      </c>
    </row>
    <row r="542" spans="1:6">
      <c r="A542" s="21" t="s">
        <v>1025</v>
      </c>
      <c r="B542" s="8" t="s">
        <v>254</v>
      </c>
      <c r="C542" s="8" t="s">
        <v>417</v>
      </c>
      <c r="D542" s="9">
        <v>43</v>
      </c>
      <c r="E542" s="3" t="s">
        <v>1087</v>
      </c>
      <c r="F542" s="22" t="s">
        <v>1104</v>
      </c>
    </row>
    <row r="543" spans="1:6">
      <c r="A543" s="21" t="s">
        <v>1026</v>
      </c>
      <c r="B543" s="8" t="s">
        <v>259</v>
      </c>
      <c r="C543" s="8" t="s">
        <v>417</v>
      </c>
      <c r="D543" s="9">
        <v>20</v>
      </c>
      <c r="E543" s="3" t="s">
        <v>1074</v>
      </c>
      <c r="F543" s="22" t="s">
        <v>1090</v>
      </c>
    </row>
    <row r="544" spans="1:6">
      <c r="A544" s="21" t="s">
        <v>1027</v>
      </c>
      <c r="B544" s="8" t="s">
        <v>260</v>
      </c>
      <c r="C544" s="8" t="s">
        <v>417</v>
      </c>
      <c r="D544" s="9">
        <v>21</v>
      </c>
      <c r="E544" s="3" t="s">
        <v>1083</v>
      </c>
      <c r="F544" s="22" t="s">
        <v>1091</v>
      </c>
    </row>
    <row r="545" spans="1:6">
      <c r="A545" s="21" t="s">
        <v>1028</v>
      </c>
      <c r="B545" s="8" t="s">
        <v>261</v>
      </c>
      <c r="C545" s="8" t="s">
        <v>417</v>
      </c>
      <c r="D545" s="9">
        <v>22</v>
      </c>
      <c r="E545" s="3" t="s">
        <v>1075</v>
      </c>
      <c r="F545" s="22" t="s">
        <v>1090</v>
      </c>
    </row>
    <row r="546" spans="1:6">
      <c r="A546" s="21" t="s">
        <v>1029</v>
      </c>
      <c r="B546" s="8" t="s">
        <v>263</v>
      </c>
      <c r="C546" s="8" t="s">
        <v>417</v>
      </c>
      <c r="D546" s="9">
        <v>23</v>
      </c>
      <c r="E546" s="3" t="s">
        <v>1081</v>
      </c>
      <c r="F546" s="22" t="s">
        <v>1097</v>
      </c>
    </row>
    <row r="547" spans="1:6">
      <c r="A547" s="21" t="s">
        <v>1030</v>
      </c>
      <c r="B547" s="8" t="s">
        <v>264</v>
      </c>
      <c r="C547" s="8" t="s">
        <v>417</v>
      </c>
      <c r="D547" s="9">
        <v>24</v>
      </c>
      <c r="E547" s="3" t="s">
        <v>1085</v>
      </c>
      <c r="F547" s="22" t="s">
        <v>1101</v>
      </c>
    </row>
    <row r="548" spans="1:6">
      <c r="A548" s="21" t="s">
        <v>1031</v>
      </c>
      <c r="B548" s="8" t="s">
        <v>35</v>
      </c>
      <c r="C548" s="8" t="s">
        <v>417</v>
      </c>
      <c r="D548" s="9">
        <v>25</v>
      </c>
      <c r="E548" s="3" t="s">
        <v>1084</v>
      </c>
      <c r="F548" s="22" t="s">
        <v>1090</v>
      </c>
    </row>
    <row r="549" spans="1:6">
      <c r="A549" s="21" t="s">
        <v>1032</v>
      </c>
      <c r="B549" s="8" t="s">
        <v>268</v>
      </c>
      <c r="C549" s="8" t="s">
        <v>417</v>
      </c>
      <c r="D549" s="9">
        <v>26</v>
      </c>
      <c r="E549" s="3" t="s">
        <v>1080</v>
      </c>
      <c r="F549" s="22" t="s">
        <v>1090</v>
      </c>
    </row>
    <row r="550" spans="1:6">
      <c r="A550" s="21" t="s">
        <v>1033</v>
      </c>
      <c r="B550" s="8" t="s">
        <v>269</v>
      </c>
      <c r="C550" s="8" t="s">
        <v>417</v>
      </c>
      <c r="D550" s="9">
        <v>27</v>
      </c>
      <c r="E550" s="3" t="s">
        <v>1074</v>
      </c>
      <c r="F550" s="22" t="s">
        <v>1091</v>
      </c>
    </row>
    <row r="551" spans="1:6">
      <c r="A551" s="21" t="s">
        <v>1034</v>
      </c>
      <c r="B551" s="8" t="s">
        <v>71</v>
      </c>
      <c r="C551" s="8" t="s">
        <v>417</v>
      </c>
      <c r="D551" s="9">
        <v>28</v>
      </c>
      <c r="E551" s="3" t="s">
        <v>1078</v>
      </c>
      <c r="F551" s="22" t="s">
        <v>1094</v>
      </c>
    </row>
    <row r="552" spans="1:6">
      <c r="A552" s="21" t="s">
        <v>1035</v>
      </c>
      <c r="B552" s="8" t="s">
        <v>270</v>
      </c>
      <c r="C552" s="8" t="s">
        <v>417</v>
      </c>
      <c r="D552" s="9">
        <v>29</v>
      </c>
      <c r="E552" s="3" t="s">
        <v>1083</v>
      </c>
      <c r="F552" s="22" t="s">
        <v>1098</v>
      </c>
    </row>
    <row r="553" spans="1:6">
      <c r="A553" s="21" t="s">
        <v>1036</v>
      </c>
      <c r="B553" s="8" t="s">
        <v>281</v>
      </c>
      <c r="C553" s="8" t="s">
        <v>417</v>
      </c>
      <c r="D553" s="9">
        <v>30</v>
      </c>
      <c r="E553" s="3" t="s">
        <v>1077</v>
      </c>
      <c r="F553" s="22" t="s">
        <v>1093</v>
      </c>
    </row>
    <row r="554" spans="1:6">
      <c r="A554" s="21" t="s">
        <v>1037</v>
      </c>
      <c r="B554" s="8" t="s">
        <v>399</v>
      </c>
      <c r="C554" s="8" t="s">
        <v>437</v>
      </c>
      <c r="D554" s="9">
        <v>31</v>
      </c>
      <c r="E554" s="3" t="s">
        <v>1077</v>
      </c>
      <c r="F554" s="22" t="s">
        <v>1093</v>
      </c>
    </row>
    <row r="555" spans="1:6">
      <c r="A555" s="21" t="s">
        <v>1038</v>
      </c>
      <c r="B555" s="8" t="s">
        <v>400</v>
      </c>
      <c r="C555" s="8" t="s">
        <v>437</v>
      </c>
      <c r="D555" s="9">
        <v>32</v>
      </c>
      <c r="E555" s="3" t="s">
        <v>1083</v>
      </c>
      <c r="F555" s="22" t="s">
        <v>1090</v>
      </c>
    </row>
    <row r="556" spans="1:6">
      <c r="A556" s="21" t="s">
        <v>1039</v>
      </c>
      <c r="B556" s="8" t="s">
        <v>401</v>
      </c>
      <c r="C556" s="8" t="s">
        <v>437</v>
      </c>
      <c r="D556" s="9">
        <v>33</v>
      </c>
      <c r="E556" s="3" t="s">
        <v>1081</v>
      </c>
      <c r="F556" s="22" t="s">
        <v>1096</v>
      </c>
    </row>
    <row r="557" spans="1:6">
      <c r="A557" s="21" t="s">
        <v>1040</v>
      </c>
      <c r="B557" s="8" t="s">
        <v>402</v>
      </c>
      <c r="C557" s="8" t="s">
        <v>437</v>
      </c>
      <c r="D557" s="9">
        <v>34</v>
      </c>
      <c r="E557" s="3" t="s">
        <v>1085</v>
      </c>
      <c r="F557" s="22" t="s">
        <v>1090</v>
      </c>
    </row>
    <row r="558" spans="1:6">
      <c r="A558" s="21" t="s">
        <v>1041</v>
      </c>
      <c r="B558" s="8" t="s">
        <v>403</v>
      </c>
      <c r="C558" s="8" t="s">
        <v>437</v>
      </c>
      <c r="D558" s="9">
        <v>35</v>
      </c>
      <c r="E558" s="3" t="s">
        <v>1078</v>
      </c>
      <c r="F558" s="22" t="s">
        <v>1095</v>
      </c>
    </row>
    <row r="559" spans="1:6">
      <c r="A559" s="21" t="s">
        <v>1042</v>
      </c>
      <c r="B559" s="8" t="s">
        <v>404</v>
      </c>
      <c r="C559" s="8" t="s">
        <v>437</v>
      </c>
      <c r="D559" s="9">
        <v>36</v>
      </c>
      <c r="E559" s="3" t="s">
        <v>1078</v>
      </c>
      <c r="F559" s="22" t="s">
        <v>1091</v>
      </c>
    </row>
    <row r="560" spans="1:6">
      <c r="A560" s="21" t="s">
        <v>1043</v>
      </c>
      <c r="B560" s="8" t="s">
        <v>405</v>
      </c>
      <c r="C560" s="8" t="s">
        <v>437</v>
      </c>
      <c r="D560" s="9">
        <v>37</v>
      </c>
      <c r="E560" s="3" t="s">
        <v>1075</v>
      </c>
      <c r="F560" s="22" t="s">
        <v>1090</v>
      </c>
    </row>
    <row r="561" spans="1:6">
      <c r="A561" s="21" t="s">
        <v>1044</v>
      </c>
      <c r="B561" s="8" t="s">
        <v>406</v>
      </c>
      <c r="C561" s="8" t="s">
        <v>437</v>
      </c>
      <c r="D561" s="9">
        <v>38</v>
      </c>
      <c r="E561" s="3" t="s">
        <v>1083</v>
      </c>
      <c r="F561" s="22" t="s">
        <v>1099</v>
      </c>
    </row>
    <row r="562" spans="1:6">
      <c r="A562" s="21" t="s">
        <v>1045</v>
      </c>
      <c r="B562" s="8" t="s">
        <v>407</v>
      </c>
      <c r="C562" s="8" t="s">
        <v>437</v>
      </c>
      <c r="D562" s="9">
        <v>39</v>
      </c>
      <c r="E562" s="3" t="s">
        <v>1079</v>
      </c>
      <c r="F562" s="22" t="s">
        <v>1091</v>
      </c>
    </row>
    <row r="563" spans="1:6">
      <c r="A563" s="21" t="s">
        <v>1046</v>
      </c>
      <c r="B563" s="8" t="s">
        <v>408</v>
      </c>
      <c r="C563" s="8" t="s">
        <v>437</v>
      </c>
      <c r="D563" s="9">
        <v>40</v>
      </c>
      <c r="E563" s="3" t="s">
        <v>1086</v>
      </c>
      <c r="F563" s="22" t="s">
        <v>1102</v>
      </c>
    </row>
    <row r="564" spans="1:6">
      <c r="A564" s="21" t="s">
        <v>1047</v>
      </c>
      <c r="B564" s="8" t="s">
        <v>409</v>
      </c>
      <c r="C564" s="8" t="s">
        <v>437</v>
      </c>
      <c r="D564" s="9">
        <v>41</v>
      </c>
      <c r="E564" s="3" t="s">
        <v>1076</v>
      </c>
      <c r="F564" s="22" t="s">
        <v>1092</v>
      </c>
    </row>
    <row r="565" spans="1:6">
      <c r="A565" s="21" t="s">
        <v>1048</v>
      </c>
      <c r="B565" s="8" t="s">
        <v>410</v>
      </c>
      <c r="C565" s="8" t="s">
        <v>437</v>
      </c>
      <c r="D565" s="9">
        <v>42</v>
      </c>
      <c r="E565" s="3" t="s">
        <v>1087</v>
      </c>
      <c r="F565" s="22" t="s">
        <v>1103</v>
      </c>
    </row>
    <row r="566" spans="1:6">
      <c r="A566" s="21" t="s">
        <v>1049</v>
      </c>
      <c r="B566" s="8" t="s">
        <v>411</v>
      </c>
      <c r="C566" s="8" t="s">
        <v>437</v>
      </c>
      <c r="D566" s="9">
        <v>43</v>
      </c>
      <c r="E566" s="3" t="s">
        <v>1087</v>
      </c>
      <c r="F566" s="22" t="s">
        <v>1104</v>
      </c>
    </row>
    <row r="567" spans="1:6">
      <c r="A567" s="21" t="s">
        <v>1050</v>
      </c>
      <c r="B567" s="8" t="s">
        <v>412</v>
      </c>
      <c r="C567" s="8" t="s">
        <v>437</v>
      </c>
      <c r="D567" s="9">
        <v>20</v>
      </c>
      <c r="E567" s="3" t="s">
        <v>1074</v>
      </c>
      <c r="F567" s="22" t="s">
        <v>1090</v>
      </c>
    </row>
    <row r="568" spans="1:6">
      <c r="A568" s="21" t="s">
        <v>1051</v>
      </c>
      <c r="B568" s="8" t="s">
        <v>413</v>
      </c>
      <c r="C568" s="8" t="s">
        <v>437</v>
      </c>
      <c r="D568" s="9">
        <v>21</v>
      </c>
      <c r="E568" s="3" t="s">
        <v>1083</v>
      </c>
      <c r="F568" s="22" t="s">
        <v>1091</v>
      </c>
    </row>
    <row r="569" spans="1:6">
      <c r="A569" s="21" t="s">
        <v>1052</v>
      </c>
      <c r="B569" s="8" t="s">
        <v>414</v>
      </c>
      <c r="C569" s="8" t="s">
        <v>437</v>
      </c>
      <c r="D569" s="9">
        <v>22</v>
      </c>
      <c r="E569" s="3" t="s">
        <v>1075</v>
      </c>
      <c r="F569" s="22" t="s">
        <v>1090</v>
      </c>
    </row>
    <row r="570" spans="1:6">
      <c r="A570" s="28" t="s">
        <v>1053</v>
      </c>
      <c r="B570" s="29" t="s">
        <v>415</v>
      </c>
      <c r="C570" s="29" t="s">
        <v>437</v>
      </c>
      <c r="D570" s="30">
        <v>23</v>
      </c>
      <c r="E570" s="31" t="s">
        <v>1081</v>
      </c>
      <c r="F570" s="32" t="s">
        <v>1097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5300-5804-4CCC-9103-A13412BBD911}">
  <sheetPr>
    <tabColor rgb="FFFFCCCC"/>
  </sheetPr>
  <dimension ref="A1:J573"/>
  <sheetViews>
    <sheetView workbookViewId="0">
      <selection activeCell="G1" sqref="G1:G1048576"/>
    </sheetView>
  </sheetViews>
  <sheetFormatPr defaultRowHeight="14.4"/>
  <cols>
    <col min="1" max="1" width="12.21875" customWidth="1"/>
    <col min="2" max="2" width="17" customWidth="1"/>
    <col min="3" max="3" width="15.109375" customWidth="1"/>
    <col min="4" max="4" width="23.21875" customWidth="1"/>
    <col min="5" max="5" width="21.21875" customWidth="1"/>
    <col min="6" max="6" width="31.33203125" customWidth="1"/>
    <col min="7" max="7" width="22.21875" style="54" customWidth="1"/>
    <col min="8" max="8" width="19.5546875" bestFit="1" customWidth="1"/>
    <col min="9" max="9" width="10.5546875" style="2" customWidth="1"/>
    <col min="10" max="10" width="20" style="6" customWidth="1"/>
  </cols>
  <sheetData>
    <row r="1" spans="1:10">
      <c r="A1" s="46" t="s">
        <v>1116</v>
      </c>
      <c r="B1" s="46" t="s">
        <v>484</v>
      </c>
      <c r="C1" s="46" t="s">
        <v>4</v>
      </c>
      <c r="D1" s="46" t="s">
        <v>1056</v>
      </c>
      <c r="E1" s="46" t="s">
        <v>5</v>
      </c>
      <c r="F1" s="46" t="s">
        <v>6</v>
      </c>
      <c r="G1" s="55" t="s">
        <v>2270</v>
      </c>
      <c r="H1" s="56" t="s">
        <v>14</v>
      </c>
      <c r="I1" s="56" t="s">
        <v>15</v>
      </c>
      <c r="J1" s="57" t="s">
        <v>16</v>
      </c>
    </row>
    <row r="2" spans="1:10">
      <c r="A2" s="58" t="s">
        <v>1117</v>
      </c>
      <c r="B2" s="58" t="s">
        <v>485</v>
      </c>
      <c r="C2" s="58" t="s">
        <v>420</v>
      </c>
      <c r="D2" s="58" t="s">
        <v>420</v>
      </c>
      <c r="E2" s="58" t="s">
        <v>421</v>
      </c>
      <c r="F2" s="58" t="s">
        <v>1057</v>
      </c>
      <c r="G2" s="59">
        <v>6</v>
      </c>
      <c r="H2" s="58" t="s">
        <v>420</v>
      </c>
      <c r="I2" s="60" t="s">
        <v>2277</v>
      </c>
      <c r="J2" s="61">
        <v>4</v>
      </c>
    </row>
    <row r="3" spans="1:10">
      <c r="A3" s="62" t="s">
        <v>1145</v>
      </c>
      <c r="B3" s="62" t="s">
        <v>486</v>
      </c>
      <c r="C3" s="62" t="s">
        <v>420</v>
      </c>
      <c r="D3" s="62" t="s">
        <v>420</v>
      </c>
      <c r="E3" s="62" t="s">
        <v>422</v>
      </c>
      <c r="F3" s="62" t="s">
        <v>424</v>
      </c>
      <c r="G3" s="63">
        <v>6</v>
      </c>
      <c r="H3" s="62" t="s">
        <v>420</v>
      </c>
      <c r="I3" s="64" t="s">
        <v>2277</v>
      </c>
      <c r="J3" s="65">
        <v>4</v>
      </c>
    </row>
    <row r="4" spans="1:10">
      <c r="A4" s="58" t="s">
        <v>1118</v>
      </c>
      <c r="B4" s="58" t="s">
        <v>487</v>
      </c>
      <c r="C4" s="58" t="s">
        <v>420</v>
      </c>
      <c r="D4" s="58" t="s">
        <v>420</v>
      </c>
      <c r="E4" s="58" t="s">
        <v>421</v>
      </c>
      <c r="F4" s="58" t="s">
        <v>425</v>
      </c>
      <c r="G4" s="59">
        <v>4</v>
      </c>
      <c r="H4" s="58" t="s">
        <v>420</v>
      </c>
      <c r="I4" s="60" t="s">
        <v>2278</v>
      </c>
      <c r="J4" s="61">
        <v>2</v>
      </c>
    </row>
    <row r="5" spans="1:10">
      <c r="A5" s="62" t="s">
        <v>1146</v>
      </c>
      <c r="B5" s="62" t="s">
        <v>488</v>
      </c>
      <c r="C5" s="62" t="s">
        <v>420</v>
      </c>
      <c r="D5" s="62" t="s">
        <v>420</v>
      </c>
      <c r="E5" s="62" t="s">
        <v>426</v>
      </c>
      <c r="F5" s="62" t="s">
        <v>427</v>
      </c>
      <c r="G5" s="63">
        <v>9</v>
      </c>
      <c r="H5" s="62" t="s">
        <v>420</v>
      </c>
      <c r="I5" s="64" t="s">
        <v>2278</v>
      </c>
      <c r="J5" s="65">
        <v>3</v>
      </c>
    </row>
    <row r="6" spans="1:10">
      <c r="A6" s="58" t="s">
        <v>1147</v>
      </c>
      <c r="B6" s="58" t="s">
        <v>489</v>
      </c>
      <c r="C6" s="58" t="s">
        <v>420</v>
      </c>
      <c r="D6" s="58" t="s">
        <v>420</v>
      </c>
      <c r="E6" s="58" t="s">
        <v>422</v>
      </c>
      <c r="F6" s="58" t="s">
        <v>428</v>
      </c>
      <c r="G6" s="59">
        <v>7</v>
      </c>
      <c r="H6" s="58" t="s">
        <v>420</v>
      </c>
      <c r="I6" s="60" t="s">
        <v>2278</v>
      </c>
      <c r="J6" s="61">
        <v>3.5</v>
      </c>
    </row>
    <row r="7" spans="1:10">
      <c r="A7" s="62" t="s">
        <v>1120</v>
      </c>
      <c r="B7" s="62" t="s">
        <v>490</v>
      </c>
      <c r="C7" s="62" t="s">
        <v>420</v>
      </c>
      <c r="D7" s="62" t="s">
        <v>420</v>
      </c>
      <c r="E7" s="62" t="s">
        <v>421</v>
      </c>
      <c r="F7" s="62" t="s">
        <v>1057</v>
      </c>
      <c r="G7" s="63">
        <v>7</v>
      </c>
      <c r="H7" s="62" t="s">
        <v>420</v>
      </c>
      <c r="I7" s="64" t="s">
        <v>2277</v>
      </c>
      <c r="J7" s="65">
        <v>4</v>
      </c>
    </row>
    <row r="8" spans="1:10">
      <c r="A8" s="58" t="s">
        <v>1121</v>
      </c>
      <c r="B8" s="58" t="s">
        <v>491</v>
      </c>
      <c r="C8" s="58" t="s">
        <v>420</v>
      </c>
      <c r="D8" s="58" t="s">
        <v>420</v>
      </c>
      <c r="E8" s="58" t="s">
        <v>421</v>
      </c>
      <c r="F8" s="58" t="s">
        <v>1058</v>
      </c>
      <c r="G8" s="59">
        <v>5</v>
      </c>
      <c r="H8" s="58" t="s">
        <v>420</v>
      </c>
      <c r="I8" s="60" t="s">
        <v>2278</v>
      </c>
      <c r="J8" s="61">
        <v>3</v>
      </c>
    </row>
    <row r="9" spans="1:10">
      <c r="A9" s="62" t="s">
        <v>1122</v>
      </c>
      <c r="B9" s="62" t="s">
        <v>492</v>
      </c>
      <c r="C9" s="62" t="s">
        <v>420</v>
      </c>
      <c r="D9" s="62" t="s">
        <v>420</v>
      </c>
      <c r="E9" s="62" t="s">
        <v>421</v>
      </c>
      <c r="F9" s="62" t="s">
        <v>427</v>
      </c>
      <c r="G9" s="63">
        <v>4</v>
      </c>
      <c r="H9" s="62" t="s">
        <v>2271</v>
      </c>
      <c r="I9" s="64" t="s">
        <v>2278</v>
      </c>
      <c r="J9" s="65">
        <v>3</v>
      </c>
    </row>
    <row r="10" spans="1:10">
      <c r="A10" s="58" t="s">
        <v>1148</v>
      </c>
      <c r="B10" s="58" t="s">
        <v>493</v>
      </c>
      <c r="C10" s="58" t="s">
        <v>420</v>
      </c>
      <c r="D10" s="58" t="s">
        <v>420</v>
      </c>
      <c r="E10" s="58" t="s">
        <v>422</v>
      </c>
      <c r="F10" s="58" t="s">
        <v>427</v>
      </c>
      <c r="G10" s="59">
        <v>6</v>
      </c>
      <c r="H10" s="58" t="s">
        <v>420</v>
      </c>
      <c r="I10" s="60" t="s">
        <v>2277</v>
      </c>
      <c r="J10" s="61">
        <v>4</v>
      </c>
    </row>
    <row r="11" spans="1:10">
      <c r="A11" s="62" t="s">
        <v>1149</v>
      </c>
      <c r="B11" s="62" t="s">
        <v>494</v>
      </c>
      <c r="C11" s="62" t="s">
        <v>420</v>
      </c>
      <c r="D11" s="62" t="s">
        <v>420</v>
      </c>
      <c r="E11" s="62" t="s">
        <v>426</v>
      </c>
      <c r="F11" s="62" t="s">
        <v>1058</v>
      </c>
      <c r="G11" s="63">
        <v>6</v>
      </c>
      <c r="H11" s="62" t="s">
        <v>420</v>
      </c>
      <c r="I11" s="64" t="s">
        <v>2277</v>
      </c>
      <c r="J11" s="65">
        <v>5</v>
      </c>
    </row>
    <row r="12" spans="1:10">
      <c r="A12" s="58" t="s">
        <v>1150</v>
      </c>
      <c r="B12" s="58" t="s">
        <v>495</v>
      </c>
      <c r="C12" s="58" t="s">
        <v>420</v>
      </c>
      <c r="D12" s="58" t="s">
        <v>420</v>
      </c>
      <c r="E12" s="58" t="s">
        <v>426</v>
      </c>
      <c r="F12" s="58" t="s">
        <v>1058</v>
      </c>
      <c r="G12" s="59">
        <v>8</v>
      </c>
      <c r="H12" s="58" t="s">
        <v>420</v>
      </c>
      <c r="I12" s="60" t="s">
        <v>2277</v>
      </c>
      <c r="J12" s="61">
        <v>4</v>
      </c>
    </row>
    <row r="13" spans="1:10">
      <c r="A13" s="62" t="s">
        <v>1151</v>
      </c>
      <c r="B13" s="62" t="s">
        <v>496</v>
      </c>
      <c r="C13" s="62" t="s">
        <v>420</v>
      </c>
      <c r="D13" s="62" t="s">
        <v>420</v>
      </c>
      <c r="E13" s="62" t="s">
        <v>422</v>
      </c>
      <c r="F13" s="62" t="s">
        <v>428</v>
      </c>
      <c r="G13" s="63">
        <v>12</v>
      </c>
      <c r="H13" s="62" t="s">
        <v>420</v>
      </c>
      <c r="I13" s="64" t="s">
        <v>2277</v>
      </c>
      <c r="J13" s="65">
        <v>2.5</v>
      </c>
    </row>
    <row r="14" spans="1:10">
      <c r="A14" s="58" t="s">
        <v>1125</v>
      </c>
      <c r="B14" s="58" t="s">
        <v>497</v>
      </c>
      <c r="C14" s="58" t="s">
        <v>420</v>
      </c>
      <c r="D14" s="58" t="s">
        <v>420</v>
      </c>
      <c r="E14" s="58" t="s">
        <v>421</v>
      </c>
      <c r="F14" s="58" t="s">
        <v>1058</v>
      </c>
      <c r="G14" s="59">
        <v>5.3</v>
      </c>
      <c r="H14" s="58" t="s">
        <v>420</v>
      </c>
      <c r="I14" s="60" t="s">
        <v>2278</v>
      </c>
      <c r="J14" s="61">
        <v>4</v>
      </c>
    </row>
    <row r="15" spans="1:10">
      <c r="A15" s="62" t="s">
        <v>1152</v>
      </c>
      <c r="B15" s="62" t="s">
        <v>498</v>
      </c>
      <c r="C15" s="62" t="s">
        <v>420</v>
      </c>
      <c r="D15" s="62" t="s">
        <v>420</v>
      </c>
      <c r="E15" s="62" t="s">
        <v>426</v>
      </c>
      <c r="F15" s="62" t="s">
        <v>430</v>
      </c>
      <c r="G15" s="63">
        <v>7</v>
      </c>
      <c r="H15" s="62" t="s">
        <v>420</v>
      </c>
      <c r="I15" s="64" t="s">
        <v>2277</v>
      </c>
      <c r="J15" s="65">
        <v>3</v>
      </c>
    </row>
    <row r="16" spans="1:10">
      <c r="A16" s="58" t="s">
        <v>1153</v>
      </c>
      <c r="B16" s="58" t="s">
        <v>499</v>
      </c>
      <c r="C16" s="58" t="s">
        <v>423</v>
      </c>
      <c r="D16" s="58" t="s">
        <v>420</v>
      </c>
      <c r="E16" s="58" t="s">
        <v>431</v>
      </c>
      <c r="F16" s="58" t="s">
        <v>1058</v>
      </c>
      <c r="G16" s="59">
        <v>8</v>
      </c>
      <c r="H16" s="58" t="s">
        <v>420</v>
      </c>
      <c r="I16" s="60" t="s">
        <v>2277</v>
      </c>
      <c r="J16" s="61">
        <v>5</v>
      </c>
    </row>
    <row r="17" spans="1:10">
      <c r="A17" s="62" t="s">
        <v>1154</v>
      </c>
      <c r="B17" s="62" t="s">
        <v>500</v>
      </c>
      <c r="C17" s="62" t="s">
        <v>420</v>
      </c>
      <c r="D17" s="62" t="s">
        <v>420</v>
      </c>
      <c r="E17" s="62" t="s">
        <v>434</v>
      </c>
      <c r="F17" s="62" t="s">
        <v>1057</v>
      </c>
      <c r="G17" s="63">
        <v>8</v>
      </c>
      <c r="H17" s="62" t="s">
        <v>432</v>
      </c>
      <c r="I17" s="64" t="s">
        <v>450</v>
      </c>
      <c r="J17" s="65">
        <v>5</v>
      </c>
    </row>
    <row r="18" spans="1:10">
      <c r="A18" s="58" t="s">
        <v>1155</v>
      </c>
      <c r="B18" s="58" t="s">
        <v>501</v>
      </c>
      <c r="C18" s="58" t="s">
        <v>420</v>
      </c>
      <c r="D18" s="58" t="s">
        <v>420</v>
      </c>
      <c r="E18" s="58" t="s">
        <v>435</v>
      </c>
      <c r="F18" s="58" t="s">
        <v>1058</v>
      </c>
      <c r="G18" s="59">
        <v>10</v>
      </c>
      <c r="H18" s="58" t="s">
        <v>420</v>
      </c>
      <c r="I18" s="60" t="s">
        <v>2277</v>
      </c>
      <c r="J18" s="61">
        <v>5</v>
      </c>
    </row>
    <row r="19" spans="1:10">
      <c r="A19" s="62" t="s">
        <v>1156</v>
      </c>
      <c r="B19" s="62" t="s">
        <v>502</v>
      </c>
      <c r="C19" s="62" t="s">
        <v>420</v>
      </c>
      <c r="D19" s="62" t="s">
        <v>420</v>
      </c>
      <c r="E19" s="62" t="s">
        <v>435</v>
      </c>
      <c r="F19" s="62" t="s">
        <v>1057</v>
      </c>
      <c r="G19" s="63">
        <v>8</v>
      </c>
      <c r="H19" s="62" t="s">
        <v>420</v>
      </c>
      <c r="I19" s="64" t="s">
        <v>450</v>
      </c>
      <c r="J19" s="65">
        <v>8</v>
      </c>
    </row>
    <row r="20" spans="1:10">
      <c r="A20" s="58" t="s">
        <v>1157</v>
      </c>
      <c r="B20" s="58" t="s">
        <v>503</v>
      </c>
      <c r="C20" s="58" t="s">
        <v>420</v>
      </c>
      <c r="D20" s="58" t="s">
        <v>420</v>
      </c>
      <c r="E20" s="58" t="s">
        <v>435</v>
      </c>
      <c r="F20" s="58" t="s">
        <v>1057</v>
      </c>
      <c r="G20" s="59">
        <v>8</v>
      </c>
      <c r="H20" s="58" t="s">
        <v>420</v>
      </c>
      <c r="I20" s="60" t="s">
        <v>2277</v>
      </c>
      <c r="J20" s="61">
        <v>5</v>
      </c>
    </row>
    <row r="21" spans="1:10">
      <c r="A21" s="62" t="s">
        <v>1158</v>
      </c>
      <c r="B21" s="62" t="s">
        <v>504</v>
      </c>
      <c r="C21" s="62" t="s">
        <v>420</v>
      </c>
      <c r="D21" s="62" t="s">
        <v>420</v>
      </c>
      <c r="E21" s="62" t="s">
        <v>435</v>
      </c>
      <c r="F21" s="62" t="s">
        <v>1058</v>
      </c>
      <c r="G21" s="63">
        <v>8</v>
      </c>
      <c r="H21" s="62" t="s">
        <v>420</v>
      </c>
      <c r="I21" s="64" t="s">
        <v>2277</v>
      </c>
      <c r="J21" s="65">
        <v>5</v>
      </c>
    </row>
    <row r="22" spans="1:10">
      <c r="A22" s="58" t="s">
        <v>1159</v>
      </c>
      <c r="B22" s="58" t="s">
        <v>505</v>
      </c>
      <c r="C22" s="58" t="s">
        <v>420</v>
      </c>
      <c r="D22" s="58" t="s">
        <v>420</v>
      </c>
      <c r="E22" s="58" t="s">
        <v>435</v>
      </c>
      <c r="F22" s="58" t="s">
        <v>1058</v>
      </c>
      <c r="G22" s="59">
        <v>8</v>
      </c>
      <c r="H22" s="58" t="s">
        <v>420</v>
      </c>
      <c r="I22" s="60" t="s">
        <v>2277</v>
      </c>
      <c r="J22" s="61">
        <v>5</v>
      </c>
    </row>
    <row r="23" spans="1:10">
      <c r="A23" s="62" t="s">
        <v>1160</v>
      </c>
      <c r="B23" s="62" t="s">
        <v>506</v>
      </c>
      <c r="C23" s="62" t="s">
        <v>420</v>
      </c>
      <c r="D23" s="62" t="s">
        <v>420</v>
      </c>
      <c r="E23" s="62" t="s">
        <v>435</v>
      </c>
      <c r="F23" s="62" t="s">
        <v>1057</v>
      </c>
      <c r="G23" s="63">
        <v>6</v>
      </c>
      <c r="H23" s="62" t="s">
        <v>420</v>
      </c>
      <c r="I23" s="64" t="s">
        <v>450</v>
      </c>
      <c r="J23" s="65">
        <v>6</v>
      </c>
    </row>
    <row r="24" spans="1:10">
      <c r="A24" s="58" t="s">
        <v>1161</v>
      </c>
      <c r="B24" s="58" t="s">
        <v>507</v>
      </c>
      <c r="C24" s="58" t="s">
        <v>420</v>
      </c>
      <c r="D24" s="58" t="s">
        <v>420</v>
      </c>
      <c r="E24" s="58" t="s">
        <v>435</v>
      </c>
      <c r="F24" s="58" t="s">
        <v>1057</v>
      </c>
      <c r="G24" s="59">
        <v>6</v>
      </c>
      <c r="H24" s="58" t="s">
        <v>420</v>
      </c>
      <c r="I24" s="60" t="s">
        <v>450</v>
      </c>
      <c r="J24" s="61">
        <v>6</v>
      </c>
    </row>
    <row r="25" spans="1:10">
      <c r="A25" s="62" t="s">
        <v>1162</v>
      </c>
      <c r="B25" s="62" t="s">
        <v>508</v>
      </c>
      <c r="C25" s="62" t="s">
        <v>420</v>
      </c>
      <c r="D25" s="62" t="s">
        <v>420</v>
      </c>
      <c r="E25" s="62" t="s">
        <v>435</v>
      </c>
      <c r="F25" s="62" t="s">
        <v>1057</v>
      </c>
      <c r="G25" s="63">
        <v>8</v>
      </c>
      <c r="H25" s="62" t="s">
        <v>420</v>
      </c>
      <c r="I25" s="64" t="s">
        <v>450</v>
      </c>
      <c r="J25" s="65">
        <v>6</v>
      </c>
    </row>
    <row r="26" spans="1:10">
      <c r="A26" s="58" t="s">
        <v>1163</v>
      </c>
      <c r="B26" s="58" t="s">
        <v>509</v>
      </c>
      <c r="C26" s="58" t="s">
        <v>420</v>
      </c>
      <c r="D26" s="58" t="s">
        <v>420</v>
      </c>
      <c r="E26" s="58" t="s">
        <v>431</v>
      </c>
      <c r="F26" s="58" t="s">
        <v>1057</v>
      </c>
      <c r="G26" s="59">
        <v>8</v>
      </c>
      <c r="H26" s="58" t="s">
        <v>420</v>
      </c>
      <c r="I26" s="60" t="s">
        <v>2277</v>
      </c>
      <c r="J26" s="61">
        <v>5</v>
      </c>
    </row>
    <row r="27" spans="1:10">
      <c r="A27" s="62" t="s">
        <v>1164</v>
      </c>
      <c r="B27" s="62" t="s">
        <v>510</v>
      </c>
      <c r="C27" s="62" t="s">
        <v>420</v>
      </c>
      <c r="D27" s="62" t="s">
        <v>420</v>
      </c>
      <c r="E27" s="62" t="s">
        <v>431</v>
      </c>
      <c r="F27" s="62" t="s">
        <v>1057</v>
      </c>
      <c r="G27" s="63">
        <v>8</v>
      </c>
      <c r="H27" s="62" t="s">
        <v>432</v>
      </c>
      <c r="I27" s="64" t="s">
        <v>450</v>
      </c>
      <c r="J27" s="65">
        <v>5</v>
      </c>
    </row>
    <row r="28" spans="1:10">
      <c r="A28" s="58" t="s">
        <v>1165</v>
      </c>
      <c r="B28" s="58" t="s">
        <v>511</v>
      </c>
      <c r="C28" s="58" t="s">
        <v>420</v>
      </c>
      <c r="D28" s="58" t="s">
        <v>420</v>
      </c>
      <c r="E28" s="58" t="s">
        <v>434</v>
      </c>
      <c r="F28" s="58" t="s">
        <v>1057</v>
      </c>
      <c r="G28" s="59">
        <v>10</v>
      </c>
      <c r="H28" s="58" t="s">
        <v>420</v>
      </c>
      <c r="I28" s="60" t="s">
        <v>2277</v>
      </c>
      <c r="J28" s="61">
        <v>5</v>
      </c>
    </row>
    <row r="29" spans="1:10">
      <c r="A29" s="62" t="s">
        <v>1166</v>
      </c>
      <c r="B29" s="62" t="s">
        <v>512</v>
      </c>
      <c r="C29" s="62" t="s">
        <v>420</v>
      </c>
      <c r="D29" s="62" t="s">
        <v>420</v>
      </c>
      <c r="E29" s="62" t="s">
        <v>434</v>
      </c>
      <c r="F29" s="62" t="s">
        <v>1057</v>
      </c>
      <c r="G29" s="63">
        <v>8</v>
      </c>
      <c r="H29" s="62" t="s">
        <v>420</v>
      </c>
      <c r="I29" s="64" t="s">
        <v>450</v>
      </c>
      <c r="J29" s="65">
        <v>8</v>
      </c>
    </row>
    <row r="30" spans="1:10">
      <c r="A30" s="58" t="s">
        <v>1167</v>
      </c>
      <c r="B30" s="58" t="s">
        <v>513</v>
      </c>
      <c r="C30" s="58" t="s">
        <v>420</v>
      </c>
      <c r="D30" s="58" t="s">
        <v>420</v>
      </c>
      <c r="E30" s="58" t="s">
        <v>435</v>
      </c>
      <c r="F30" s="58" t="s">
        <v>1057</v>
      </c>
      <c r="G30" s="59">
        <v>8</v>
      </c>
      <c r="H30" s="58" t="s">
        <v>420</v>
      </c>
      <c r="I30" s="60" t="s">
        <v>2277</v>
      </c>
      <c r="J30" s="61">
        <v>5</v>
      </c>
    </row>
    <row r="31" spans="1:10">
      <c r="A31" s="62" t="s">
        <v>1168</v>
      </c>
      <c r="B31" s="62" t="s">
        <v>514</v>
      </c>
      <c r="C31" s="62" t="s">
        <v>420</v>
      </c>
      <c r="D31" s="62" t="s">
        <v>420</v>
      </c>
      <c r="E31" s="62" t="s">
        <v>434</v>
      </c>
      <c r="F31" s="62" t="s">
        <v>1057</v>
      </c>
      <c r="G31" s="63">
        <v>8</v>
      </c>
      <c r="H31" s="62" t="s">
        <v>420</v>
      </c>
      <c r="I31" s="64" t="s">
        <v>2277</v>
      </c>
      <c r="J31" s="65">
        <v>5</v>
      </c>
    </row>
    <row r="32" spans="1:10">
      <c r="A32" s="58" t="s">
        <v>1169</v>
      </c>
      <c r="B32" s="58" t="s">
        <v>515</v>
      </c>
      <c r="C32" s="58" t="s">
        <v>420</v>
      </c>
      <c r="D32" s="58" t="s">
        <v>420</v>
      </c>
      <c r="E32" s="58" t="s">
        <v>426</v>
      </c>
      <c r="F32" s="58" t="s">
        <v>1057</v>
      </c>
      <c r="G32" s="59">
        <v>7</v>
      </c>
      <c r="H32" s="58" t="s">
        <v>2276</v>
      </c>
      <c r="I32" s="60" t="s">
        <v>2277</v>
      </c>
      <c r="J32" s="61">
        <v>3</v>
      </c>
    </row>
    <row r="33" spans="1:10">
      <c r="A33" s="62" t="s">
        <v>1144</v>
      </c>
      <c r="B33" s="62" t="s">
        <v>516</v>
      </c>
      <c r="C33" s="62" t="s">
        <v>420</v>
      </c>
      <c r="D33" s="62" t="s">
        <v>420</v>
      </c>
      <c r="E33" s="62" t="s">
        <v>421</v>
      </c>
      <c r="F33" s="62" t="s">
        <v>1057</v>
      </c>
      <c r="G33" s="63">
        <v>6</v>
      </c>
      <c r="H33" s="62" t="s">
        <v>420</v>
      </c>
      <c r="I33" s="64" t="s">
        <v>2277</v>
      </c>
      <c r="J33" s="65">
        <v>4</v>
      </c>
    </row>
    <row r="34" spans="1:10">
      <c r="A34" s="58" t="s">
        <v>1170</v>
      </c>
      <c r="B34" s="58" t="s">
        <v>517</v>
      </c>
      <c r="C34" s="58" t="s">
        <v>420</v>
      </c>
      <c r="D34" s="58" t="s">
        <v>420</v>
      </c>
      <c r="E34" s="58" t="s">
        <v>422</v>
      </c>
      <c r="F34" s="58" t="s">
        <v>424</v>
      </c>
      <c r="G34" s="59">
        <v>6</v>
      </c>
      <c r="H34" s="58" t="s">
        <v>420</v>
      </c>
      <c r="I34" s="60" t="s">
        <v>2277</v>
      </c>
      <c r="J34" s="61">
        <v>4</v>
      </c>
    </row>
    <row r="35" spans="1:10">
      <c r="A35" s="62" t="s">
        <v>1171</v>
      </c>
      <c r="B35" s="62" t="s">
        <v>518</v>
      </c>
      <c r="C35" s="62" t="s">
        <v>420</v>
      </c>
      <c r="D35" s="62" t="s">
        <v>420</v>
      </c>
      <c r="E35" s="62" t="s">
        <v>421</v>
      </c>
      <c r="F35" s="62" t="s">
        <v>425</v>
      </c>
      <c r="G35" s="63">
        <v>4</v>
      </c>
      <c r="H35" s="62" t="s">
        <v>420</v>
      </c>
      <c r="I35" s="64" t="s">
        <v>2278</v>
      </c>
      <c r="J35" s="65">
        <v>2</v>
      </c>
    </row>
    <row r="36" spans="1:10">
      <c r="A36" s="58" t="s">
        <v>1172</v>
      </c>
      <c r="B36" s="58" t="s">
        <v>519</v>
      </c>
      <c r="C36" s="58" t="s">
        <v>420</v>
      </c>
      <c r="D36" s="58" t="s">
        <v>420</v>
      </c>
      <c r="E36" s="58" t="s">
        <v>426</v>
      </c>
      <c r="F36" s="58" t="s">
        <v>427</v>
      </c>
      <c r="G36" s="59">
        <v>9</v>
      </c>
      <c r="H36" s="58" t="s">
        <v>420</v>
      </c>
      <c r="I36" s="60" t="s">
        <v>2278</v>
      </c>
      <c r="J36" s="61">
        <v>3</v>
      </c>
    </row>
    <row r="37" spans="1:10">
      <c r="A37" s="62" t="s">
        <v>1173</v>
      </c>
      <c r="B37" s="62" t="s">
        <v>520</v>
      </c>
      <c r="C37" s="62" t="s">
        <v>420</v>
      </c>
      <c r="D37" s="62" t="s">
        <v>420</v>
      </c>
      <c r="E37" s="62" t="s">
        <v>422</v>
      </c>
      <c r="F37" s="62" t="s">
        <v>428</v>
      </c>
      <c r="G37" s="63">
        <v>7</v>
      </c>
      <c r="H37" s="62" t="s">
        <v>420</v>
      </c>
      <c r="I37" s="64" t="s">
        <v>2278</v>
      </c>
      <c r="J37" s="65">
        <v>3.5</v>
      </c>
    </row>
    <row r="38" spans="1:10">
      <c r="A38" s="58" t="s">
        <v>1174</v>
      </c>
      <c r="B38" s="58" t="s">
        <v>521</v>
      </c>
      <c r="C38" s="58" t="s">
        <v>420</v>
      </c>
      <c r="D38" s="58" t="s">
        <v>420</v>
      </c>
      <c r="E38" s="58" t="s">
        <v>421</v>
      </c>
      <c r="F38" s="58" t="s">
        <v>1057</v>
      </c>
      <c r="G38" s="59">
        <v>7</v>
      </c>
      <c r="H38" s="58" t="s">
        <v>420</v>
      </c>
      <c r="I38" s="60" t="s">
        <v>2277</v>
      </c>
      <c r="J38" s="61">
        <v>4</v>
      </c>
    </row>
    <row r="39" spans="1:10">
      <c r="A39" s="62" t="s">
        <v>1175</v>
      </c>
      <c r="B39" s="62" t="s">
        <v>522</v>
      </c>
      <c r="C39" s="62" t="s">
        <v>420</v>
      </c>
      <c r="D39" s="62" t="s">
        <v>420</v>
      </c>
      <c r="E39" s="62" t="s">
        <v>421</v>
      </c>
      <c r="F39" s="62" t="s">
        <v>1058</v>
      </c>
      <c r="G39" s="63">
        <v>5</v>
      </c>
      <c r="H39" s="62" t="s">
        <v>420</v>
      </c>
      <c r="I39" s="64" t="s">
        <v>2278</v>
      </c>
      <c r="J39" s="65">
        <v>3</v>
      </c>
    </row>
    <row r="40" spans="1:10">
      <c r="A40" s="58" t="s">
        <v>1176</v>
      </c>
      <c r="B40" s="58" t="s">
        <v>523</v>
      </c>
      <c r="C40" s="58" t="s">
        <v>420</v>
      </c>
      <c r="D40" s="58" t="s">
        <v>420</v>
      </c>
      <c r="E40" s="58" t="s">
        <v>421</v>
      </c>
      <c r="F40" s="58" t="s">
        <v>427</v>
      </c>
      <c r="G40" s="59">
        <v>4</v>
      </c>
      <c r="H40" s="58" t="s">
        <v>2271</v>
      </c>
      <c r="I40" s="60" t="s">
        <v>2278</v>
      </c>
      <c r="J40" s="61">
        <v>3</v>
      </c>
    </row>
    <row r="41" spans="1:10">
      <c r="A41" s="62" t="s">
        <v>1177</v>
      </c>
      <c r="B41" s="62" t="s">
        <v>524</v>
      </c>
      <c r="C41" s="62" t="s">
        <v>420</v>
      </c>
      <c r="D41" s="62" t="s">
        <v>420</v>
      </c>
      <c r="E41" s="62" t="s">
        <v>422</v>
      </c>
      <c r="F41" s="62" t="s">
        <v>427</v>
      </c>
      <c r="G41" s="63">
        <v>6</v>
      </c>
      <c r="H41" s="62" t="s">
        <v>420</v>
      </c>
      <c r="I41" s="64" t="s">
        <v>2277</v>
      </c>
      <c r="J41" s="65">
        <v>4</v>
      </c>
    </row>
    <row r="42" spans="1:10">
      <c r="A42" s="58" t="s">
        <v>1178</v>
      </c>
      <c r="B42" s="58" t="s">
        <v>525</v>
      </c>
      <c r="C42" s="58" t="s">
        <v>420</v>
      </c>
      <c r="D42" s="58" t="s">
        <v>420</v>
      </c>
      <c r="E42" s="58" t="s">
        <v>426</v>
      </c>
      <c r="F42" s="58" t="s">
        <v>1058</v>
      </c>
      <c r="G42" s="59">
        <v>6</v>
      </c>
      <c r="H42" s="58" t="s">
        <v>420</v>
      </c>
      <c r="I42" s="60" t="s">
        <v>2277</v>
      </c>
      <c r="J42" s="61">
        <v>5</v>
      </c>
    </row>
    <row r="43" spans="1:10">
      <c r="A43" s="62" t="s">
        <v>1179</v>
      </c>
      <c r="B43" s="62" t="s">
        <v>526</v>
      </c>
      <c r="C43" s="62" t="s">
        <v>420</v>
      </c>
      <c r="D43" s="62" t="s">
        <v>420</v>
      </c>
      <c r="E43" s="62" t="s">
        <v>426</v>
      </c>
      <c r="F43" s="62" t="s">
        <v>1058</v>
      </c>
      <c r="G43" s="63">
        <v>8</v>
      </c>
      <c r="H43" s="62" t="s">
        <v>420</v>
      </c>
      <c r="I43" s="64" t="s">
        <v>2277</v>
      </c>
      <c r="J43" s="65">
        <v>4</v>
      </c>
    </row>
    <row r="44" spans="1:10">
      <c r="A44" s="58" t="s">
        <v>1180</v>
      </c>
      <c r="B44" s="58" t="s">
        <v>527</v>
      </c>
      <c r="C44" s="58" t="s">
        <v>420</v>
      </c>
      <c r="D44" s="58" t="s">
        <v>420</v>
      </c>
      <c r="E44" s="58" t="s">
        <v>422</v>
      </c>
      <c r="F44" s="58" t="s">
        <v>428</v>
      </c>
      <c r="G44" s="59">
        <v>12</v>
      </c>
      <c r="H44" s="58" t="s">
        <v>420</v>
      </c>
      <c r="I44" s="60" t="s">
        <v>2277</v>
      </c>
      <c r="J44" s="61">
        <v>2.5</v>
      </c>
    </row>
    <row r="45" spans="1:10">
      <c r="A45" s="62" t="s">
        <v>1181</v>
      </c>
      <c r="B45" s="62" t="s">
        <v>528</v>
      </c>
      <c r="C45" s="62" t="s">
        <v>420</v>
      </c>
      <c r="D45" s="62" t="s">
        <v>420</v>
      </c>
      <c r="E45" s="62" t="s">
        <v>421</v>
      </c>
      <c r="F45" s="62" t="s">
        <v>1058</v>
      </c>
      <c r="G45" s="63">
        <v>5.3</v>
      </c>
      <c r="H45" s="62" t="s">
        <v>420</v>
      </c>
      <c r="I45" s="64" t="s">
        <v>2278</v>
      </c>
      <c r="J45" s="65">
        <v>4</v>
      </c>
    </row>
    <row r="46" spans="1:10">
      <c r="A46" s="58" t="s">
        <v>1182</v>
      </c>
      <c r="B46" s="58" t="s">
        <v>529</v>
      </c>
      <c r="C46" s="58" t="s">
        <v>420</v>
      </c>
      <c r="D46" s="58" t="s">
        <v>420</v>
      </c>
      <c r="E46" s="58" t="s">
        <v>426</v>
      </c>
      <c r="F46" s="58" t="s">
        <v>430</v>
      </c>
      <c r="G46" s="59">
        <v>7</v>
      </c>
      <c r="H46" s="58" t="s">
        <v>420</v>
      </c>
      <c r="I46" s="60" t="s">
        <v>2277</v>
      </c>
      <c r="J46" s="61">
        <v>3</v>
      </c>
    </row>
    <row r="47" spans="1:10">
      <c r="A47" s="62" t="s">
        <v>1183</v>
      </c>
      <c r="B47" s="62" t="s">
        <v>530</v>
      </c>
      <c r="C47" s="62" t="s">
        <v>420</v>
      </c>
      <c r="D47" s="62" t="s">
        <v>420</v>
      </c>
      <c r="E47" s="62" t="s">
        <v>435</v>
      </c>
      <c r="F47" s="62" t="s">
        <v>1058</v>
      </c>
      <c r="G47" s="63">
        <v>7</v>
      </c>
      <c r="H47" s="62" t="s">
        <v>420</v>
      </c>
      <c r="I47" s="64" t="s">
        <v>2277</v>
      </c>
      <c r="J47" s="65">
        <v>4</v>
      </c>
    </row>
    <row r="48" spans="1:10">
      <c r="A48" s="58" t="s">
        <v>1184</v>
      </c>
      <c r="B48" s="58" t="s">
        <v>531</v>
      </c>
      <c r="C48" s="58" t="s">
        <v>420</v>
      </c>
      <c r="D48" s="58" t="s">
        <v>420</v>
      </c>
      <c r="E48" s="58" t="s">
        <v>426</v>
      </c>
      <c r="F48" s="58" t="s">
        <v>1058</v>
      </c>
      <c r="G48" s="59">
        <v>6.3008333333333297</v>
      </c>
      <c r="H48" s="58" t="s">
        <v>420</v>
      </c>
      <c r="I48" s="60" t="s">
        <v>2277</v>
      </c>
      <c r="J48" s="61">
        <v>4</v>
      </c>
    </row>
    <row r="49" spans="1:10">
      <c r="A49" s="62" t="s">
        <v>1185</v>
      </c>
      <c r="B49" s="62" t="s">
        <v>532</v>
      </c>
      <c r="C49" s="62" t="s">
        <v>420</v>
      </c>
      <c r="D49" s="62" t="s">
        <v>420</v>
      </c>
      <c r="E49" s="62" t="s">
        <v>435</v>
      </c>
      <c r="F49" s="62" t="s">
        <v>1058</v>
      </c>
      <c r="G49" s="63">
        <v>8</v>
      </c>
      <c r="H49" s="62" t="s">
        <v>432</v>
      </c>
      <c r="I49" s="64" t="s">
        <v>450</v>
      </c>
      <c r="J49" s="65">
        <v>5</v>
      </c>
    </row>
    <row r="50" spans="1:10">
      <c r="A50" s="58" t="s">
        <v>1186</v>
      </c>
      <c r="B50" s="58" t="s">
        <v>533</v>
      </c>
      <c r="C50" s="58" t="s">
        <v>420</v>
      </c>
      <c r="D50" s="58" t="s">
        <v>420</v>
      </c>
      <c r="E50" s="58" t="s">
        <v>435</v>
      </c>
      <c r="F50" s="58" t="s">
        <v>1058</v>
      </c>
      <c r="G50" s="59">
        <v>6</v>
      </c>
      <c r="H50" s="58" t="s">
        <v>420</v>
      </c>
      <c r="I50" s="60" t="s">
        <v>2277</v>
      </c>
      <c r="J50" s="61">
        <v>6</v>
      </c>
    </row>
    <row r="51" spans="1:10">
      <c r="A51" s="62" t="s">
        <v>1187</v>
      </c>
      <c r="B51" s="62" t="s">
        <v>534</v>
      </c>
      <c r="C51" s="62" t="s">
        <v>420</v>
      </c>
      <c r="D51" s="62" t="s">
        <v>420</v>
      </c>
      <c r="E51" s="62" t="s">
        <v>431</v>
      </c>
      <c r="F51" s="62" t="s">
        <v>1058</v>
      </c>
      <c r="G51" s="63">
        <v>8</v>
      </c>
      <c r="H51" s="62" t="s">
        <v>420</v>
      </c>
      <c r="I51" s="64" t="s">
        <v>2277</v>
      </c>
      <c r="J51" s="65">
        <v>5</v>
      </c>
    </row>
    <row r="52" spans="1:10">
      <c r="A52" s="58" t="s">
        <v>1188</v>
      </c>
      <c r="B52" s="58" t="s">
        <v>535</v>
      </c>
      <c r="C52" s="58" t="s">
        <v>420</v>
      </c>
      <c r="D52" s="58" t="s">
        <v>420</v>
      </c>
      <c r="E52" s="58" t="s">
        <v>434</v>
      </c>
      <c r="F52" s="58" t="s">
        <v>1057</v>
      </c>
      <c r="G52" s="59">
        <v>8</v>
      </c>
      <c r="H52" s="58" t="s">
        <v>420</v>
      </c>
      <c r="I52" s="60" t="s">
        <v>450</v>
      </c>
      <c r="J52" s="61">
        <v>4</v>
      </c>
    </row>
    <row r="53" spans="1:10">
      <c r="A53" s="62" t="s">
        <v>1189</v>
      </c>
      <c r="B53" s="62" t="s">
        <v>536</v>
      </c>
      <c r="C53" s="62" t="s">
        <v>420</v>
      </c>
      <c r="D53" s="62" t="s">
        <v>420</v>
      </c>
      <c r="E53" s="62" t="s">
        <v>434</v>
      </c>
      <c r="F53" s="62" t="s">
        <v>1058</v>
      </c>
      <c r="G53" s="63">
        <v>7</v>
      </c>
      <c r="H53" s="62" t="s">
        <v>420</v>
      </c>
      <c r="I53" s="64" t="s">
        <v>450</v>
      </c>
      <c r="J53" s="65">
        <v>4</v>
      </c>
    </row>
    <row r="54" spans="1:10">
      <c r="A54" s="58" t="s">
        <v>1190</v>
      </c>
      <c r="B54" s="58" t="s">
        <v>537</v>
      </c>
      <c r="C54" s="58" t="s">
        <v>420</v>
      </c>
      <c r="D54" s="58" t="s">
        <v>420</v>
      </c>
      <c r="E54" s="58" t="s">
        <v>434</v>
      </c>
      <c r="F54" s="58" t="s">
        <v>1058</v>
      </c>
      <c r="G54" s="59">
        <v>7</v>
      </c>
      <c r="H54" s="58" t="s">
        <v>2272</v>
      </c>
      <c r="I54" s="60" t="s">
        <v>450</v>
      </c>
      <c r="J54" s="61">
        <v>5</v>
      </c>
    </row>
    <row r="55" spans="1:10">
      <c r="A55" s="62" t="s">
        <v>1191</v>
      </c>
      <c r="B55" s="62" t="s">
        <v>538</v>
      </c>
      <c r="C55" s="62" t="s">
        <v>420</v>
      </c>
      <c r="D55" s="62" t="s">
        <v>420</v>
      </c>
      <c r="E55" s="62" t="s">
        <v>435</v>
      </c>
      <c r="F55" s="62" t="s">
        <v>1058</v>
      </c>
      <c r="G55" s="63">
        <v>6</v>
      </c>
      <c r="H55" s="62" t="s">
        <v>420</v>
      </c>
      <c r="I55" s="64" t="s">
        <v>2277</v>
      </c>
      <c r="J55" s="65">
        <v>8</v>
      </c>
    </row>
    <row r="56" spans="1:10">
      <c r="A56" s="58" t="s">
        <v>1192</v>
      </c>
      <c r="B56" s="58" t="s">
        <v>539</v>
      </c>
      <c r="C56" s="58" t="s">
        <v>420</v>
      </c>
      <c r="D56" s="58" t="s">
        <v>420</v>
      </c>
      <c r="E56" s="58" t="s">
        <v>435</v>
      </c>
      <c r="F56" s="58" t="s">
        <v>1058</v>
      </c>
      <c r="G56" s="59">
        <v>6</v>
      </c>
      <c r="H56" s="58" t="s">
        <v>2273</v>
      </c>
      <c r="I56" s="60" t="s">
        <v>2277</v>
      </c>
      <c r="J56" s="61">
        <v>3</v>
      </c>
    </row>
    <row r="57" spans="1:10">
      <c r="A57" s="62" t="s">
        <v>1193</v>
      </c>
      <c r="B57" s="62" t="s">
        <v>540</v>
      </c>
      <c r="C57" s="62" t="s">
        <v>420</v>
      </c>
      <c r="D57" s="62" t="s">
        <v>420</v>
      </c>
      <c r="E57" s="62" t="s">
        <v>431</v>
      </c>
      <c r="F57" s="62" t="s">
        <v>1058</v>
      </c>
      <c r="G57" s="63">
        <v>6</v>
      </c>
      <c r="H57" s="62" t="s">
        <v>2274</v>
      </c>
      <c r="I57" s="64" t="s">
        <v>450</v>
      </c>
      <c r="J57" s="65">
        <v>3</v>
      </c>
    </row>
    <row r="58" spans="1:10">
      <c r="A58" s="58" t="s">
        <v>1194</v>
      </c>
      <c r="B58" s="58" t="s">
        <v>541</v>
      </c>
      <c r="C58" s="58" t="s">
        <v>420</v>
      </c>
      <c r="D58" s="58" t="s">
        <v>420</v>
      </c>
      <c r="E58" s="58" t="s">
        <v>431</v>
      </c>
      <c r="F58" s="58" t="s">
        <v>460</v>
      </c>
      <c r="G58" s="59">
        <v>8</v>
      </c>
      <c r="H58" s="58" t="s">
        <v>420</v>
      </c>
      <c r="I58" s="60" t="s">
        <v>2277</v>
      </c>
      <c r="J58" s="61">
        <v>5</v>
      </c>
    </row>
    <row r="59" spans="1:10">
      <c r="A59" s="62" t="s">
        <v>1195</v>
      </c>
      <c r="B59" s="62" t="s">
        <v>542</v>
      </c>
      <c r="C59" s="62" t="s">
        <v>420</v>
      </c>
      <c r="D59" s="62" t="s">
        <v>420</v>
      </c>
      <c r="E59" s="62" t="s">
        <v>434</v>
      </c>
      <c r="F59" s="62" t="s">
        <v>1058</v>
      </c>
      <c r="G59" s="63">
        <v>8</v>
      </c>
      <c r="H59" s="62" t="s">
        <v>420</v>
      </c>
      <c r="I59" s="64" t="s">
        <v>450</v>
      </c>
      <c r="J59" s="65">
        <v>4</v>
      </c>
    </row>
    <row r="60" spans="1:10">
      <c r="A60" s="58" t="s">
        <v>1196</v>
      </c>
      <c r="B60" s="58" t="s">
        <v>543</v>
      </c>
      <c r="C60" s="58" t="s">
        <v>420</v>
      </c>
      <c r="D60" s="58" t="s">
        <v>420</v>
      </c>
      <c r="E60" s="58" t="s">
        <v>435</v>
      </c>
      <c r="F60" s="58" t="s">
        <v>1057</v>
      </c>
      <c r="G60" s="59">
        <v>10</v>
      </c>
      <c r="H60" s="58" t="s">
        <v>2275</v>
      </c>
      <c r="I60" s="60" t="s">
        <v>2277</v>
      </c>
      <c r="J60" s="61">
        <v>3</v>
      </c>
    </row>
    <row r="61" spans="1:10">
      <c r="A61" s="62" t="s">
        <v>1197</v>
      </c>
      <c r="B61" s="62" t="s">
        <v>544</v>
      </c>
      <c r="C61" s="62" t="s">
        <v>423</v>
      </c>
      <c r="D61" s="62" t="s">
        <v>423</v>
      </c>
      <c r="E61" s="62" t="s">
        <v>435</v>
      </c>
      <c r="F61" s="62" t="s">
        <v>1058</v>
      </c>
      <c r="G61" s="63">
        <v>5</v>
      </c>
      <c r="H61" s="62" t="s">
        <v>2275</v>
      </c>
      <c r="I61" s="64" t="s">
        <v>450</v>
      </c>
      <c r="J61" s="65">
        <v>5</v>
      </c>
    </row>
    <row r="62" spans="1:10">
      <c r="A62" s="58" t="s">
        <v>1198</v>
      </c>
      <c r="B62" s="58" t="s">
        <v>545</v>
      </c>
      <c r="C62" s="58" t="s">
        <v>420</v>
      </c>
      <c r="D62" s="58" t="s">
        <v>420</v>
      </c>
      <c r="E62" s="58" t="s">
        <v>435</v>
      </c>
      <c r="F62" s="58" t="s">
        <v>1058</v>
      </c>
      <c r="G62" s="59">
        <v>8</v>
      </c>
      <c r="H62" s="58" t="s">
        <v>420</v>
      </c>
      <c r="I62" s="60" t="s">
        <v>450</v>
      </c>
      <c r="J62" s="61">
        <v>7</v>
      </c>
    </row>
    <row r="63" spans="1:10">
      <c r="A63" s="62" t="s">
        <v>1199</v>
      </c>
      <c r="B63" s="62" t="s">
        <v>546</v>
      </c>
      <c r="C63" s="62" t="s">
        <v>420</v>
      </c>
      <c r="D63" s="62" t="s">
        <v>420</v>
      </c>
      <c r="E63" s="62" t="s">
        <v>435</v>
      </c>
      <c r="F63" s="62" t="s">
        <v>1058</v>
      </c>
      <c r="G63" s="63">
        <v>7</v>
      </c>
      <c r="H63" s="62" t="s">
        <v>420</v>
      </c>
      <c r="I63" s="64" t="s">
        <v>450</v>
      </c>
      <c r="J63" s="65">
        <v>5</v>
      </c>
    </row>
    <row r="64" spans="1:10">
      <c r="A64" s="58" t="s">
        <v>1200</v>
      </c>
      <c r="B64" s="58" t="s">
        <v>547</v>
      </c>
      <c r="C64" s="58" t="s">
        <v>420</v>
      </c>
      <c r="D64" s="58" t="s">
        <v>420</v>
      </c>
      <c r="E64" s="58" t="s">
        <v>435</v>
      </c>
      <c r="F64" s="58" t="s">
        <v>1058</v>
      </c>
      <c r="G64" s="59">
        <v>5</v>
      </c>
      <c r="H64" s="58" t="s">
        <v>420</v>
      </c>
      <c r="I64" s="60" t="s">
        <v>450</v>
      </c>
      <c r="J64" s="61">
        <v>5</v>
      </c>
    </row>
    <row r="65" spans="1:10">
      <c r="A65" s="62" t="s">
        <v>1201</v>
      </c>
      <c r="B65" s="62" t="s">
        <v>548</v>
      </c>
      <c r="C65" s="62" t="s">
        <v>420</v>
      </c>
      <c r="D65" s="62" t="s">
        <v>420</v>
      </c>
      <c r="E65" s="62" t="s">
        <v>435</v>
      </c>
      <c r="F65" s="62" t="s">
        <v>1058</v>
      </c>
      <c r="G65" s="63">
        <v>6</v>
      </c>
      <c r="H65" s="62" t="s">
        <v>420</v>
      </c>
      <c r="I65" s="64" t="s">
        <v>2277</v>
      </c>
      <c r="J65" s="65">
        <v>4</v>
      </c>
    </row>
    <row r="66" spans="1:10">
      <c r="A66" s="58" t="s">
        <v>1202</v>
      </c>
      <c r="B66" s="58" t="s">
        <v>549</v>
      </c>
      <c r="C66" s="58" t="s">
        <v>423</v>
      </c>
      <c r="D66" s="58" t="s">
        <v>423</v>
      </c>
      <c r="E66" s="58" t="s">
        <v>435</v>
      </c>
      <c r="F66" s="58" t="s">
        <v>1058</v>
      </c>
      <c r="G66" s="59">
        <v>8</v>
      </c>
      <c r="H66" s="58" t="s">
        <v>420</v>
      </c>
      <c r="I66" s="60" t="s">
        <v>450</v>
      </c>
      <c r="J66" s="61">
        <v>7</v>
      </c>
    </row>
    <row r="67" spans="1:10">
      <c r="A67" s="62" t="s">
        <v>1203</v>
      </c>
      <c r="B67" s="62" t="s">
        <v>550</v>
      </c>
      <c r="C67" s="62" t="s">
        <v>420</v>
      </c>
      <c r="D67" s="62" t="s">
        <v>420</v>
      </c>
      <c r="E67" s="62" t="s">
        <v>435</v>
      </c>
      <c r="F67" s="62" t="s">
        <v>1058</v>
      </c>
      <c r="G67" s="63">
        <v>7</v>
      </c>
      <c r="H67" s="62" t="s">
        <v>420</v>
      </c>
      <c r="I67" s="64" t="s">
        <v>450</v>
      </c>
      <c r="J67" s="65">
        <v>7</v>
      </c>
    </row>
    <row r="68" spans="1:10">
      <c r="A68" s="58" t="s">
        <v>1204</v>
      </c>
      <c r="B68" s="58" t="s">
        <v>551</v>
      </c>
      <c r="C68" s="58" t="s">
        <v>420</v>
      </c>
      <c r="D68" s="58" t="s">
        <v>420</v>
      </c>
      <c r="E68" s="58" t="s">
        <v>435</v>
      </c>
      <c r="F68" s="58" t="s">
        <v>1058</v>
      </c>
      <c r="G68" s="59">
        <v>6</v>
      </c>
      <c r="H68" s="58" t="s">
        <v>420</v>
      </c>
      <c r="I68" s="60" t="s">
        <v>450</v>
      </c>
      <c r="J68" s="61">
        <v>6</v>
      </c>
    </row>
    <row r="69" spans="1:10">
      <c r="A69" s="62" t="s">
        <v>1205</v>
      </c>
      <c r="B69" s="62" t="s">
        <v>552</v>
      </c>
      <c r="C69" s="62" t="s">
        <v>420</v>
      </c>
      <c r="D69" s="62" t="s">
        <v>420</v>
      </c>
      <c r="E69" s="62" t="s">
        <v>431</v>
      </c>
      <c r="F69" s="62" t="s">
        <v>1058</v>
      </c>
      <c r="G69" s="63">
        <v>6</v>
      </c>
      <c r="H69" s="62" t="s">
        <v>420</v>
      </c>
      <c r="I69" s="64" t="s">
        <v>2277</v>
      </c>
      <c r="J69" s="65">
        <v>5</v>
      </c>
    </row>
    <row r="70" spans="1:10">
      <c r="A70" s="58" t="s">
        <v>1206</v>
      </c>
      <c r="B70" s="58" t="s">
        <v>553</v>
      </c>
      <c r="C70" s="58" t="s">
        <v>420</v>
      </c>
      <c r="D70" s="58" t="s">
        <v>420</v>
      </c>
      <c r="E70" s="58" t="s">
        <v>434</v>
      </c>
      <c r="F70" s="58" t="s">
        <v>1058</v>
      </c>
      <c r="G70" s="59">
        <v>6</v>
      </c>
      <c r="H70" s="58" t="s">
        <v>420</v>
      </c>
      <c r="I70" s="60" t="s">
        <v>2277</v>
      </c>
      <c r="J70" s="61">
        <v>5</v>
      </c>
    </row>
    <row r="71" spans="1:10">
      <c r="A71" s="62" t="s">
        <v>1207</v>
      </c>
      <c r="B71" s="62" t="s">
        <v>554</v>
      </c>
      <c r="C71" s="62" t="s">
        <v>423</v>
      </c>
      <c r="D71" s="62" t="s">
        <v>423</v>
      </c>
      <c r="E71" s="62" t="s">
        <v>434</v>
      </c>
      <c r="F71" s="62" t="s">
        <v>1058</v>
      </c>
      <c r="G71" s="63">
        <v>7</v>
      </c>
      <c r="H71" s="62" t="s">
        <v>420</v>
      </c>
      <c r="I71" s="64" t="s">
        <v>450</v>
      </c>
      <c r="J71" s="65">
        <v>5</v>
      </c>
    </row>
    <row r="72" spans="1:10">
      <c r="A72" s="58" t="s">
        <v>1208</v>
      </c>
      <c r="B72" s="58" t="s">
        <v>555</v>
      </c>
      <c r="C72" s="58" t="s">
        <v>420</v>
      </c>
      <c r="D72" s="58" t="s">
        <v>423</v>
      </c>
      <c r="E72" s="58" t="s">
        <v>434</v>
      </c>
      <c r="F72" s="58" t="s">
        <v>1058</v>
      </c>
      <c r="G72" s="59">
        <v>6</v>
      </c>
      <c r="H72" s="58" t="s">
        <v>420</v>
      </c>
      <c r="I72" s="60" t="s">
        <v>2277</v>
      </c>
      <c r="J72" s="61">
        <v>6</v>
      </c>
    </row>
    <row r="73" spans="1:10">
      <c r="A73" s="62" t="s">
        <v>1209</v>
      </c>
      <c r="B73" s="62" t="s">
        <v>556</v>
      </c>
      <c r="C73" s="62" t="s">
        <v>420</v>
      </c>
      <c r="D73" s="62" t="s">
        <v>420</v>
      </c>
      <c r="E73" s="62" t="s">
        <v>435</v>
      </c>
      <c r="F73" s="62" t="s">
        <v>1058</v>
      </c>
      <c r="G73" s="63">
        <v>6</v>
      </c>
      <c r="H73" s="62" t="s">
        <v>420</v>
      </c>
      <c r="I73" s="64" t="s">
        <v>450</v>
      </c>
      <c r="J73" s="65">
        <v>6</v>
      </c>
    </row>
    <row r="74" spans="1:10">
      <c r="A74" s="58" t="s">
        <v>1210</v>
      </c>
      <c r="B74" s="58" t="s">
        <v>557</v>
      </c>
      <c r="C74" s="58" t="s">
        <v>420</v>
      </c>
      <c r="D74" s="58" t="s">
        <v>420</v>
      </c>
      <c r="E74" s="58" t="s">
        <v>435</v>
      </c>
      <c r="F74" s="58" t="s">
        <v>1058</v>
      </c>
      <c r="G74" s="59">
        <v>6</v>
      </c>
      <c r="H74" s="58" t="s">
        <v>420</v>
      </c>
      <c r="I74" s="60" t="s">
        <v>450</v>
      </c>
      <c r="J74" s="61">
        <v>6</v>
      </c>
    </row>
    <row r="75" spans="1:10">
      <c r="A75" s="62" t="s">
        <v>1211</v>
      </c>
      <c r="B75" s="62" t="s">
        <v>558</v>
      </c>
      <c r="C75" s="62" t="s">
        <v>420</v>
      </c>
      <c r="D75" s="62" t="s">
        <v>420</v>
      </c>
      <c r="E75" s="62" t="s">
        <v>431</v>
      </c>
      <c r="F75" s="62" t="s">
        <v>1058</v>
      </c>
      <c r="G75" s="63">
        <v>8</v>
      </c>
      <c r="H75" s="62" t="s">
        <v>420</v>
      </c>
      <c r="I75" s="64" t="s">
        <v>450</v>
      </c>
      <c r="J75" s="65">
        <v>6</v>
      </c>
    </row>
    <row r="76" spans="1:10">
      <c r="A76" s="58" t="s">
        <v>1212</v>
      </c>
      <c r="B76" s="58" t="s">
        <v>559</v>
      </c>
      <c r="C76" s="58" t="s">
        <v>423</v>
      </c>
      <c r="D76" s="58" t="s">
        <v>420</v>
      </c>
      <c r="E76" s="58" t="s">
        <v>431</v>
      </c>
      <c r="F76" s="58" t="s">
        <v>1058</v>
      </c>
      <c r="G76" s="59">
        <v>8</v>
      </c>
      <c r="H76" s="58" t="s">
        <v>420</v>
      </c>
      <c r="I76" s="60" t="s">
        <v>2277</v>
      </c>
      <c r="J76" s="61">
        <v>5</v>
      </c>
    </row>
    <row r="77" spans="1:10">
      <c r="A77" s="62" t="s">
        <v>1213</v>
      </c>
      <c r="B77" s="62" t="s">
        <v>560</v>
      </c>
      <c r="C77" s="62" t="s">
        <v>420</v>
      </c>
      <c r="D77" s="62" t="s">
        <v>420</v>
      </c>
      <c r="E77" s="62" t="s">
        <v>434</v>
      </c>
      <c r="F77" s="62" t="s">
        <v>1057</v>
      </c>
      <c r="G77" s="63">
        <v>8</v>
      </c>
      <c r="H77" s="62" t="s">
        <v>432</v>
      </c>
      <c r="I77" s="64" t="s">
        <v>450</v>
      </c>
      <c r="J77" s="65">
        <v>5</v>
      </c>
    </row>
    <row r="78" spans="1:10">
      <c r="A78" s="58" t="s">
        <v>1214</v>
      </c>
      <c r="B78" s="58" t="s">
        <v>561</v>
      </c>
      <c r="C78" s="58" t="s">
        <v>420</v>
      </c>
      <c r="D78" s="58" t="s">
        <v>420</v>
      </c>
      <c r="E78" s="58" t="s">
        <v>435</v>
      </c>
      <c r="F78" s="58" t="s">
        <v>1058</v>
      </c>
      <c r="G78" s="59">
        <v>10</v>
      </c>
      <c r="H78" s="58" t="s">
        <v>420</v>
      </c>
      <c r="I78" s="60" t="s">
        <v>2277</v>
      </c>
      <c r="J78" s="61">
        <v>5</v>
      </c>
    </row>
    <row r="79" spans="1:10">
      <c r="A79" s="62" t="s">
        <v>1215</v>
      </c>
      <c r="B79" s="62" t="s">
        <v>562</v>
      </c>
      <c r="C79" s="62" t="s">
        <v>420</v>
      </c>
      <c r="D79" s="62" t="s">
        <v>420</v>
      </c>
      <c r="E79" s="62" t="s">
        <v>435</v>
      </c>
      <c r="F79" s="62" t="s">
        <v>1057</v>
      </c>
      <c r="G79" s="63">
        <v>8</v>
      </c>
      <c r="H79" s="62" t="s">
        <v>420</v>
      </c>
      <c r="I79" s="64" t="s">
        <v>450</v>
      </c>
      <c r="J79" s="65">
        <v>8</v>
      </c>
    </row>
    <row r="80" spans="1:10">
      <c r="A80" s="58" t="s">
        <v>1216</v>
      </c>
      <c r="B80" s="58" t="s">
        <v>563</v>
      </c>
      <c r="C80" s="58" t="s">
        <v>420</v>
      </c>
      <c r="D80" s="58" t="s">
        <v>420</v>
      </c>
      <c r="E80" s="58" t="s">
        <v>435</v>
      </c>
      <c r="F80" s="58" t="s">
        <v>1057</v>
      </c>
      <c r="G80" s="59">
        <v>8</v>
      </c>
      <c r="H80" s="58" t="s">
        <v>420</v>
      </c>
      <c r="I80" s="60" t="s">
        <v>2277</v>
      </c>
      <c r="J80" s="61">
        <v>5</v>
      </c>
    </row>
    <row r="81" spans="1:10">
      <c r="A81" s="62" t="s">
        <v>1217</v>
      </c>
      <c r="B81" s="62" t="s">
        <v>564</v>
      </c>
      <c r="C81" s="62" t="s">
        <v>420</v>
      </c>
      <c r="D81" s="62" t="s">
        <v>420</v>
      </c>
      <c r="E81" s="62" t="s">
        <v>435</v>
      </c>
      <c r="F81" s="62" t="s">
        <v>1058</v>
      </c>
      <c r="G81" s="63">
        <v>8</v>
      </c>
      <c r="H81" s="62" t="s">
        <v>420</v>
      </c>
      <c r="I81" s="64" t="s">
        <v>2277</v>
      </c>
      <c r="J81" s="65">
        <v>5</v>
      </c>
    </row>
    <row r="82" spans="1:10">
      <c r="A82" s="58" t="s">
        <v>1218</v>
      </c>
      <c r="B82" s="58" t="s">
        <v>565</v>
      </c>
      <c r="C82" s="58" t="s">
        <v>420</v>
      </c>
      <c r="D82" s="58" t="s">
        <v>420</v>
      </c>
      <c r="E82" s="58" t="s">
        <v>435</v>
      </c>
      <c r="F82" s="58" t="s">
        <v>1057</v>
      </c>
      <c r="G82" s="59">
        <v>6</v>
      </c>
      <c r="H82" s="58" t="s">
        <v>420</v>
      </c>
      <c r="I82" s="60" t="s">
        <v>450</v>
      </c>
      <c r="J82" s="61">
        <v>6</v>
      </c>
    </row>
    <row r="83" spans="1:10">
      <c r="A83" s="62" t="s">
        <v>1219</v>
      </c>
      <c r="B83" s="62" t="s">
        <v>566</v>
      </c>
      <c r="C83" s="62" t="s">
        <v>420</v>
      </c>
      <c r="D83" s="62" t="s">
        <v>420</v>
      </c>
      <c r="E83" s="62" t="s">
        <v>435</v>
      </c>
      <c r="F83" s="62" t="s">
        <v>1057</v>
      </c>
      <c r="G83" s="63">
        <v>6</v>
      </c>
      <c r="H83" s="62" t="s">
        <v>420</v>
      </c>
      <c r="I83" s="64" t="s">
        <v>450</v>
      </c>
      <c r="J83" s="65">
        <v>6</v>
      </c>
    </row>
    <row r="84" spans="1:10">
      <c r="A84" s="58" t="s">
        <v>1220</v>
      </c>
      <c r="B84" s="58" t="s">
        <v>567</v>
      </c>
      <c r="C84" s="58" t="s">
        <v>420</v>
      </c>
      <c r="D84" s="58" t="s">
        <v>420</v>
      </c>
      <c r="E84" s="58" t="s">
        <v>435</v>
      </c>
      <c r="F84" s="58" t="s">
        <v>1057</v>
      </c>
      <c r="G84" s="59">
        <v>8</v>
      </c>
      <c r="H84" s="58" t="s">
        <v>420</v>
      </c>
      <c r="I84" s="60" t="s">
        <v>450</v>
      </c>
      <c r="J84" s="61">
        <v>6</v>
      </c>
    </row>
    <row r="85" spans="1:10">
      <c r="A85" s="62" t="s">
        <v>1221</v>
      </c>
      <c r="B85" s="62" t="s">
        <v>568</v>
      </c>
      <c r="C85" s="62" t="s">
        <v>420</v>
      </c>
      <c r="D85" s="62" t="s">
        <v>420</v>
      </c>
      <c r="E85" s="62" t="s">
        <v>431</v>
      </c>
      <c r="F85" s="62" t="s">
        <v>1057</v>
      </c>
      <c r="G85" s="63">
        <v>8</v>
      </c>
      <c r="H85" s="62" t="s">
        <v>420</v>
      </c>
      <c r="I85" s="64" t="s">
        <v>2277</v>
      </c>
      <c r="J85" s="65">
        <v>5</v>
      </c>
    </row>
    <row r="86" spans="1:10">
      <c r="A86" s="58" t="s">
        <v>1222</v>
      </c>
      <c r="B86" s="58" t="s">
        <v>569</v>
      </c>
      <c r="C86" s="58" t="s">
        <v>420</v>
      </c>
      <c r="D86" s="58" t="s">
        <v>420</v>
      </c>
      <c r="E86" s="58" t="s">
        <v>431</v>
      </c>
      <c r="F86" s="58" t="s">
        <v>1057</v>
      </c>
      <c r="G86" s="59">
        <v>8</v>
      </c>
      <c r="H86" s="58" t="s">
        <v>432</v>
      </c>
      <c r="I86" s="60" t="s">
        <v>450</v>
      </c>
      <c r="J86" s="61">
        <v>5</v>
      </c>
    </row>
    <row r="87" spans="1:10">
      <c r="A87" s="62" t="s">
        <v>1223</v>
      </c>
      <c r="B87" s="62" t="s">
        <v>570</v>
      </c>
      <c r="C87" s="62" t="s">
        <v>420</v>
      </c>
      <c r="D87" s="62" t="s">
        <v>420</v>
      </c>
      <c r="E87" s="62" t="s">
        <v>434</v>
      </c>
      <c r="F87" s="62" t="s">
        <v>1057</v>
      </c>
      <c r="G87" s="63">
        <v>10</v>
      </c>
      <c r="H87" s="62" t="s">
        <v>420</v>
      </c>
      <c r="I87" s="64" t="s">
        <v>2277</v>
      </c>
      <c r="J87" s="65">
        <v>5</v>
      </c>
    </row>
    <row r="88" spans="1:10">
      <c r="A88" s="58" t="s">
        <v>1224</v>
      </c>
      <c r="B88" s="58" t="s">
        <v>571</v>
      </c>
      <c r="C88" s="58" t="s">
        <v>420</v>
      </c>
      <c r="D88" s="58" t="s">
        <v>420</v>
      </c>
      <c r="E88" s="58" t="s">
        <v>434</v>
      </c>
      <c r="F88" s="58" t="s">
        <v>1057</v>
      </c>
      <c r="G88" s="59">
        <v>8</v>
      </c>
      <c r="H88" s="58" t="s">
        <v>420</v>
      </c>
      <c r="I88" s="60" t="s">
        <v>450</v>
      </c>
      <c r="J88" s="61">
        <v>8</v>
      </c>
    </row>
    <row r="89" spans="1:10">
      <c r="A89" s="62" t="s">
        <v>1225</v>
      </c>
      <c r="B89" s="62" t="s">
        <v>572</v>
      </c>
      <c r="C89" s="62" t="s">
        <v>420</v>
      </c>
      <c r="D89" s="62" t="s">
        <v>420</v>
      </c>
      <c r="E89" s="62" t="s">
        <v>435</v>
      </c>
      <c r="F89" s="62" t="s">
        <v>1057</v>
      </c>
      <c r="G89" s="63">
        <v>8</v>
      </c>
      <c r="H89" s="62" t="s">
        <v>420</v>
      </c>
      <c r="I89" s="64" t="s">
        <v>2277</v>
      </c>
      <c r="J89" s="65">
        <v>5</v>
      </c>
    </row>
    <row r="90" spans="1:10">
      <c r="A90" s="58" t="s">
        <v>1226</v>
      </c>
      <c r="B90" s="58" t="s">
        <v>573</v>
      </c>
      <c r="C90" s="58" t="s">
        <v>420</v>
      </c>
      <c r="D90" s="58" t="s">
        <v>420</v>
      </c>
      <c r="E90" s="58" t="s">
        <v>434</v>
      </c>
      <c r="F90" s="58" t="s">
        <v>1057</v>
      </c>
      <c r="G90" s="59">
        <v>8</v>
      </c>
      <c r="H90" s="58" t="s">
        <v>420</v>
      </c>
      <c r="I90" s="60" t="s">
        <v>2277</v>
      </c>
      <c r="J90" s="61">
        <v>5</v>
      </c>
    </row>
    <row r="91" spans="1:10">
      <c r="A91" s="62" t="s">
        <v>1227</v>
      </c>
      <c r="B91" s="62" t="s">
        <v>574</v>
      </c>
      <c r="C91" s="62" t="s">
        <v>420</v>
      </c>
      <c r="D91" s="62" t="s">
        <v>420</v>
      </c>
      <c r="E91" s="62" t="s">
        <v>421</v>
      </c>
      <c r="F91" s="62" t="s">
        <v>1057</v>
      </c>
      <c r="G91" s="63">
        <v>7</v>
      </c>
      <c r="H91" s="62" t="s">
        <v>420</v>
      </c>
      <c r="I91" s="64" t="s">
        <v>2277</v>
      </c>
      <c r="J91" s="65">
        <v>5</v>
      </c>
    </row>
    <row r="92" spans="1:10">
      <c r="A92" s="58" t="s">
        <v>1228</v>
      </c>
      <c r="B92" s="58" t="s">
        <v>575</v>
      </c>
      <c r="C92" s="58" t="s">
        <v>420</v>
      </c>
      <c r="D92" s="58" t="s">
        <v>420</v>
      </c>
      <c r="E92" s="58" t="s">
        <v>421</v>
      </c>
      <c r="F92" s="58" t="s">
        <v>1057</v>
      </c>
      <c r="G92" s="59">
        <v>8</v>
      </c>
      <c r="H92" s="58" t="s">
        <v>420</v>
      </c>
      <c r="I92" s="60" t="s">
        <v>2277</v>
      </c>
      <c r="J92" s="61">
        <v>6</v>
      </c>
    </row>
    <row r="93" spans="1:10">
      <c r="A93" s="62" t="s">
        <v>1229</v>
      </c>
      <c r="B93" s="62" t="s">
        <v>576</v>
      </c>
      <c r="C93" s="62" t="s">
        <v>420</v>
      </c>
      <c r="D93" s="62" t="s">
        <v>420</v>
      </c>
      <c r="E93" s="62" t="s">
        <v>435</v>
      </c>
      <c r="F93" s="62" t="s">
        <v>1057</v>
      </c>
      <c r="G93" s="63">
        <v>7</v>
      </c>
      <c r="H93" s="62" t="s">
        <v>420</v>
      </c>
      <c r="I93" s="64" t="s">
        <v>2277</v>
      </c>
      <c r="J93" s="65">
        <v>4</v>
      </c>
    </row>
    <row r="94" spans="1:10">
      <c r="A94" s="58" t="s">
        <v>1230</v>
      </c>
      <c r="B94" s="58" t="s">
        <v>577</v>
      </c>
      <c r="C94" s="58" t="s">
        <v>420</v>
      </c>
      <c r="D94" s="58" t="s">
        <v>420</v>
      </c>
      <c r="E94" s="58" t="s">
        <v>435</v>
      </c>
      <c r="F94" s="58" t="s">
        <v>1057</v>
      </c>
      <c r="G94" s="59">
        <v>7</v>
      </c>
      <c r="H94" s="58" t="s">
        <v>420</v>
      </c>
      <c r="I94" s="60" t="s">
        <v>2277</v>
      </c>
      <c r="J94" s="61">
        <v>6</v>
      </c>
    </row>
    <row r="95" spans="1:10">
      <c r="A95" s="62" t="s">
        <v>1231</v>
      </c>
      <c r="B95" s="62" t="s">
        <v>578</v>
      </c>
      <c r="C95" s="62" t="s">
        <v>420</v>
      </c>
      <c r="D95" s="62" t="s">
        <v>420</v>
      </c>
      <c r="E95" s="62" t="s">
        <v>435</v>
      </c>
      <c r="F95" s="62" t="s">
        <v>1057</v>
      </c>
      <c r="G95" s="63">
        <v>6</v>
      </c>
      <c r="H95" s="62" t="s">
        <v>420</v>
      </c>
      <c r="I95" s="64" t="s">
        <v>2277</v>
      </c>
      <c r="J95" s="65">
        <v>5</v>
      </c>
    </row>
    <row r="96" spans="1:10">
      <c r="A96" s="58" t="s">
        <v>1232</v>
      </c>
      <c r="B96" s="58" t="s">
        <v>579</v>
      </c>
      <c r="C96" s="58" t="s">
        <v>420</v>
      </c>
      <c r="D96" s="58" t="s">
        <v>420</v>
      </c>
      <c r="E96" s="58" t="s">
        <v>431</v>
      </c>
      <c r="F96" s="58" t="s">
        <v>1057</v>
      </c>
      <c r="G96" s="59">
        <v>5</v>
      </c>
      <c r="H96" s="58" t="s">
        <v>420</v>
      </c>
      <c r="I96" s="60" t="s">
        <v>2277</v>
      </c>
      <c r="J96" s="61">
        <v>7</v>
      </c>
    </row>
    <row r="97" spans="1:10">
      <c r="A97" s="62" t="s">
        <v>1233</v>
      </c>
      <c r="B97" s="62" t="s">
        <v>580</v>
      </c>
      <c r="C97" s="62" t="s">
        <v>420</v>
      </c>
      <c r="D97" s="62" t="s">
        <v>420</v>
      </c>
      <c r="E97" s="62" t="s">
        <v>434</v>
      </c>
      <c r="F97" s="62" t="s">
        <v>1057</v>
      </c>
      <c r="G97" s="63">
        <v>5</v>
      </c>
      <c r="H97" s="62" t="s">
        <v>420</v>
      </c>
      <c r="I97" s="64" t="s">
        <v>2277</v>
      </c>
      <c r="J97" s="65">
        <v>8</v>
      </c>
    </row>
    <row r="98" spans="1:10">
      <c r="A98" s="58" t="s">
        <v>1234</v>
      </c>
      <c r="B98" s="58" t="s">
        <v>581</v>
      </c>
      <c r="C98" s="58" t="s">
        <v>420</v>
      </c>
      <c r="D98" s="58" t="s">
        <v>420</v>
      </c>
      <c r="E98" s="58" t="s">
        <v>434</v>
      </c>
      <c r="F98" s="58" t="s">
        <v>1058</v>
      </c>
      <c r="G98" s="59">
        <v>7</v>
      </c>
      <c r="H98" s="58" t="s">
        <v>420</v>
      </c>
      <c r="I98" s="60" t="s">
        <v>2277</v>
      </c>
      <c r="J98" s="61">
        <v>4</v>
      </c>
    </row>
    <row r="99" spans="1:10">
      <c r="A99" s="62" t="s">
        <v>1235</v>
      </c>
      <c r="B99" s="62" t="s">
        <v>582</v>
      </c>
      <c r="C99" s="62" t="s">
        <v>420</v>
      </c>
      <c r="D99" s="62" t="s">
        <v>420</v>
      </c>
      <c r="E99" s="62" t="s">
        <v>434</v>
      </c>
      <c r="F99" s="62" t="s">
        <v>1057</v>
      </c>
      <c r="G99" s="63">
        <v>8</v>
      </c>
      <c r="H99" s="62" t="s">
        <v>420</v>
      </c>
      <c r="I99" s="64" t="s">
        <v>2277</v>
      </c>
      <c r="J99" s="65">
        <v>4</v>
      </c>
    </row>
    <row r="100" spans="1:10">
      <c r="A100" s="58" t="s">
        <v>1236</v>
      </c>
      <c r="B100" s="58" t="s">
        <v>583</v>
      </c>
      <c r="C100" s="58" t="s">
        <v>420</v>
      </c>
      <c r="D100" s="58" t="s">
        <v>420</v>
      </c>
      <c r="E100" s="58" t="s">
        <v>435</v>
      </c>
      <c r="F100" s="58" t="s">
        <v>1058</v>
      </c>
      <c r="G100" s="59">
        <v>6</v>
      </c>
      <c r="H100" s="58" t="s">
        <v>420</v>
      </c>
      <c r="I100" s="60" t="s">
        <v>450</v>
      </c>
      <c r="J100" s="61">
        <v>6</v>
      </c>
    </row>
    <row r="101" spans="1:10">
      <c r="A101" s="62" t="s">
        <v>1237</v>
      </c>
      <c r="B101" s="62" t="s">
        <v>584</v>
      </c>
      <c r="C101" s="62" t="s">
        <v>420</v>
      </c>
      <c r="D101" s="62" t="s">
        <v>420</v>
      </c>
      <c r="E101" s="62" t="s">
        <v>435</v>
      </c>
      <c r="F101" s="62" t="s">
        <v>1057</v>
      </c>
      <c r="G101" s="63">
        <v>6</v>
      </c>
      <c r="H101" s="62" t="s">
        <v>420</v>
      </c>
      <c r="I101" s="64" t="s">
        <v>450</v>
      </c>
      <c r="J101" s="65">
        <v>6</v>
      </c>
    </row>
    <row r="102" spans="1:10">
      <c r="A102" s="58" t="s">
        <v>1238</v>
      </c>
      <c r="B102" s="58" t="s">
        <v>585</v>
      </c>
      <c r="C102" s="58" t="s">
        <v>420</v>
      </c>
      <c r="D102" s="58" t="s">
        <v>420</v>
      </c>
      <c r="E102" s="58" t="s">
        <v>431</v>
      </c>
      <c r="F102" s="58" t="s">
        <v>1057</v>
      </c>
      <c r="G102" s="59">
        <v>8</v>
      </c>
      <c r="H102" s="58" t="s">
        <v>420</v>
      </c>
      <c r="I102" s="60" t="s">
        <v>450</v>
      </c>
      <c r="J102" s="61">
        <v>6</v>
      </c>
    </row>
    <row r="103" spans="1:10">
      <c r="A103" s="62" t="s">
        <v>1239</v>
      </c>
      <c r="B103" s="62" t="s">
        <v>586</v>
      </c>
      <c r="C103" s="62" t="s">
        <v>420</v>
      </c>
      <c r="D103" s="62" t="s">
        <v>420</v>
      </c>
      <c r="E103" s="62" t="s">
        <v>431</v>
      </c>
      <c r="F103" s="62" t="s">
        <v>1057</v>
      </c>
      <c r="G103" s="63">
        <v>8</v>
      </c>
      <c r="H103" s="62" t="s">
        <v>420</v>
      </c>
      <c r="I103" s="64" t="s">
        <v>2277</v>
      </c>
      <c r="J103" s="65">
        <v>5</v>
      </c>
    </row>
    <row r="104" spans="1:10">
      <c r="A104" s="58" t="s">
        <v>1240</v>
      </c>
      <c r="B104" s="58" t="s">
        <v>587</v>
      </c>
      <c r="C104" s="58" t="s">
        <v>420</v>
      </c>
      <c r="D104" s="58" t="s">
        <v>420</v>
      </c>
      <c r="E104" s="58" t="s">
        <v>434</v>
      </c>
      <c r="F104" s="58" t="s">
        <v>1057</v>
      </c>
      <c r="G104" s="59">
        <v>8</v>
      </c>
      <c r="H104" s="58" t="s">
        <v>432</v>
      </c>
      <c r="I104" s="60" t="s">
        <v>450</v>
      </c>
      <c r="J104" s="61">
        <v>5</v>
      </c>
    </row>
    <row r="105" spans="1:10">
      <c r="A105" s="62" t="s">
        <v>1241</v>
      </c>
      <c r="B105" s="62" t="s">
        <v>588</v>
      </c>
      <c r="C105" s="62" t="s">
        <v>420</v>
      </c>
      <c r="D105" s="62" t="s">
        <v>420</v>
      </c>
      <c r="E105" s="62" t="s">
        <v>435</v>
      </c>
      <c r="F105" s="62" t="s">
        <v>1058</v>
      </c>
      <c r="G105" s="63">
        <v>7</v>
      </c>
      <c r="H105" s="62" t="s">
        <v>420</v>
      </c>
      <c r="I105" s="64" t="s">
        <v>2277</v>
      </c>
      <c r="J105" s="65">
        <v>5</v>
      </c>
    </row>
    <row r="106" spans="1:10">
      <c r="A106" s="58" t="s">
        <v>1242</v>
      </c>
      <c r="B106" s="58" t="s">
        <v>589</v>
      </c>
      <c r="C106" s="58" t="s">
        <v>420</v>
      </c>
      <c r="D106" s="58" t="s">
        <v>420</v>
      </c>
      <c r="E106" s="58" t="s">
        <v>435</v>
      </c>
      <c r="F106" s="58" t="s">
        <v>1057</v>
      </c>
      <c r="G106" s="59">
        <v>8</v>
      </c>
      <c r="H106" s="58" t="s">
        <v>420</v>
      </c>
      <c r="I106" s="60" t="s">
        <v>450</v>
      </c>
      <c r="J106" s="61">
        <v>8</v>
      </c>
    </row>
    <row r="107" spans="1:10">
      <c r="A107" s="62" t="s">
        <v>1243</v>
      </c>
      <c r="B107" s="62" t="s">
        <v>590</v>
      </c>
      <c r="C107" s="62" t="s">
        <v>420</v>
      </c>
      <c r="D107" s="62" t="s">
        <v>420</v>
      </c>
      <c r="E107" s="62" t="s">
        <v>435</v>
      </c>
      <c r="F107" s="62" t="s">
        <v>1057</v>
      </c>
      <c r="G107" s="63">
        <v>8</v>
      </c>
      <c r="H107" s="62" t="s">
        <v>420</v>
      </c>
      <c r="I107" s="64" t="s">
        <v>2277</v>
      </c>
      <c r="J107" s="65">
        <v>5</v>
      </c>
    </row>
    <row r="108" spans="1:10">
      <c r="A108" s="58" t="s">
        <v>1244</v>
      </c>
      <c r="B108" s="58" t="s">
        <v>591</v>
      </c>
      <c r="C108" s="58" t="s">
        <v>420</v>
      </c>
      <c r="D108" s="58" t="s">
        <v>420</v>
      </c>
      <c r="E108" s="58" t="s">
        <v>435</v>
      </c>
      <c r="F108" s="58" t="s">
        <v>1057</v>
      </c>
      <c r="G108" s="59">
        <v>8</v>
      </c>
      <c r="H108" s="58" t="s">
        <v>420</v>
      </c>
      <c r="I108" s="60" t="s">
        <v>2277</v>
      </c>
      <c r="J108" s="61">
        <v>5</v>
      </c>
    </row>
    <row r="109" spans="1:10">
      <c r="A109" s="62" t="s">
        <v>1245</v>
      </c>
      <c r="B109" s="62" t="s">
        <v>592</v>
      </c>
      <c r="C109" s="62" t="s">
        <v>420</v>
      </c>
      <c r="D109" s="62" t="s">
        <v>420</v>
      </c>
      <c r="E109" s="62" t="s">
        <v>435</v>
      </c>
      <c r="F109" s="62" t="s">
        <v>1057</v>
      </c>
      <c r="G109" s="63">
        <v>7</v>
      </c>
      <c r="H109" s="62" t="s">
        <v>420</v>
      </c>
      <c r="I109" s="64" t="s">
        <v>2277</v>
      </c>
      <c r="J109" s="65">
        <v>4</v>
      </c>
    </row>
    <row r="110" spans="1:10">
      <c r="A110" s="58" t="s">
        <v>1246</v>
      </c>
      <c r="B110" s="58" t="s">
        <v>593</v>
      </c>
      <c r="C110" s="58" t="s">
        <v>420</v>
      </c>
      <c r="D110" s="58" t="s">
        <v>420</v>
      </c>
      <c r="E110" s="58" t="s">
        <v>435</v>
      </c>
      <c r="F110" s="58" t="s">
        <v>1057</v>
      </c>
      <c r="G110" s="59">
        <v>7</v>
      </c>
      <c r="H110" s="58" t="s">
        <v>420</v>
      </c>
      <c r="I110" s="60" t="s">
        <v>2277</v>
      </c>
      <c r="J110" s="61">
        <v>6</v>
      </c>
    </row>
    <row r="111" spans="1:10">
      <c r="A111" s="62" t="s">
        <v>1247</v>
      </c>
      <c r="B111" s="62" t="s">
        <v>594</v>
      </c>
      <c r="C111" s="62" t="s">
        <v>420</v>
      </c>
      <c r="D111" s="62" t="s">
        <v>420</v>
      </c>
      <c r="E111" s="62" t="s">
        <v>435</v>
      </c>
      <c r="F111" s="62" t="s">
        <v>1057</v>
      </c>
      <c r="G111" s="63">
        <v>6</v>
      </c>
      <c r="H111" s="62" t="s">
        <v>420</v>
      </c>
      <c r="I111" s="64" t="s">
        <v>2277</v>
      </c>
      <c r="J111" s="65">
        <v>5</v>
      </c>
    </row>
    <row r="112" spans="1:10">
      <c r="A112" s="58" t="s">
        <v>1248</v>
      </c>
      <c r="B112" s="58" t="s">
        <v>595</v>
      </c>
      <c r="C112" s="58" t="s">
        <v>420</v>
      </c>
      <c r="D112" s="58" t="s">
        <v>420</v>
      </c>
      <c r="E112" s="58" t="s">
        <v>435</v>
      </c>
      <c r="F112" s="58" t="s">
        <v>1058</v>
      </c>
      <c r="G112" s="59">
        <v>8</v>
      </c>
      <c r="H112" s="58" t="s">
        <v>420</v>
      </c>
      <c r="I112" s="60" t="s">
        <v>450</v>
      </c>
      <c r="J112" s="61">
        <v>6</v>
      </c>
    </row>
    <row r="113" spans="1:10">
      <c r="A113" s="62" t="s">
        <v>1249</v>
      </c>
      <c r="B113" s="62" t="s">
        <v>596</v>
      </c>
      <c r="C113" s="62" t="s">
        <v>420</v>
      </c>
      <c r="D113" s="62" t="s">
        <v>420</v>
      </c>
      <c r="E113" s="62" t="s">
        <v>435</v>
      </c>
      <c r="F113" s="62" t="s">
        <v>1057</v>
      </c>
      <c r="G113" s="63">
        <v>7</v>
      </c>
      <c r="H113" s="62" t="s">
        <v>420</v>
      </c>
      <c r="I113" s="64" t="s">
        <v>2278</v>
      </c>
      <c r="J113" s="65">
        <v>3</v>
      </c>
    </row>
    <row r="114" spans="1:10">
      <c r="A114" s="58" t="s">
        <v>1250</v>
      </c>
      <c r="B114" s="58" t="s">
        <v>597</v>
      </c>
      <c r="C114" s="58" t="s">
        <v>420</v>
      </c>
      <c r="D114" s="58" t="s">
        <v>420</v>
      </c>
      <c r="E114" s="58" t="s">
        <v>421</v>
      </c>
      <c r="F114" s="58" t="s">
        <v>1058</v>
      </c>
      <c r="G114" s="59">
        <v>8</v>
      </c>
      <c r="H114" s="58" t="s">
        <v>420</v>
      </c>
      <c r="I114" s="60" t="s">
        <v>450</v>
      </c>
      <c r="J114" s="61">
        <v>4</v>
      </c>
    </row>
    <row r="115" spans="1:10">
      <c r="A115" s="62" t="s">
        <v>1251</v>
      </c>
      <c r="B115" s="62" t="s">
        <v>598</v>
      </c>
      <c r="C115" s="62" t="s">
        <v>420</v>
      </c>
      <c r="D115" s="62" t="s">
        <v>420</v>
      </c>
      <c r="E115" s="62" t="s">
        <v>435</v>
      </c>
      <c r="F115" s="62" t="s">
        <v>1058</v>
      </c>
      <c r="G115" s="63">
        <v>6</v>
      </c>
      <c r="H115" s="62" t="s">
        <v>420</v>
      </c>
      <c r="I115" s="64" t="s">
        <v>2277</v>
      </c>
      <c r="J115" s="65">
        <v>6</v>
      </c>
    </row>
    <row r="116" spans="1:10">
      <c r="A116" s="58" t="s">
        <v>1252</v>
      </c>
      <c r="B116" s="58" t="s">
        <v>599</v>
      </c>
      <c r="C116" s="58" t="s">
        <v>420</v>
      </c>
      <c r="D116" s="58" t="s">
        <v>420</v>
      </c>
      <c r="E116" s="58" t="s">
        <v>431</v>
      </c>
      <c r="F116" s="58" t="s">
        <v>1058</v>
      </c>
      <c r="G116" s="59">
        <v>7</v>
      </c>
      <c r="H116" s="58" t="s">
        <v>420</v>
      </c>
      <c r="I116" s="60" t="s">
        <v>450</v>
      </c>
      <c r="J116" s="61">
        <v>5</v>
      </c>
    </row>
    <row r="117" spans="1:10">
      <c r="A117" s="62" t="s">
        <v>1253</v>
      </c>
      <c r="B117" s="62" t="s">
        <v>600</v>
      </c>
      <c r="C117" s="62" t="s">
        <v>423</v>
      </c>
      <c r="D117" s="62" t="s">
        <v>423</v>
      </c>
      <c r="E117" s="62" t="s">
        <v>435</v>
      </c>
      <c r="F117" s="62" t="s">
        <v>1058</v>
      </c>
      <c r="G117" s="63">
        <v>6</v>
      </c>
      <c r="H117" s="62" t="s">
        <v>420</v>
      </c>
      <c r="I117" s="64" t="s">
        <v>2277</v>
      </c>
      <c r="J117" s="65">
        <v>6</v>
      </c>
    </row>
    <row r="118" spans="1:10">
      <c r="A118" s="58" t="s">
        <v>1254</v>
      </c>
      <c r="B118" s="58" t="s">
        <v>601</v>
      </c>
      <c r="C118" s="58" t="s">
        <v>420</v>
      </c>
      <c r="D118" s="58" t="s">
        <v>420</v>
      </c>
      <c r="E118" s="58" t="s">
        <v>431</v>
      </c>
      <c r="F118" s="58" t="s">
        <v>1058</v>
      </c>
      <c r="G118" s="59">
        <v>6</v>
      </c>
      <c r="H118" s="58" t="s">
        <v>420</v>
      </c>
      <c r="I118" s="60" t="s">
        <v>2277</v>
      </c>
      <c r="J118" s="61">
        <v>5</v>
      </c>
    </row>
    <row r="119" spans="1:10">
      <c r="A119" s="62" t="s">
        <v>1255</v>
      </c>
      <c r="B119" s="62" t="s">
        <v>602</v>
      </c>
      <c r="C119" s="62" t="s">
        <v>420</v>
      </c>
      <c r="D119" s="62" t="s">
        <v>420</v>
      </c>
      <c r="E119" s="62" t="s">
        <v>421</v>
      </c>
      <c r="F119" s="62" t="s">
        <v>1058</v>
      </c>
      <c r="G119" s="63">
        <v>8</v>
      </c>
      <c r="H119" s="62" t="s">
        <v>420</v>
      </c>
      <c r="I119" s="64" t="s">
        <v>450</v>
      </c>
      <c r="J119" s="65">
        <v>4</v>
      </c>
    </row>
    <row r="120" spans="1:10">
      <c r="A120" s="58" t="s">
        <v>1256</v>
      </c>
      <c r="B120" s="58" t="s">
        <v>603</v>
      </c>
      <c r="C120" s="58" t="s">
        <v>420</v>
      </c>
      <c r="D120" s="58" t="s">
        <v>420</v>
      </c>
      <c r="E120" s="58" t="s">
        <v>435</v>
      </c>
      <c r="F120" s="58" t="s">
        <v>1058</v>
      </c>
      <c r="G120" s="59">
        <v>8</v>
      </c>
      <c r="H120" s="58" t="s">
        <v>420</v>
      </c>
      <c r="I120" s="60" t="s">
        <v>2277</v>
      </c>
      <c r="J120" s="61">
        <v>5</v>
      </c>
    </row>
    <row r="121" spans="1:10">
      <c r="A121" s="62" t="s">
        <v>1257</v>
      </c>
      <c r="B121" s="62" t="s">
        <v>604</v>
      </c>
      <c r="C121" s="62" t="s">
        <v>420</v>
      </c>
      <c r="D121" s="62" t="s">
        <v>420</v>
      </c>
      <c r="E121" s="62" t="s">
        <v>434</v>
      </c>
      <c r="F121" s="62" t="s">
        <v>1058</v>
      </c>
      <c r="G121" s="63">
        <v>7</v>
      </c>
      <c r="H121" s="62" t="s">
        <v>2272</v>
      </c>
      <c r="I121" s="64" t="s">
        <v>450</v>
      </c>
      <c r="J121" s="65">
        <v>5</v>
      </c>
    </row>
    <row r="122" spans="1:10">
      <c r="A122" s="58" t="s">
        <v>1258</v>
      </c>
      <c r="B122" s="58" t="s">
        <v>605</v>
      </c>
      <c r="C122" s="58" t="s">
        <v>420</v>
      </c>
      <c r="D122" s="58" t="s">
        <v>420</v>
      </c>
      <c r="E122" s="58" t="s">
        <v>434</v>
      </c>
      <c r="F122" s="58" t="s">
        <v>1058</v>
      </c>
      <c r="G122" s="59">
        <v>6</v>
      </c>
      <c r="H122" s="58" t="s">
        <v>420</v>
      </c>
      <c r="I122" s="60" t="s">
        <v>2277</v>
      </c>
      <c r="J122" s="61">
        <v>4</v>
      </c>
    </row>
    <row r="123" spans="1:10">
      <c r="A123" s="62" t="s">
        <v>1259</v>
      </c>
      <c r="B123" s="62" t="s">
        <v>606</v>
      </c>
      <c r="C123" s="62" t="s">
        <v>420</v>
      </c>
      <c r="D123" s="62" t="s">
        <v>420</v>
      </c>
      <c r="E123" s="62" t="s">
        <v>431</v>
      </c>
      <c r="F123" s="62" t="s">
        <v>1057</v>
      </c>
      <c r="G123" s="63">
        <v>8</v>
      </c>
      <c r="H123" s="62" t="s">
        <v>420</v>
      </c>
      <c r="I123" s="64" t="s">
        <v>450</v>
      </c>
      <c r="J123" s="65">
        <v>4</v>
      </c>
    </row>
    <row r="124" spans="1:10">
      <c r="A124" s="58" t="s">
        <v>1260</v>
      </c>
      <c r="B124" s="58" t="s">
        <v>607</v>
      </c>
      <c r="C124" s="58" t="s">
        <v>420</v>
      </c>
      <c r="D124" s="58" t="s">
        <v>420</v>
      </c>
      <c r="E124" s="58" t="s">
        <v>431</v>
      </c>
      <c r="F124" s="58" t="s">
        <v>1058</v>
      </c>
      <c r="G124" s="59">
        <v>7</v>
      </c>
      <c r="H124" s="58" t="s">
        <v>420</v>
      </c>
      <c r="I124" s="60" t="s">
        <v>450</v>
      </c>
      <c r="J124" s="61">
        <v>4</v>
      </c>
    </row>
    <row r="125" spans="1:10">
      <c r="A125" s="62" t="s">
        <v>1261</v>
      </c>
      <c r="B125" s="62" t="s">
        <v>608</v>
      </c>
      <c r="C125" s="62" t="s">
        <v>423</v>
      </c>
      <c r="D125" s="62" t="s">
        <v>423</v>
      </c>
      <c r="E125" s="62" t="s">
        <v>434</v>
      </c>
      <c r="F125" s="62" t="s">
        <v>1058</v>
      </c>
      <c r="G125" s="63">
        <v>8</v>
      </c>
      <c r="H125" s="62" t="s">
        <v>420</v>
      </c>
      <c r="I125" s="64" t="s">
        <v>450</v>
      </c>
      <c r="J125" s="65">
        <v>7</v>
      </c>
    </row>
    <row r="126" spans="1:10">
      <c r="A126" s="58" t="s">
        <v>1262</v>
      </c>
      <c r="B126" s="58" t="s">
        <v>609</v>
      </c>
      <c r="C126" s="58" t="s">
        <v>423</v>
      </c>
      <c r="D126" s="58" t="s">
        <v>423</v>
      </c>
      <c r="E126" s="58" t="s">
        <v>435</v>
      </c>
      <c r="F126" s="58" t="s">
        <v>1058</v>
      </c>
      <c r="G126" s="59">
        <v>5</v>
      </c>
      <c r="H126" s="58" t="s">
        <v>2275</v>
      </c>
      <c r="I126" s="60" t="s">
        <v>450</v>
      </c>
      <c r="J126" s="61">
        <v>5</v>
      </c>
    </row>
    <row r="127" spans="1:10">
      <c r="A127" s="62" t="s">
        <v>1263</v>
      </c>
      <c r="B127" s="62" t="s">
        <v>610</v>
      </c>
      <c r="C127" s="62" t="s">
        <v>423</v>
      </c>
      <c r="D127" s="62" t="s">
        <v>423</v>
      </c>
      <c r="E127" s="62" t="s">
        <v>434</v>
      </c>
      <c r="F127" s="62" t="s">
        <v>1058</v>
      </c>
      <c r="G127" s="63">
        <v>7</v>
      </c>
      <c r="H127" s="62" t="s">
        <v>420</v>
      </c>
      <c r="I127" s="64" t="s">
        <v>450</v>
      </c>
      <c r="J127" s="65">
        <v>5</v>
      </c>
    </row>
    <row r="128" spans="1:10">
      <c r="A128" s="58" t="s">
        <v>1264</v>
      </c>
      <c r="B128" s="58" t="s">
        <v>611</v>
      </c>
      <c r="C128" s="58" t="s">
        <v>420</v>
      </c>
      <c r="D128" s="58" t="s">
        <v>420</v>
      </c>
      <c r="E128" s="58" t="s">
        <v>434</v>
      </c>
      <c r="F128" s="58" t="s">
        <v>1058</v>
      </c>
      <c r="G128" s="59">
        <v>6</v>
      </c>
      <c r="H128" s="58" t="s">
        <v>420</v>
      </c>
      <c r="I128" s="60" t="s">
        <v>2277</v>
      </c>
      <c r="J128" s="61">
        <v>8</v>
      </c>
    </row>
    <row r="129" spans="1:10">
      <c r="A129" s="62" t="s">
        <v>1265</v>
      </c>
      <c r="B129" s="62" t="s">
        <v>612</v>
      </c>
      <c r="C129" s="62" t="s">
        <v>420</v>
      </c>
      <c r="D129" s="62" t="s">
        <v>420</v>
      </c>
      <c r="E129" s="62" t="s">
        <v>435</v>
      </c>
      <c r="F129" s="62" t="s">
        <v>1058</v>
      </c>
      <c r="G129" s="63">
        <v>6</v>
      </c>
      <c r="H129" s="62" t="s">
        <v>2273</v>
      </c>
      <c r="I129" s="64" t="s">
        <v>2277</v>
      </c>
      <c r="J129" s="65">
        <v>3</v>
      </c>
    </row>
    <row r="130" spans="1:10">
      <c r="A130" s="58" t="s">
        <v>1266</v>
      </c>
      <c r="B130" s="58" t="s">
        <v>613</v>
      </c>
      <c r="C130" s="58" t="s">
        <v>420</v>
      </c>
      <c r="D130" s="58" t="s">
        <v>420</v>
      </c>
      <c r="E130" s="58" t="s">
        <v>426</v>
      </c>
      <c r="F130" s="58" t="s">
        <v>1058</v>
      </c>
      <c r="G130" s="59">
        <v>6.3008333333333297</v>
      </c>
      <c r="H130" s="58" t="s">
        <v>420</v>
      </c>
      <c r="I130" s="60" t="s">
        <v>2277</v>
      </c>
      <c r="J130" s="61">
        <v>4</v>
      </c>
    </row>
    <row r="131" spans="1:10">
      <c r="A131" s="62" t="s">
        <v>1267</v>
      </c>
      <c r="B131" s="62" t="s">
        <v>614</v>
      </c>
      <c r="C131" s="62" t="s">
        <v>420</v>
      </c>
      <c r="D131" s="62" t="s">
        <v>420</v>
      </c>
      <c r="E131" s="62" t="s">
        <v>435</v>
      </c>
      <c r="F131" s="62" t="s">
        <v>1058</v>
      </c>
      <c r="G131" s="63">
        <v>7</v>
      </c>
      <c r="H131" s="62" t="s">
        <v>420</v>
      </c>
      <c r="I131" s="64" t="s">
        <v>450</v>
      </c>
      <c r="J131" s="65">
        <v>7</v>
      </c>
    </row>
    <row r="132" spans="1:10">
      <c r="A132" s="58" t="s">
        <v>1268</v>
      </c>
      <c r="B132" s="58" t="s">
        <v>615</v>
      </c>
      <c r="C132" s="58" t="s">
        <v>420</v>
      </c>
      <c r="D132" s="58" t="s">
        <v>420</v>
      </c>
      <c r="E132" s="58" t="s">
        <v>434</v>
      </c>
      <c r="F132" s="58" t="s">
        <v>1058</v>
      </c>
      <c r="G132" s="59">
        <v>6</v>
      </c>
      <c r="H132" s="58" t="s">
        <v>2274</v>
      </c>
      <c r="I132" s="60" t="s">
        <v>450</v>
      </c>
      <c r="J132" s="61">
        <v>3</v>
      </c>
    </row>
    <row r="133" spans="1:10">
      <c r="A133" s="62" t="s">
        <v>1269</v>
      </c>
      <c r="B133" s="62" t="s">
        <v>616</v>
      </c>
      <c r="C133" s="62" t="s">
        <v>420</v>
      </c>
      <c r="D133" s="62" t="s">
        <v>420</v>
      </c>
      <c r="E133" s="62" t="s">
        <v>435</v>
      </c>
      <c r="F133" s="62" t="s">
        <v>1058</v>
      </c>
      <c r="G133" s="63">
        <v>6</v>
      </c>
      <c r="H133" s="62" t="s">
        <v>420</v>
      </c>
      <c r="I133" s="64" t="s">
        <v>450</v>
      </c>
      <c r="J133" s="65">
        <v>6</v>
      </c>
    </row>
    <row r="134" spans="1:10">
      <c r="A134" s="58" t="s">
        <v>1270</v>
      </c>
      <c r="B134" s="58" t="s">
        <v>617</v>
      </c>
      <c r="C134" s="58" t="s">
        <v>420</v>
      </c>
      <c r="D134" s="58" t="s">
        <v>420</v>
      </c>
      <c r="E134" s="58" t="s">
        <v>435</v>
      </c>
      <c r="F134" s="58" t="s">
        <v>1058</v>
      </c>
      <c r="G134" s="59">
        <v>8</v>
      </c>
      <c r="H134" s="58" t="s">
        <v>420</v>
      </c>
      <c r="I134" s="60" t="s">
        <v>2277</v>
      </c>
      <c r="J134" s="61">
        <v>5</v>
      </c>
    </row>
    <row r="135" spans="1:10">
      <c r="A135" s="62" t="s">
        <v>1271</v>
      </c>
      <c r="B135" s="62" t="s">
        <v>618</v>
      </c>
      <c r="C135" s="62" t="s">
        <v>420</v>
      </c>
      <c r="D135" s="62" t="s">
        <v>420</v>
      </c>
      <c r="E135" s="62" t="s">
        <v>435</v>
      </c>
      <c r="F135" s="62" t="s">
        <v>1058</v>
      </c>
      <c r="G135" s="63">
        <v>6</v>
      </c>
      <c r="H135" s="62" t="s">
        <v>420</v>
      </c>
      <c r="I135" s="64" t="s">
        <v>450</v>
      </c>
      <c r="J135" s="65">
        <v>6</v>
      </c>
    </row>
    <row r="136" spans="1:10">
      <c r="A136" s="58" t="s">
        <v>1272</v>
      </c>
      <c r="B136" s="58" t="s">
        <v>619</v>
      </c>
      <c r="C136" s="58" t="s">
        <v>420</v>
      </c>
      <c r="D136" s="58" t="s">
        <v>420</v>
      </c>
      <c r="E136" s="58" t="s">
        <v>435</v>
      </c>
      <c r="F136" s="58" t="s">
        <v>1058</v>
      </c>
      <c r="G136" s="59">
        <v>8</v>
      </c>
      <c r="H136" s="58" t="s">
        <v>420</v>
      </c>
      <c r="I136" s="60" t="s">
        <v>450</v>
      </c>
      <c r="J136" s="61">
        <v>6</v>
      </c>
    </row>
    <row r="137" spans="1:10">
      <c r="A137" s="62" t="s">
        <v>1273</v>
      </c>
      <c r="B137" s="62" t="s">
        <v>620</v>
      </c>
      <c r="C137" s="62" t="s">
        <v>420</v>
      </c>
      <c r="D137" s="62" t="s">
        <v>420</v>
      </c>
      <c r="E137" s="62" t="s">
        <v>435</v>
      </c>
      <c r="F137" s="62" t="s">
        <v>1057</v>
      </c>
      <c r="G137" s="63">
        <v>7</v>
      </c>
      <c r="H137" s="62" t="s">
        <v>420</v>
      </c>
      <c r="I137" s="64" t="s">
        <v>2278</v>
      </c>
      <c r="J137" s="65">
        <v>3</v>
      </c>
    </row>
    <row r="138" spans="1:10">
      <c r="A138" s="58" t="s">
        <v>1274</v>
      </c>
      <c r="B138" s="58" t="s">
        <v>621</v>
      </c>
      <c r="C138" s="58" t="s">
        <v>420</v>
      </c>
      <c r="D138" s="58" t="s">
        <v>420</v>
      </c>
      <c r="E138" s="58" t="s">
        <v>421</v>
      </c>
      <c r="F138" s="58" t="s">
        <v>1058</v>
      </c>
      <c r="G138" s="59">
        <v>8</v>
      </c>
      <c r="H138" s="58" t="s">
        <v>420</v>
      </c>
      <c r="I138" s="60" t="s">
        <v>450</v>
      </c>
      <c r="J138" s="61">
        <v>4</v>
      </c>
    </row>
    <row r="139" spans="1:10">
      <c r="A139" s="62" t="s">
        <v>1275</v>
      </c>
      <c r="B139" s="62" t="s">
        <v>622</v>
      </c>
      <c r="C139" s="62" t="s">
        <v>420</v>
      </c>
      <c r="D139" s="62" t="s">
        <v>420</v>
      </c>
      <c r="E139" s="62" t="s">
        <v>435</v>
      </c>
      <c r="F139" s="62" t="s">
        <v>1058</v>
      </c>
      <c r="G139" s="63">
        <v>6</v>
      </c>
      <c r="H139" s="62" t="s">
        <v>420</v>
      </c>
      <c r="I139" s="64" t="s">
        <v>2277</v>
      </c>
      <c r="J139" s="65">
        <v>6</v>
      </c>
    </row>
    <row r="140" spans="1:10">
      <c r="A140" s="58" t="s">
        <v>1276</v>
      </c>
      <c r="B140" s="58" t="s">
        <v>623</v>
      </c>
      <c r="C140" s="58" t="s">
        <v>420</v>
      </c>
      <c r="D140" s="58" t="s">
        <v>420</v>
      </c>
      <c r="E140" s="58" t="s">
        <v>431</v>
      </c>
      <c r="F140" s="58" t="s">
        <v>1058</v>
      </c>
      <c r="G140" s="59">
        <v>7</v>
      </c>
      <c r="H140" s="58" t="s">
        <v>420</v>
      </c>
      <c r="I140" s="60" t="s">
        <v>450</v>
      </c>
      <c r="J140" s="61">
        <v>5</v>
      </c>
    </row>
    <row r="141" spans="1:10">
      <c r="A141" s="62" t="s">
        <v>1277</v>
      </c>
      <c r="B141" s="62" t="s">
        <v>624</v>
      </c>
      <c r="C141" s="62" t="s">
        <v>423</v>
      </c>
      <c r="D141" s="62" t="s">
        <v>423</v>
      </c>
      <c r="E141" s="62" t="s">
        <v>435</v>
      </c>
      <c r="F141" s="62" t="s">
        <v>1058</v>
      </c>
      <c r="G141" s="63">
        <v>6</v>
      </c>
      <c r="H141" s="62" t="s">
        <v>420</v>
      </c>
      <c r="I141" s="64" t="s">
        <v>2277</v>
      </c>
      <c r="J141" s="65">
        <v>6</v>
      </c>
    </row>
    <row r="142" spans="1:10">
      <c r="A142" s="58" t="s">
        <v>1278</v>
      </c>
      <c r="B142" s="58" t="s">
        <v>625</v>
      </c>
      <c r="C142" s="58" t="s">
        <v>420</v>
      </c>
      <c r="D142" s="58" t="s">
        <v>420</v>
      </c>
      <c r="E142" s="58" t="s">
        <v>431</v>
      </c>
      <c r="F142" s="58" t="s">
        <v>1058</v>
      </c>
      <c r="G142" s="59">
        <v>6</v>
      </c>
      <c r="H142" s="58" t="s">
        <v>420</v>
      </c>
      <c r="I142" s="60" t="s">
        <v>2277</v>
      </c>
      <c r="J142" s="61">
        <v>5</v>
      </c>
    </row>
    <row r="143" spans="1:10">
      <c r="A143" s="62" t="s">
        <v>1279</v>
      </c>
      <c r="B143" s="62" t="s">
        <v>626</v>
      </c>
      <c r="C143" s="62" t="s">
        <v>420</v>
      </c>
      <c r="D143" s="62" t="s">
        <v>420</v>
      </c>
      <c r="E143" s="62" t="s">
        <v>421</v>
      </c>
      <c r="F143" s="62" t="s">
        <v>1058</v>
      </c>
      <c r="G143" s="63">
        <v>8</v>
      </c>
      <c r="H143" s="62" t="s">
        <v>420</v>
      </c>
      <c r="I143" s="64" t="s">
        <v>450</v>
      </c>
      <c r="J143" s="65">
        <v>4</v>
      </c>
    </row>
    <row r="144" spans="1:10">
      <c r="A144" s="58" t="s">
        <v>1280</v>
      </c>
      <c r="B144" s="58" t="s">
        <v>627</v>
      </c>
      <c r="C144" s="58" t="s">
        <v>420</v>
      </c>
      <c r="D144" s="58" t="s">
        <v>420</v>
      </c>
      <c r="E144" s="58" t="s">
        <v>435</v>
      </c>
      <c r="F144" s="58" t="s">
        <v>1058</v>
      </c>
      <c r="G144" s="59">
        <v>8</v>
      </c>
      <c r="H144" s="58" t="s">
        <v>420</v>
      </c>
      <c r="I144" s="60" t="s">
        <v>2277</v>
      </c>
      <c r="J144" s="61">
        <v>5</v>
      </c>
    </row>
    <row r="145" spans="1:10">
      <c r="A145" s="62" t="s">
        <v>1281</v>
      </c>
      <c r="B145" s="62" t="s">
        <v>628</v>
      </c>
      <c r="C145" s="62" t="s">
        <v>420</v>
      </c>
      <c r="D145" s="62" t="s">
        <v>420</v>
      </c>
      <c r="E145" s="62" t="s">
        <v>434</v>
      </c>
      <c r="F145" s="62" t="s">
        <v>1058</v>
      </c>
      <c r="G145" s="63">
        <v>7</v>
      </c>
      <c r="H145" s="62" t="s">
        <v>2272</v>
      </c>
      <c r="I145" s="64" t="s">
        <v>450</v>
      </c>
      <c r="J145" s="65">
        <v>5</v>
      </c>
    </row>
    <row r="146" spans="1:10">
      <c r="A146" s="58" t="s">
        <v>1282</v>
      </c>
      <c r="B146" s="58" t="s">
        <v>629</v>
      </c>
      <c r="C146" s="58" t="s">
        <v>420</v>
      </c>
      <c r="D146" s="58" t="s">
        <v>420</v>
      </c>
      <c r="E146" s="58" t="s">
        <v>434</v>
      </c>
      <c r="F146" s="58" t="s">
        <v>1058</v>
      </c>
      <c r="G146" s="59">
        <v>6</v>
      </c>
      <c r="H146" s="58" t="s">
        <v>420</v>
      </c>
      <c r="I146" s="60" t="s">
        <v>2277</v>
      </c>
      <c r="J146" s="61">
        <v>4</v>
      </c>
    </row>
    <row r="147" spans="1:10">
      <c r="A147" s="62" t="s">
        <v>1283</v>
      </c>
      <c r="B147" s="62" t="s">
        <v>630</v>
      </c>
      <c r="C147" s="62" t="s">
        <v>420</v>
      </c>
      <c r="D147" s="62" t="s">
        <v>420</v>
      </c>
      <c r="E147" s="62" t="s">
        <v>431</v>
      </c>
      <c r="F147" s="62" t="s">
        <v>1057</v>
      </c>
      <c r="G147" s="63">
        <v>8</v>
      </c>
      <c r="H147" s="62" t="s">
        <v>420</v>
      </c>
      <c r="I147" s="64" t="s">
        <v>450</v>
      </c>
      <c r="J147" s="65">
        <v>4</v>
      </c>
    </row>
    <row r="148" spans="1:10">
      <c r="A148" s="58" t="s">
        <v>1284</v>
      </c>
      <c r="B148" s="58" t="s">
        <v>631</v>
      </c>
      <c r="C148" s="58" t="s">
        <v>420</v>
      </c>
      <c r="D148" s="58" t="s">
        <v>420</v>
      </c>
      <c r="E148" s="58" t="s">
        <v>431</v>
      </c>
      <c r="F148" s="58" t="s">
        <v>1058</v>
      </c>
      <c r="G148" s="59">
        <v>7</v>
      </c>
      <c r="H148" s="58" t="s">
        <v>420</v>
      </c>
      <c r="I148" s="60" t="s">
        <v>450</v>
      </c>
      <c r="J148" s="61">
        <v>4</v>
      </c>
    </row>
    <row r="149" spans="1:10">
      <c r="A149" s="62" t="s">
        <v>1285</v>
      </c>
      <c r="B149" s="62" t="s">
        <v>632</v>
      </c>
      <c r="C149" s="62" t="s">
        <v>423</v>
      </c>
      <c r="D149" s="62" t="s">
        <v>423</v>
      </c>
      <c r="E149" s="62" t="s">
        <v>434</v>
      </c>
      <c r="F149" s="62" t="s">
        <v>1058</v>
      </c>
      <c r="G149" s="63">
        <v>8</v>
      </c>
      <c r="H149" s="62" t="s">
        <v>420</v>
      </c>
      <c r="I149" s="64" t="s">
        <v>450</v>
      </c>
      <c r="J149" s="65">
        <v>7</v>
      </c>
    </row>
    <row r="150" spans="1:10">
      <c r="A150" s="58" t="s">
        <v>1286</v>
      </c>
      <c r="B150" s="58" t="s">
        <v>633</v>
      </c>
      <c r="C150" s="58" t="s">
        <v>423</v>
      </c>
      <c r="D150" s="58" t="s">
        <v>423</v>
      </c>
      <c r="E150" s="58" t="s">
        <v>435</v>
      </c>
      <c r="F150" s="58" t="s">
        <v>1058</v>
      </c>
      <c r="G150" s="59">
        <v>5</v>
      </c>
      <c r="H150" s="58" t="s">
        <v>2275</v>
      </c>
      <c r="I150" s="60" t="s">
        <v>450</v>
      </c>
      <c r="J150" s="61">
        <v>5</v>
      </c>
    </row>
    <row r="151" spans="1:10">
      <c r="A151" s="62" t="s">
        <v>1287</v>
      </c>
      <c r="B151" s="62" t="s">
        <v>634</v>
      </c>
      <c r="C151" s="62" t="s">
        <v>423</v>
      </c>
      <c r="D151" s="62" t="s">
        <v>423</v>
      </c>
      <c r="E151" s="62" t="s">
        <v>434</v>
      </c>
      <c r="F151" s="62" t="s">
        <v>1058</v>
      </c>
      <c r="G151" s="63">
        <v>7</v>
      </c>
      <c r="H151" s="62" t="s">
        <v>420</v>
      </c>
      <c r="I151" s="64" t="s">
        <v>450</v>
      </c>
      <c r="J151" s="65">
        <v>5</v>
      </c>
    </row>
    <row r="152" spans="1:10">
      <c r="A152" s="58" t="s">
        <v>1288</v>
      </c>
      <c r="B152" s="58" t="s">
        <v>635</v>
      </c>
      <c r="C152" s="58" t="s">
        <v>420</v>
      </c>
      <c r="D152" s="58" t="s">
        <v>420</v>
      </c>
      <c r="E152" s="58" t="s">
        <v>434</v>
      </c>
      <c r="F152" s="58" t="s">
        <v>1058</v>
      </c>
      <c r="G152" s="59">
        <v>6</v>
      </c>
      <c r="H152" s="58" t="s">
        <v>420</v>
      </c>
      <c r="I152" s="60" t="s">
        <v>2277</v>
      </c>
      <c r="J152" s="61">
        <v>8</v>
      </c>
    </row>
    <row r="153" spans="1:10">
      <c r="A153" s="62" t="s">
        <v>1289</v>
      </c>
      <c r="B153" s="62" t="s">
        <v>636</v>
      </c>
      <c r="C153" s="62" t="s">
        <v>420</v>
      </c>
      <c r="D153" s="62" t="s">
        <v>420</v>
      </c>
      <c r="E153" s="62" t="s">
        <v>435</v>
      </c>
      <c r="F153" s="62" t="s">
        <v>1058</v>
      </c>
      <c r="G153" s="63">
        <v>6</v>
      </c>
      <c r="H153" s="62" t="s">
        <v>2273</v>
      </c>
      <c r="I153" s="64" t="s">
        <v>2277</v>
      </c>
      <c r="J153" s="65">
        <v>3</v>
      </c>
    </row>
    <row r="154" spans="1:10">
      <c r="A154" s="58" t="s">
        <v>1290</v>
      </c>
      <c r="B154" s="58" t="s">
        <v>637</v>
      </c>
      <c r="C154" s="58" t="s">
        <v>420</v>
      </c>
      <c r="D154" s="58" t="s">
        <v>420</v>
      </c>
      <c r="E154" s="58" t="s">
        <v>426</v>
      </c>
      <c r="F154" s="58" t="s">
        <v>1058</v>
      </c>
      <c r="G154" s="59">
        <v>6.3008333333333297</v>
      </c>
      <c r="H154" s="58" t="s">
        <v>420</v>
      </c>
      <c r="I154" s="60" t="s">
        <v>2277</v>
      </c>
      <c r="J154" s="61">
        <v>4</v>
      </c>
    </row>
    <row r="155" spans="1:10">
      <c r="A155" s="62" t="s">
        <v>1291</v>
      </c>
      <c r="B155" s="62" t="s">
        <v>638</v>
      </c>
      <c r="C155" s="62" t="s">
        <v>420</v>
      </c>
      <c r="D155" s="62" t="s">
        <v>420</v>
      </c>
      <c r="E155" s="62" t="s">
        <v>435</v>
      </c>
      <c r="F155" s="62" t="s">
        <v>1058</v>
      </c>
      <c r="G155" s="63">
        <v>7</v>
      </c>
      <c r="H155" s="62" t="s">
        <v>420</v>
      </c>
      <c r="I155" s="64" t="s">
        <v>450</v>
      </c>
      <c r="J155" s="65">
        <v>7</v>
      </c>
    </row>
    <row r="156" spans="1:10">
      <c r="A156" s="58" t="s">
        <v>1292</v>
      </c>
      <c r="B156" s="58" t="s">
        <v>639</v>
      </c>
      <c r="C156" s="58" t="s">
        <v>420</v>
      </c>
      <c r="D156" s="58" t="s">
        <v>420</v>
      </c>
      <c r="E156" s="58" t="s">
        <v>434</v>
      </c>
      <c r="F156" s="58" t="s">
        <v>1058</v>
      </c>
      <c r="G156" s="59">
        <v>6</v>
      </c>
      <c r="H156" s="58" t="s">
        <v>2274</v>
      </c>
      <c r="I156" s="60" t="s">
        <v>450</v>
      </c>
      <c r="J156" s="61">
        <v>3</v>
      </c>
    </row>
    <row r="157" spans="1:10">
      <c r="A157" s="62" t="s">
        <v>1293</v>
      </c>
      <c r="B157" s="62" t="s">
        <v>640</v>
      </c>
      <c r="C157" s="62" t="s">
        <v>420</v>
      </c>
      <c r="D157" s="62" t="s">
        <v>420</v>
      </c>
      <c r="E157" s="62" t="s">
        <v>435</v>
      </c>
      <c r="F157" s="62" t="s">
        <v>1058</v>
      </c>
      <c r="G157" s="63">
        <v>6</v>
      </c>
      <c r="H157" s="62" t="s">
        <v>420</v>
      </c>
      <c r="I157" s="64" t="s">
        <v>450</v>
      </c>
      <c r="J157" s="65">
        <v>6</v>
      </c>
    </row>
    <row r="158" spans="1:10">
      <c r="A158" s="58" t="s">
        <v>1294</v>
      </c>
      <c r="B158" s="58" t="s">
        <v>641</v>
      </c>
      <c r="C158" s="58" t="s">
        <v>420</v>
      </c>
      <c r="D158" s="58" t="s">
        <v>420</v>
      </c>
      <c r="E158" s="58" t="s">
        <v>435</v>
      </c>
      <c r="F158" s="58" t="s">
        <v>1058</v>
      </c>
      <c r="G158" s="59">
        <v>8</v>
      </c>
      <c r="H158" s="58" t="s">
        <v>420</v>
      </c>
      <c r="I158" s="60" t="s">
        <v>2277</v>
      </c>
      <c r="J158" s="61">
        <v>5</v>
      </c>
    </row>
    <row r="159" spans="1:10">
      <c r="A159" s="62" t="s">
        <v>1295</v>
      </c>
      <c r="B159" s="62" t="s">
        <v>642</v>
      </c>
      <c r="C159" s="62" t="s">
        <v>420</v>
      </c>
      <c r="D159" s="62" t="s">
        <v>420</v>
      </c>
      <c r="E159" s="62" t="s">
        <v>435</v>
      </c>
      <c r="F159" s="62" t="s">
        <v>1058</v>
      </c>
      <c r="G159" s="63">
        <v>6</v>
      </c>
      <c r="H159" s="62" t="s">
        <v>420</v>
      </c>
      <c r="I159" s="64" t="s">
        <v>450</v>
      </c>
      <c r="J159" s="65">
        <v>6</v>
      </c>
    </row>
    <row r="160" spans="1:10">
      <c r="A160" s="58" t="s">
        <v>1296</v>
      </c>
      <c r="B160" s="58" t="s">
        <v>643</v>
      </c>
      <c r="C160" s="58" t="s">
        <v>420</v>
      </c>
      <c r="D160" s="58" t="s">
        <v>420</v>
      </c>
      <c r="E160" s="58" t="s">
        <v>435</v>
      </c>
      <c r="F160" s="58" t="s">
        <v>1058</v>
      </c>
      <c r="G160" s="59">
        <v>8</v>
      </c>
      <c r="H160" s="58" t="s">
        <v>420</v>
      </c>
      <c r="I160" s="60" t="s">
        <v>450</v>
      </c>
      <c r="J160" s="61">
        <v>6</v>
      </c>
    </row>
    <row r="161" spans="1:10">
      <c r="A161" s="62" t="s">
        <v>1297</v>
      </c>
      <c r="B161" s="62" t="s">
        <v>644</v>
      </c>
      <c r="C161" s="62" t="s">
        <v>420</v>
      </c>
      <c r="D161" s="62" t="s">
        <v>420</v>
      </c>
      <c r="E161" s="62" t="s">
        <v>435</v>
      </c>
      <c r="F161" s="62" t="s">
        <v>1057</v>
      </c>
      <c r="G161" s="63">
        <v>7</v>
      </c>
      <c r="H161" s="62" t="s">
        <v>420</v>
      </c>
      <c r="I161" s="64" t="s">
        <v>2278</v>
      </c>
      <c r="J161" s="65">
        <v>3</v>
      </c>
    </row>
    <row r="162" spans="1:10">
      <c r="A162" s="58" t="s">
        <v>1298</v>
      </c>
      <c r="B162" s="58" t="s">
        <v>645</v>
      </c>
      <c r="C162" s="58" t="s">
        <v>420</v>
      </c>
      <c r="D162" s="58" t="s">
        <v>420</v>
      </c>
      <c r="E162" s="58" t="s">
        <v>421</v>
      </c>
      <c r="F162" s="58" t="s">
        <v>1058</v>
      </c>
      <c r="G162" s="59">
        <v>8</v>
      </c>
      <c r="H162" s="58" t="s">
        <v>420</v>
      </c>
      <c r="I162" s="60" t="s">
        <v>450</v>
      </c>
      <c r="J162" s="61">
        <v>4</v>
      </c>
    </row>
    <row r="163" spans="1:10">
      <c r="A163" s="62" t="s">
        <v>1299</v>
      </c>
      <c r="B163" s="62" t="s">
        <v>646</v>
      </c>
      <c r="C163" s="62" t="s">
        <v>420</v>
      </c>
      <c r="D163" s="62" t="s">
        <v>420</v>
      </c>
      <c r="E163" s="62" t="s">
        <v>435</v>
      </c>
      <c r="F163" s="62" t="s">
        <v>1058</v>
      </c>
      <c r="G163" s="63">
        <v>6</v>
      </c>
      <c r="H163" s="62" t="s">
        <v>420</v>
      </c>
      <c r="I163" s="64" t="s">
        <v>2277</v>
      </c>
      <c r="J163" s="65">
        <v>6</v>
      </c>
    </row>
    <row r="164" spans="1:10">
      <c r="A164" s="58" t="s">
        <v>1300</v>
      </c>
      <c r="B164" s="58" t="s">
        <v>647</v>
      </c>
      <c r="C164" s="58" t="s">
        <v>420</v>
      </c>
      <c r="D164" s="58" t="s">
        <v>420</v>
      </c>
      <c r="E164" s="58" t="s">
        <v>431</v>
      </c>
      <c r="F164" s="58" t="s">
        <v>1058</v>
      </c>
      <c r="G164" s="59">
        <v>7</v>
      </c>
      <c r="H164" s="58" t="s">
        <v>420</v>
      </c>
      <c r="I164" s="60" t="s">
        <v>450</v>
      </c>
      <c r="J164" s="61">
        <v>5</v>
      </c>
    </row>
    <row r="165" spans="1:10">
      <c r="A165" s="62" t="s">
        <v>1301</v>
      </c>
      <c r="B165" s="62" t="s">
        <v>648</v>
      </c>
      <c r="C165" s="62" t="s">
        <v>423</v>
      </c>
      <c r="D165" s="62" t="s">
        <v>423</v>
      </c>
      <c r="E165" s="62" t="s">
        <v>435</v>
      </c>
      <c r="F165" s="62" t="s">
        <v>1058</v>
      </c>
      <c r="G165" s="63">
        <v>6</v>
      </c>
      <c r="H165" s="62" t="s">
        <v>420</v>
      </c>
      <c r="I165" s="64" t="s">
        <v>2277</v>
      </c>
      <c r="J165" s="65">
        <v>6</v>
      </c>
    </row>
    <row r="166" spans="1:10">
      <c r="A166" s="58" t="s">
        <v>1302</v>
      </c>
      <c r="B166" s="58" t="s">
        <v>649</v>
      </c>
      <c r="C166" s="58" t="s">
        <v>420</v>
      </c>
      <c r="D166" s="58" t="s">
        <v>420</v>
      </c>
      <c r="E166" s="58" t="s">
        <v>431</v>
      </c>
      <c r="F166" s="58" t="s">
        <v>1058</v>
      </c>
      <c r="G166" s="59">
        <v>6</v>
      </c>
      <c r="H166" s="58" t="s">
        <v>420</v>
      </c>
      <c r="I166" s="60" t="s">
        <v>2277</v>
      </c>
      <c r="J166" s="61">
        <v>5</v>
      </c>
    </row>
    <row r="167" spans="1:10">
      <c r="A167" s="62" t="s">
        <v>1303</v>
      </c>
      <c r="B167" s="62" t="s">
        <v>650</v>
      </c>
      <c r="C167" s="62" t="s">
        <v>420</v>
      </c>
      <c r="D167" s="62" t="s">
        <v>420</v>
      </c>
      <c r="E167" s="62" t="s">
        <v>421</v>
      </c>
      <c r="F167" s="62" t="s">
        <v>1058</v>
      </c>
      <c r="G167" s="63">
        <v>8</v>
      </c>
      <c r="H167" s="62" t="s">
        <v>420</v>
      </c>
      <c r="I167" s="64" t="s">
        <v>450</v>
      </c>
      <c r="J167" s="65">
        <v>4</v>
      </c>
    </row>
    <row r="168" spans="1:10">
      <c r="A168" s="58" t="s">
        <v>1304</v>
      </c>
      <c r="B168" s="58" t="s">
        <v>651</v>
      </c>
      <c r="C168" s="58" t="s">
        <v>420</v>
      </c>
      <c r="D168" s="58" t="s">
        <v>420</v>
      </c>
      <c r="E168" s="58" t="s">
        <v>435</v>
      </c>
      <c r="F168" s="58" t="s">
        <v>1058</v>
      </c>
      <c r="G168" s="59">
        <v>8</v>
      </c>
      <c r="H168" s="58" t="s">
        <v>420</v>
      </c>
      <c r="I168" s="60" t="s">
        <v>2277</v>
      </c>
      <c r="J168" s="61">
        <v>5</v>
      </c>
    </row>
    <row r="169" spans="1:10">
      <c r="A169" s="62" t="s">
        <v>1305</v>
      </c>
      <c r="B169" s="62" t="s">
        <v>652</v>
      </c>
      <c r="C169" s="62" t="s">
        <v>420</v>
      </c>
      <c r="D169" s="62" t="s">
        <v>420</v>
      </c>
      <c r="E169" s="62" t="s">
        <v>434</v>
      </c>
      <c r="F169" s="62" t="s">
        <v>1058</v>
      </c>
      <c r="G169" s="63">
        <v>7</v>
      </c>
      <c r="H169" s="62" t="s">
        <v>2272</v>
      </c>
      <c r="I169" s="64" t="s">
        <v>450</v>
      </c>
      <c r="J169" s="65">
        <v>5</v>
      </c>
    </row>
    <row r="170" spans="1:10">
      <c r="A170" s="58" t="s">
        <v>1306</v>
      </c>
      <c r="B170" s="58" t="s">
        <v>653</v>
      </c>
      <c r="C170" s="58" t="s">
        <v>420</v>
      </c>
      <c r="D170" s="58" t="s">
        <v>420</v>
      </c>
      <c r="E170" s="58" t="s">
        <v>434</v>
      </c>
      <c r="F170" s="58" t="s">
        <v>1058</v>
      </c>
      <c r="G170" s="59">
        <v>6</v>
      </c>
      <c r="H170" s="58" t="s">
        <v>420</v>
      </c>
      <c r="I170" s="60" t="s">
        <v>2277</v>
      </c>
      <c r="J170" s="61">
        <v>4</v>
      </c>
    </row>
    <row r="171" spans="1:10">
      <c r="A171" s="62" t="s">
        <v>1307</v>
      </c>
      <c r="B171" s="62" t="s">
        <v>654</v>
      </c>
      <c r="C171" s="62" t="s">
        <v>420</v>
      </c>
      <c r="D171" s="62" t="s">
        <v>420</v>
      </c>
      <c r="E171" s="62" t="s">
        <v>431</v>
      </c>
      <c r="F171" s="62" t="s">
        <v>1057</v>
      </c>
      <c r="G171" s="63">
        <v>8</v>
      </c>
      <c r="H171" s="62" t="s">
        <v>420</v>
      </c>
      <c r="I171" s="64" t="s">
        <v>450</v>
      </c>
      <c r="J171" s="65">
        <v>4</v>
      </c>
    </row>
    <row r="172" spans="1:10">
      <c r="A172" s="58" t="s">
        <v>1308</v>
      </c>
      <c r="B172" s="58" t="s">
        <v>655</v>
      </c>
      <c r="C172" s="58" t="s">
        <v>420</v>
      </c>
      <c r="D172" s="58" t="s">
        <v>420</v>
      </c>
      <c r="E172" s="58" t="s">
        <v>431</v>
      </c>
      <c r="F172" s="58" t="s">
        <v>1058</v>
      </c>
      <c r="G172" s="59">
        <v>7</v>
      </c>
      <c r="H172" s="58" t="s">
        <v>420</v>
      </c>
      <c r="I172" s="60" t="s">
        <v>450</v>
      </c>
      <c r="J172" s="61">
        <v>4</v>
      </c>
    </row>
    <row r="173" spans="1:10">
      <c r="A173" s="62" t="s">
        <v>1309</v>
      </c>
      <c r="B173" s="62" t="s">
        <v>656</v>
      </c>
      <c r="C173" s="62" t="s">
        <v>423</v>
      </c>
      <c r="D173" s="62" t="s">
        <v>423</v>
      </c>
      <c r="E173" s="62" t="s">
        <v>434</v>
      </c>
      <c r="F173" s="62" t="s">
        <v>1058</v>
      </c>
      <c r="G173" s="63">
        <v>8</v>
      </c>
      <c r="H173" s="62" t="s">
        <v>420</v>
      </c>
      <c r="I173" s="64" t="s">
        <v>450</v>
      </c>
      <c r="J173" s="65">
        <v>7</v>
      </c>
    </row>
    <row r="174" spans="1:10">
      <c r="A174" s="58" t="s">
        <v>1310</v>
      </c>
      <c r="B174" s="58" t="s">
        <v>657</v>
      </c>
      <c r="C174" s="58" t="s">
        <v>423</v>
      </c>
      <c r="D174" s="58" t="s">
        <v>423</v>
      </c>
      <c r="E174" s="58" t="s">
        <v>435</v>
      </c>
      <c r="F174" s="58" t="s">
        <v>1058</v>
      </c>
      <c r="G174" s="59">
        <v>5</v>
      </c>
      <c r="H174" s="58" t="s">
        <v>2275</v>
      </c>
      <c r="I174" s="60" t="s">
        <v>450</v>
      </c>
      <c r="J174" s="61">
        <v>5</v>
      </c>
    </row>
    <row r="175" spans="1:10">
      <c r="A175" s="62" t="s">
        <v>1311</v>
      </c>
      <c r="B175" s="62" t="s">
        <v>658</v>
      </c>
      <c r="C175" s="62" t="s">
        <v>423</v>
      </c>
      <c r="D175" s="62" t="s">
        <v>423</v>
      </c>
      <c r="E175" s="62" t="s">
        <v>434</v>
      </c>
      <c r="F175" s="62" t="s">
        <v>1058</v>
      </c>
      <c r="G175" s="63">
        <v>7</v>
      </c>
      <c r="H175" s="62" t="s">
        <v>420</v>
      </c>
      <c r="I175" s="64" t="s">
        <v>450</v>
      </c>
      <c r="J175" s="65">
        <v>5</v>
      </c>
    </row>
    <row r="176" spans="1:10">
      <c r="A176" s="58" t="s">
        <v>1312</v>
      </c>
      <c r="B176" s="58" t="s">
        <v>659</v>
      </c>
      <c r="C176" s="58" t="s">
        <v>420</v>
      </c>
      <c r="D176" s="58" t="s">
        <v>420</v>
      </c>
      <c r="E176" s="58" t="s">
        <v>434</v>
      </c>
      <c r="F176" s="58" t="s">
        <v>1058</v>
      </c>
      <c r="G176" s="59">
        <v>6</v>
      </c>
      <c r="H176" s="58" t="s">
        <v>420</v>
      </c>
      <c r="I176" s="60" t="s">
        <v>2277</v>
      </c>
      <c r="J176" s="61">
        <v>8</v>
      </c>
    </row>
    <row r="177" spans="1:10">
      <c r="A177" s="62" t="s">
        <v>1313</v>
      </c>
      <c r="B177" s="62" t="s">
        <v>660</v>
      </c>
      <c r="C177" s="62" t="s">
        <v>420</v>
      </c>
      <c r="D177" s="62" t="s">
        <v>420</v>
      </c>
      <c r="E177" s="62" t="s">
        <v>435</v>
      </c>
      <c r="F177" s="62" t="s">
        <v>1058</v>
      </c>
      <c r="G177" s="63">
        <v>6</v>
      </c>
      <c r="H177" s="62" t="s">
        <v>2273</v>
      </c>
      <c r="I177" s="64" t="s">
        <v>2277</v>
      </c>
      <c r="J177" s="65">
        <v>3</v>
      </c>
    </row>
    <row r="178" spans="1:10">
      <c r="A178" s="58" t="s">
        <v>1314</v>
      </c>
      <c r="B178" s="58" t="s">
        <v>661</v>
      </c>
      <c r="C178" s="58" t="s">
        <v>420</v>
      </c>
      <c r="D178" s="58" t="s">
        <v>420</v>
      </c>
      <c r="E178" s="58" t="s">
        <v>426</v>
      </c>
      <c r="F178" s="58" t="s">
        <v>1058</v>
      </c>
      <c r="G178" s="59">
        <v>6.3008333333333297</v>
      </c>
      <c r="H178" s="58" t="s">
        <v>420</v>
      </c>
      <c r="I178" s="60" t="s">
        <v>2277</v>
      </c>
      <c r="J178" s="61">
        <v>4</v>
      </c>
    </row>
    <row r="179" spans="1:10">
      <c r="A179" s="62" t="s">
        <v>1315</v>
      </c>
      <c r="B179" s="62" t="s">
        <v>662</v>
      </c>
      <c r="C179" s="62" t="s">
        <v>420</v>
      </c>
      <c r="D179" s="62" t="s">
        <v>420</v>
      </c>
      <c r="E179" s="62" t="s">
        <v>435</v>
      </c>
      <c r="F179" s="62" t="s">
        <v>1058</v>
      </c>
      <c r="G179" s="63">
        <v>7</v>
      </c>
      <c r="H179" s="62" t="s">
        <v>420</v>
      </c>
      <c r="I179" s="64" t="s">
        <v>450</v>
      </c>
      <c r="J179" s="65">
        <v>7</v>
      </c>
    </row>
    <row r="180" spans="1:10">
      <c r="A180" s="58" t="s">
        <v>1316</v>
      </c>
      <c r="B180" s="58" t="s">
        <v>663</v>
      </c>
      <c r="C180" s="58" t="s">
        <v>420</v>
      </c>
      <c r="D180" s="58" t="s">
        <v>420</v>
      </c>
      <c r="E180" s="58" t="s">
        <v>434</v>
      </c>
      <c r="F180" s="58" t="s">
        <v>1058</v>
      </c>
      <c r="G180" s="59">
        <v>6</v>
      </c>
      <c r="H180" s="58" t="s">
        <v>2274</v>
      </c>
      <c r="I180" s="60" t="s">
        <v>450</v>
      </c>
      <c r="J180" s="61">
        <v>3</v>
      </c>
    </row>
    <row r="181" spans="1:10">
      <c r="A181" s="62" t="s">
        <v>1317</v>
      </c>
      <c r="B181" s="62" t="s">
        <v>664</v>
      </c>
      <c r="C181" s="62" t="s">
        <v>420</v>
      </c>
      <c r="D181" s="62" t="s">
        <v>420</v>
      </c>
      <c r="E181" s="62" t="s">
        <v>435</v>
      </c>
      <c r="F181" s="62" t="s">
        <v>1058</v>
      </c>
      <c r="G181" s="63">
        <v>6</v>
      </c>
      <c r="H181" s="62" t="s">
        <v>420</v>
      </c>
      <c r="I181" s="64" t="s">
        <v>450</v>
      </c>
      <c r="J181" s="65">
        <v>6</v>
      </c>
    </row>
    <row r="182" spans="1:10">
      <c r="A182" s="58" t="s">
        <v>1318</v>
      </c>
      <c r="B182" s="58" t="s">
        <v>665</v>
      </c>
      <c r="C182" s="58" t="s">
        <v>420</v>
      </c>
      <c r="D182" s="58" t="s">
        <v>420</v>
      </c>
      <c r="E182" s="58" t="s">
        <v>435</v>
      </c>
      <c r="F182" s="58" t="s">
        <v>1058</v>
      </c>
      <c r="G182" s="59">
        <v>8</v>
      </c>
      <c r="H182" s="58" t="s">
        <v>420</v>
      </c>
      <c r="I182" s="60" t="s">
        <v>2277</v>
      </c>
      <c r="J182" s="61">
        <v>5</v>
      </c>
    </row>
    <row r="183" spans="1:10">
      <c r="A183" s="62" t="s">
        <v>1319</v>
      </c>
      <c r="B183" s="62" t="s">
        <v>666</v>
      </c>
      <c r="C183" s="62" t="s">
        <v>420</v>
      </c>
      <c r="D183" s="62" t="s">
        <v>420</v>
      </c>
      <c r="E183" s="62" t="s">
        <v>435</v>
      </c>
      <c r="F183" s="62" t="s">
        <v>1058</v>
      </c>
      <c r="G183" s="63">
        <v>6</v>
      </c>
      <c r="H183" s="62" t="s">
        <v>420</v>
      </c>
      <c r="I183" s="64" t="s">
        <v>450</v>
      </c>
      <c r="J183" s="65">
        <v>6</v>
      </c>
    </row>
    <row r="184" spans="1:10">
      <c r="A184" s="58" t="s">
        <v>1320</v>
      </c>
      <c r="B184" s="58" t="s">
        <v>667</v>
      </c>
      <c r="C184" s="58" t="s">
        <v>420</v>
      </c>
      <c r="D184" s="58" t="s">
        <v>420</v>
      </c>
      <c r="E184" s="58" t="s">
        <v>435</v>
      </c>
      <c r="F184" s="58" t="s">
        <v>1058</v>
      </c>
      <c r="G184" s="59">
        <v>8</v>
      </c>
      <c r="H184" s="58" t="s">
        <v>420</v>
      </c>
      <c r="I184" s="60" t="s">
        <v>450</v>
      </c>
      <c r="J184" s="61">
        <v>6</v>
      </c>
    </row>
    <row r="185" spans="1:10">
      <c r="A185" s="62" t="s">
        <v>1321</v>
      </c>
      <c r="B185" s="62" t="s">
        <v>668</v>
      </c>
      <c r="C185" s="62" t="s">
        <v>420</v>
      </c>
      <c r="D185" s="62" t="s">
        <v>420</v>
      </c>
      <c r="E185" s="62" t="s">
        <v>435</v>
      </c>
      <c r="F185" s="62" t="s">
        <v>1057</v>
      </c>
      <c r="G185" s="63">
        <v>7</v>
      </c>
      <c r="H185" s="62" t="s">
        <v>420</v>
      </c>
      <c r="I185" s="64" t="s">
        <v>2278</v>
      </c>
      <c r="J185" s="65">
        <v>3</v>
      </c>
    </row>
    <row r="186" spans="1:10">
      <c r="A186" s="58" t="s">
        <v>1322</v>
      </c>
      <c r="B186" s="58" t="s">
        <v>669</v>
      </c>
      <c r="C186" s="58" t="s">
        <v>420</v>
      </c>
      <c r="D186" s="58" t="s">
        <v>420</v>
      </c>
      <c r="E186" s="58" t="s">
        <v>421</v>
      </c>
      <c r="F186" s="58" t="s">
        <v>1058</v>
      </c>
      <c r="G186" s="59">
        <v>8</v>
      </c>
      <c r="H186" s="58" t="s">
        <v>420</v>
      </c>
      <c r="I186" s="60" t="s">
        <v>450</v>
      </c>
      <c r="J186" s="61">
        <v>4</v>
      </c>
    </row>
    <row r="187" spans="1:10">
      <c r="A187" s="62" t="s">
        <v>1323</v>
      </c>
      <c r="B187" s="62" t="s">
        <v>670</v>
      </c>
      <c r="C187" s="62" t="s">
        <v>420</v>
      </c>
      <c r="D187" s="62" t="s">
        <v>420</v>
      </c>
      <c r="E187" s="62" t="s">
        <v>435</v>
      </c>
      <c r="F187" s="62" t="s">
        <v>1058</v>
      </c>
      <c r="G187" s="63">
        <v>6</v>
      </c>
      <c r="H187" s="62" t="s">
        <v>420</v>
      </c>
      <c r="I187" s="64" t="s">
        <v>2277</v>
      </c>
      <c r="J187" s="65">
        <v>6</v>
      </c>
    </row>
    <row r="188" spans="1:10">
      <c r="A188" s="58" t="s">
        <v>1324</v>
      </c>
      <c r="B188" s="58" t="s">
        <v>671</v>
      </c>
      <c r="C188" s="58" t="s">
        <v>420</v>
      </c>
      <c r="D188" s="58" t="s">
        <v>420</v>
      </c>
      <c r="E188" s="58" t="s">
        <v>431</v>
      </c>
      <c r="F188" s="58" t="s">
        <v>1058</v>
      </c>
      <c r="G188" s="59">
        <v>7</v>
      </c>
      <c r="H188" s="58" t="s">
        <v>420</v>
      </c>
      <c r="I188" s="60" t="s">
        <v>450</v>
      </c>
      <c r="J188" s="61">
        <v>5</v>
      </c>
    </row>
    <row r="189" spans="1:10">
      <c r="A189" s="62" t="s">
        <v>1325</v>
      </c>
      <c r="B189" s="62" t="s">
        <v>672</v>
      </c>
      <c r="C189" s="62" t="s">
        <v>423</v>
      </c>
      <c r="D189" s="62" t="s">
        <v>423</v>
      </c>
      <c r="E189" s="62" t="s">
        <v>435</v>
      </c>
      <c r="F189" s="62" t="s">
        <v>1058</v>
      </c>
      <c r="G189" s="63">
        <v>6</v>
      </c>
      <c r="H189" s="62" t="s">
        <v>420</v>
      </c>
      <c r="I189" s="64" t="s">
        <v>2277</v>
      </c>
      <c r="J189" s="65">
        <v>6</v>
      </c>
    </row>
    <row r="190" spans="1:10">
      <c r="A190" s="58" t="s">
        <v>1326</v>
      </c>
      <c r="B190" s="58" t="s">
        <v>673</v>
      </c>
      <c r="C190" s="58" t="s">
        <v>420</v>
      </c>
      <c r="D190" s="58" t="s">
        <v>420</v>
      </c>
      <c r="E190" s="58" t="s">
        <v>431</v>
      </c>
      <c r="F190" s="58" t="s">
        <v>1058</v>
      </c>
      <c r="G190" s="59">
        <v>6</v>
      </c>
      <c r="H190" s="58" t="s">
        <v>420</v>
      </c>
      <c r="I190" s="60" t="s">
        <v>2277</v>
      </c>
      <c r="J190" s="61">
        <v>5</v>
      </c>
    </row>
    <row r="191" spans="1:10">
      <c r="A191" s="62" t="s">
        <v>1327</v>
      </c>
      <c r="B191" s="62" t="s">
        <v>674</v>
      </c>
      <c r="C191" s="62" t="s">
        <v>420</v>
      </c>
      <c r="D191" s="62" t="s">
        <v>420</v>
      </c>
      <c r="E191" s="62" t="s">
        <v>421</v>
      </c>
      <c r="F191" s="62" t="s">
        <v>1058</v>
      </c>
      <c r="G191" s="63">
        <v>8</v>
      </c>
      <c r="H191" s="62" t="s">
        <v>420</v>
      </c>
      <c r="I191" s="64" t="s">
        <v>450</v>
      </c>
      <c r="J191" s="65">
        <v>4</v>
      </c>
    </row>
    <row r="192" spans="1:10">
      <c r="A192" s="58" t="s">
        <v>1328</v>
      </c>
      <c r="B192" s="58" t="s">
        <v>675</v>
      </c>
      <c r="C192" s="58" t="s">
        <v>420</v>
      </c>
      <c r="D192" s="58" t="s">
        <v>420</v>
      </c>
      <c r="E192" s="58" t="s">
        <v>435</v>
      </c>
      <c r="F192" s="58" t="s">
        <v>1058</v>
      </c>
      <c r="G192" s="59">
        <v>8</v>
      </c>
      <c r="H192" s="58" t="s">
        <v>420</v>
      </c>
      <c r="I192" s="60" t="s">
        <v>2277</v>
      </c>
      <c r="J192" s="61">
        <v>5</v>
      </c>
    </row>
    <row r="193" spans="1:10">
      <c r="A193" s="62" t="s">
        <v>1329</v>
      </c>
      <c r="B193" s="62" t="s">
        <v>676</v>
      </c>
      <c r="C193" s="62" t="s">
        <v>420</v>
      </c>
      <c r="D193" s="62" t="s">
        <v>420</v>
      </c>
      <c r="E193" s="62" t="s">
        <v>434</v>
      </c>
      <c r="F193" s="62" t="s">
        <v>1058</v>
      </c>
      <c r="G193" s="63">
        <v>7</v>
      </c>
      <c r="H193" s="62" t="s">
        <v>2272</v>
      </c>
      <c r="I193" s="64" t="s">
        <v>450</v>
      </c>
      <c r="J193" s="65">
        <v>5</v>
      </c>
    </row>
    <row r="194" spans="1:10">
      <c r="A194" s="58" t="s">
        <v>1330</v>
      </c>
      <c r="B194" s="58" t="s">
        <v>677</v>
      </c>
      <c r="C194" s="58" t="s">
        <v>420</v>
      </c>
      <c r="D194" s="58" t="s">
        <v>420</v>
      </c>
      <c r="E194" s="58" t="s">
        <v>434</v>
      </c>
      <c r="F194" s="58" t="s">
        <v>1058</v>
      </c>
      <c r="G194" s="59">
        <v>6</v>
      </c>
      <c r="H194" s="58" t="s">
        <v>420</v>
      </c>
      <c r="I194" s="60" t="s">
        <v>2277</v>
      </c>
      <c r="J194" s="61">
        <v>4</v>
      </c>
    </row>
    <row r="195" spans="1:10">
      <c r="A195" s="62" t="s">
        <v>1331</v>
      </c>
      <c r="B195" s="62" t="s">
        <v>678</v>
      </c>
      <c r="C195" s="62" t="s">
        <v>420</v>
      </c>
      <c r="D195" s="62" t="s">
        <v>420</v>
      </c>
      <c r="E195" s="62" t="s">
        <v>431</v>
      </c>
      <c r="F195" s="62" t="s">
        <v>1057</v>
      </c>
      <c r="G195" s="63">
        <v>8</v>
      </c>
      <c r="H195" s="62" t="s">
        <v>420</v>
      </c>
      <c r="I195" s="64" t="s">
        <v>450</v>
      </c>
      <c r="J195" s="65">
        <v>4</v>
      </c>
    </row>
    <row r="196" spans="1:10">
      <c r="A196" s="58" t="s">
        <v>1332</v>
      </c>
      <c r="B196" s="58" t="s">
        <v>679</v>
      </c>
      <c r="C196" s="58" t="s">
        <v>420</v>
      </c>
      <c r="D196" s="58" t="s">
        <v>420</v>
      </c>
      <c r="E196" s="58" t="s">
        <v>431</v>
      </c>
      <c r="F196" s="58" t="s">
        <v>1058</v>
      </c>
      <c r="G196" s="59">
        <v>7</v>
      </c>
      <c r="H196" s="58" t="s">
        <v>420</v>
      </c>
      <c r="I196" s="60" t="s">
        <v>450</v>
      </c>
      <c r="J196" s="61">
        <v>4</v>
      </c>
    </row>
    <row r="197" spans="1:10">
      <c r="A197" s="62" t="s">
        <v>1333</v>
      </c>
      <c r="B197" s="62" t="s">
        <v>680</v>
      </c>
      <c r="C197" s="62" t="s">
        <v>423</v>
      </c>
      <c r="D197" s="62" t="s">
        <v>423</v>
      </c>
      <c r="E197" s="62" t="s">
        <v>434</v>
      </c>
      <c r="F197" s="62" t="s">
        <v>1058</v>
      </c>
      <c r="G197" s="63">
        <v>8</v>
      </c>
      <c r="H197" s="62" t="s">
        <v>420</v>
      </c>
      <c r="I197" s="64" t="s">
        <v>450</v>
      </c>
      <c r="J197" s="65">
        <v>7</v>
      </c>
    </row>
    <row r="198" spans="1:10">
      <c r="A198" s="58" t="s">
        <v>1334</v>
      </c>
      <c r="B198" s="58" t="s">
        <v>681</v>
      </c>
      <c r="C198" s="58" t="s">
        <v>423</v>
      </c>
      <c r="D198" s="58" t="s">
        <v>423</v>
      </c>
      <c r="E198" s="58" t="s">
        <v>435</v>
      </c>
      <c r="F198" s="58" t="s">
        <v>1058</v>
      </c>
      <c r="G198" s="59">
        <v>5</v>
      </c>
      <c r="H198" s="58" t="s">
        <v>2275</v>
      </c>
      <c r="I198" s="60" t="s">
        <v>450</v>
      </c>
      <c r="J198" s="61">
        <v>5</v>
      </c>
    </row>
    <row r="199" spans="1:10">
      <c r="A199" s="62" t="s">
        <v>1335</v>
      </c>
      <c r="B199" s="62" t="s">
        <v>682</v>
      </c>
      <c r="C199" s="62" t="s">
        <v>423</v>
      </c>
      <c r="D199" s="62" t="s">
        <v>423</v>
      </c>
      <c r="E199" s="62" t="s">
        <v>434</v>
      </c>
      <c r="F199" s="62" t="s">
        <v>1058</v>
      </c>
      <c r="G199" s="63">
        <v>7</v>
      </c>
      <c r="H199" s="62" t="s">
        <v>420</v>
      </c>
      <c r="I199" s="64" t="s">
        <v>450</v>
      </c>
      <c r="J199" s="65">
        <v>5</v>
      </c>
    </row>
    <row r="200" spans="1:10">
      <c r="A200" s="58" t="s">
        <v>1336</v>
      </c>
      <c r="B200" s="58" t="s">
        <v>683</v>
      </c>
      <c r="C200" s="58" t="s">
        <v>420</v>
      </c>
      <c r="D200" s="58" t="s">
        <v>420</v>
      </c>
      <c r="E200" s="58" t="s">
        <v>434</v>
      </c>
      <c r="F200" s="58" t="s">
        <v>1058</v>
      </c>
      <c r="G200" s="59">
        <v>6</v>
      </c>
      <c r="H200" s="58" t="s">
        <v>420</v>
      </c>
      <c r="I200" s="60" t="s">
        <v>2277</v>
      </c>
      <c r="J200" s="61">
        <v>8</v>
      </c>
    </row>
    <row r="201" spans="1:10">
      <c r="A201" s="62" t="s">
        <v>1337</v>
      </c>
      <c r="B201" s="62" t="s">
        <v>684</v>
      </c>
      <c r="C201" s="62" t="s">
        <v>420</v>
      </c>
      <c r="D201" s="62" t="s">
        <v>420</v>
      </c>
      <c r="E201" s="62" t="s">
        <v>435</v>
      </c>
      <c r="F201" s="62" t="s">
        <v>1058</v>
      </c>
      <c r="G201" s="63">
        <v>6</v>
      </c>
      <c r="H201" s="62" t="s">
        <v>2273</v>
      </c>
      <c r="I201" s="64" t="s">
        <v>2277</v>
      </c>
      <c r="J201" s="65">
        <v>3</v>
      </c>
    </row>
    <row r="202" spans="1:10">
      <c r="A202" s="58" t="s">
        <v>1338</v>
      </c>
      <c r="B202" s="58" t="s">
        <v>685</v>
      </c>
      <c r="C202" s="58" t="s">
        <v>420</v>
      </c>
      <c r="D202" s="58" t="s">
        <v>420</v>
      </c>
      <c r="E202" s="58" t="s">
        <v>426</v>
      </c>
      <c r="F202" s="58" t="s">
        <v>1058</v>
      </c>
      <c r="G202" s="59">
        <v>6.3008333333333297</v>
      </c>
      <c r="H202" s="58" t="s">
        <v>420</v>
      </c>
      <c r="I202" s="60" t="s">
        <v>2277</v>
      </c>
      <c r="J202" s="61">
        <v>4</v>
      </c>
    </row>
    <row r="203" spans="1:10">
      <c r="A203" s="62" t="s">
        <v>1339</v>
      </c>
      <c r="B203" s="62" t="s">
        <v>686</v>
      </c>
      <c r="C203" s="62" t="s">
        <v>420</v>
      </c>
      <c r="D203" s="62" t="s">
        <v>420</v>
      </c>
      <c r="E203" s="62" t="s">
        <v>435</v>
      </c>
      <c r="F203" s="62" t="s">
        <v>1058</v>
      </c>
      <c r="G203" s="63">
        <v>7</v>
      </c>
      <c r="H203" s="62" t="s">
        <v>420</v>
      </c>
      <c r="I203" s="64" t="s">
        <v>450</v>
      </c>
      <c r="J203" s="65">
        <v>7</v>
      </c>
    </row>
    <row r="204" spans="1:10">
      <c r="A204" s="58" t="s">
        <v>1340</v>
      </c>
      <c r="B204" s="58" t="s">
        <v>687</v>
      </c>
      <c r="C204" s="58" t="s">
        <v>420</v>
      </c>
      <c r="D204" s="58" t="s">
        <v>420</v>
      </c>
      <c r="E204" s="58" t="s">
        <v>434</v>
      </c>
      <c r="F204" s="58" t="s">
        <v>1058</v>
      </c>
      <c r="G204" s="59">
        <v>6</v>
      </c>
      <c r="H204" s="58" t="s">
        <v>2274</v>
      </c>
      <c r="I204" s="60" t="s">
        <v>450</v>
      </c>
      <c r="J204" s="61">
        <v>3</v>
      </c>
    </row>
    <row r="205" spans="1:10">
      <c r="A205" s="62" t="s">
        <v>1341</v>
      </c>
      <c r="B205" s="62" t="s">
        <v>688</v>
      </c>
      <c r="C205" s="62" t="s">
        <v>420</v>
      </c>
      <c r="D205" s="62" t="s">
        <v>420</v>
      </c>
      <c r="E205" s="62" t="s">
        <v>435</v>
      </c>
      <c r="F205" s="62" t="s">
        <v>1058</v>
      </c>
      <c r="G205" s="63">
        <v>6</v>
      </c>
      <c r="H205" s="62" t="s">
        <v>420</v>
      </c>
      <c r="I205" s="64" t="s">
        <v>450</v>
      </c>
      <c r="J205" s="65">
        <v>6</v>
      </c>
    </row>
    <row r="206" spans="1:10">
      <c r="A206" s="58" t="s">
        <v>1342</v>
      </c>
      <c r="B206" s="58" t="s">
        <v>689</v>
      </c>
      <c r="C206" s="58" t="s">
        <v>420</v>
      </c>
      <c r="D206" s="58" t="s">
        <v>420</v>
      </c>
      <c r="E206" s="58" t="s">
        <v>435</v>
      </c>
      <c r="F206" s="58" t="s">
        <v>1058</v>
      </c>
      <c r="G206" s="59">
        <v>8</v>
      </c>
      <c r="H206" s="58" t="s">
        <v>420</v>
      </c>
      <c r="I206" s="60" t="s">
        <v>2277</v>
      </c>
      <c r="J206" s="61">
        <v>5</v>
      </c>
    </row>
    <row r="207" spans="1:10">
      <c r="A207" s="62" t="s">
        <v>1343</v>
      </c>
      <c r="B207" s="62" t="s">
        <v>690</v>
      </c>
      <c r="C207" s="62" t="s">
        <v>420</v>
      </c>
      <c r="D207" s="62" t="s">
        <v>420</v>
      </c>
      <c r="E207" s="62" t="s">
        <v>435</v>
      </c>
      <c r="F207" s="62" t="s">
        <v>1058</v>
      </c>
      <c r="G207" s="63">
        <v>6</v>
      </c>
      <c r="H207" s="62" t="s">
        <v>420</v>
      </c>
      <c r="I207" s="64" t="s">
        <v>450</v>
      </c>
      <c r="J207" s="65">
        <v>6</v>
      </c>
    </row>
    <row r="208" spans="1:10">
      <c r="A208" s="58" t="s">
        <v>1344</v>
      </c>
      <c r="B208" s="58" t="s">
        <v>691</v>
      </c>
      <c r="C208" s="58" t="s">
        <v>420</v>
      </c>
      <c r="D208" s="58" t="s">
        <v>420</v>
      </c>
      <c r="E208" s="58" t="s">
        <v>435</v>
      </c>
      <c r="F208" s="58" t="s">
        <v>1058</v>
      </c>
      <c r="G208" s="59">
        <v>8</v>
      </c>
      <c r="H208" s="58" t="s">
        <v>420</v>
      </c>
      <c r="I208" s="60" t="s">
        <v>450</v>
      </c>
      <c r="J208" s="61">
        <v>6</v>
      </c>
    </row>
    <row r="209" spans="1:10">
      <c r="A209" s="62" t="s">
        <v>1345</v>
      </c>
      <c r="B209" s="62" t="s">
        <v>692</v>
      </c>
      <c r="C209" s="62" t="s">
        <v>420</v>
      </c>
      <c r="D209" s="62" t="s">
        <v>420</v>
      </c>
      <c r="E209" s="62" t="s">
        <v>435</v>
      </c>
      <c r="F209" s="62" t="s">
        <v>1057</v>
      </c>
      <c r="G209" s="63">
        <v>7</v>
      </c>
      <c r="H209" s="62" t="s">
        <v>420</v>
      </c>
      <c r="I209" s="64" t="s">
        <v>2278</v>
      </c>
      <c r="J209" s="65">
        <v>3</v>
      </c>
    </row>
    <row r="210" spans="1:10">
      <c r="A210" s="58" t="s">
        <v>1346</v>
      </c>
      <c r="B210" s="58" t="s">
        <v>693</v>
      </c>
      <c r="C210" s="58" t="s">
        <v>420</v>
      </c>
      <c r="D210" s="58" t="s">
        <v>420</v>
      </c>
      <c r="E210" s="58" t="s">
        <v>421</v>
      </c>
      <c r="F210" s="58" t="s">
        <v>1058</v>
      </c>
      <c r="G210" s="59">
        <v>8</v>
      </c>
      <c r="H210" s="58" t="s">
        <v>420</v>
      </c>
      <c r="I210" s="60" t="s">
        <v>450</v>
      </c>
      <c r="J210" s="61">
        <v>4</v>
      </c>
    </row>
    <row r="211" spans="1:10">
      <c r="A211" s="62" t="s">
        <v>1347</v>
      </c>
      <c r="B211" s="62" t="s">
        <v>694</v>
      </c>
      <c r="C211" s="62" t="s">
        <v>420</v>
      </c>
      <c r="D211" s="62" t="s">
        <v>420</v>
      </c>
      <c r="E211" s="62" t="s">
        <v>435</v>
      </c>
      <c r="F211" s="62" t="s">
        <v>1058</v>
      </c>
      <c r="G211" s="63">
        <v>6</v>
      </c>
      <c r="H211" s="62" t="s">
        <v>420</v>
      </c>
      <c r="I211" s="64" t="s">
        <v>2277</v>
      </c>
      <c r="J211" s="65">
        <v>6</v>
      </c>
    </row>
    <row r="212" spans="1:10">
      <c r="A212" s="58" t="s">
        <v>1348</v>
      </c>
      <c r="B212" s="58" t="s">
        <v>695</v>
      </c>
      <c r="C212" s="58" t="s">
        <v>420</v>
      </c>
      <c r="D212" s="58" t="s">
        <v>420</v>
      </c>
      <c r="E212" s="58" t="s">
        <v>431</v>
      </c>
      <c r="F212" s="58" t="s">
        <v>1058</v>
      </c>
      <c r="G212" s="59">
        <v>7</v>
      </c>
      <c r="H212" s="58" t="s">
        <v>420</v>
      </c>
      <c r="I212" s="60" t="s">
        <v>450</v>
      </c>
      <c r="J212" s="61">
        <v>5</v>
      </c>
    </row>
    <row r="213" spans="1:10">
      <c r="A213" s="62" t="s">
        <v>1349</v>
      </c>
      <c r="B213" s="62" t="s">
        <v>696</v>
      </c>
      <c r="C213" s="62" t="s">
        <v>423</v>
      </c>
      <c r="D213" s="62" t="s">
        <v>423</v>
      </c>
      <c r="E213" s="62" t="s">
        <v>435</v>
      </c>
      <c r="F213" s="62" t="s">
        <v>1058</v>
      </c>
      <c r="G213" s="63">
        <v>6</v>
      </c>
      <c r="H213" s="62" t="s">
        <v>420</v>
      </c>
      <c r="I213" s="64" t="s">
        <v>2277</v>
      </c>
      <c r="J213" s="65">
        <v>6</v>
      </c>
    </row>
    <row r="214" spans="1:10">
      <c r="A214" s="58" t="s">
        <v>1350</v>
      </c>
      <c r="B214" s="58" t="s">
        <v>697</v>
      </c>
      <c r="C214" s="58" t="s">
        <v>420</v>
      </c>
      <c r="D214" s="58" t="s">
        <v>420</v>
      </c>
      <c r="E214" s="58" t="s">
        <v>431</v>
      </c>
      <c r="F214" s="58" t="s">
        <v>1058</v>
      </c>
      <c r="G214" s="59">
        <v>6</v>
      </c>
      <c r="H214" s="58" t="s">
        <v>420</v>
      </c>
      <c r="I214" s="60" t="s">
        <v>2277</v>
      </c>
      <c r="J214" s="61">
        <v>5</v>
      </c>
    </row>
    <row r="215" spans="1:10">
      <c r="A215" s="62" t="s">
        <v>1351</v>
      </c>
      <c r="B215" s="62" t="s">
        <v>698</v>
      </c>
      <c r="C215" s="62" t="s">
        <v>420</v>
      </c>
      <c r="D215" s="62" t="s">
        <v>420</v>
      </c>
      <c r="E215" s="62" t="s">
        <v>421</v>
      </c>
      <c r="F215" s="62" t="s">
        <v>1058</v>
      </c>
      <c r="G215" s="63">
        <v>8</v>
      </c>
      <c r="H215" s="62" t="s">
        <v>420</v>
      </c>
      <c r="I215" s="64" t="s">
        <v>450</v>
      </c>
      <c r="J215" s="65">
        <v>4</v>
      </c>
    </row>
    <row r="216" spans="1:10">
      <c r="A216" s="58" t="s">
        <v>1352</v>
      </c>
      <c r="B216" s="58" t="s">
        <v>699</v>
      </c>
      <c r="C216" s="58" t="s">
        <v>420</v>
      </c>
      <c r="D216" s="58" t="s">
        <v>420</v>
      </c>
      <c r="E216" s="58" t="s">
        <v>435</v>
      </c>
      <c r="F216" s="58" t="s">
        <v>1058</v>
      </c>
      <c r="G216" s="59">
        <v>8</v>
      </c>
      <c r="H216" s="58" t="s">
        <v>420</v>
      </c>
      <c r="I216" s="60" t="s">
        <v>2277</v>
      </c>
      <c r="J216" s="61">
        <v>5</v>
      </c>
    </row>
    <row r="217" spans="1:10">
      <c r="A217" s="62" t="s">
        <v>1353</v>
      </c>
      <c r="B217" s="62" t="s">
        <v>700</v>
      </c>
      <c r="C217" s="62" t="s">
        <v>420</v>
      </c>
      <c r="D217" s="62" t="s">
        <v>420</v>
      </c>
      <c r="E217" s="62" t="s">
        <v>434</v>
      </c>
      <c r="F217" s="62" t="s">
        <v>1058</v>
      </c>
      <c r="G217" s="63">
        <v>7</v>
      </c>
      <c r="H217" s="62" t="s">
        <v>2272</v>
      </c>
      <c r="I217" s="64" t="s">
        <v>450</v>
      </c>
      <c r="J217" s="65">
        <v>5</v>
      </c>
    </row>
    <row r="218" spans="1:10">
      <c r="A218" s="58" t="s">
        <v>1354</v>
      </c>
      <c r="B218" s="58" t="s">
        <v>701</v>
      </c>
      <c r="C218" s="58" t="s">
        <v>420</v>
      </c>
      <c r="D218" s="58" t="s">
        <v>420</v>
      </c>
      <c r="E218" s="58" t="s">
        <v>434</v>
      </c>
      <c r="F218" s="58" t="s">
        <v>1058</v>
      </c>
      <c r="G218" s="59">
        <v>6</v>
      </c>
      <c r="H218" s="58" t="s">
        <v>420</v>
      </c>
      <c r="I218" s="60" t="s">
        <v>2277</v>
      </c>
      <c r="J218" s="61">
        <v>4</v>
      </c>
    </row>
    <row r="219" spans="1:10">
      <c r="A219" s="62" t="s">
        <v>1355</v>
      </c>
      <c r="B219" s="62" t="s">
        <v>702</v>
      </c>
      <c r="C219" s="62" t="s">
        <v>420</v>
      </c>
      <c r="D219" s="62" t="s">
        <v>420</v>
      </c>
      <c r="E219" s="62" t="s">
        <v>431</v>
      </c>
      <c r="F219" s="62" t="s">
        <v>1057</v>
      </c>
      <c r="G219" s="63">
        <v>8</v>
      </c>
      <c r="H219" s="62" t="s">
        <v>420</v>
      </c>
      <c r="I219" s="64" t="s">
        <v>450</v>
      </c>
      <c r="J219" s="65">
        <v>4</v>
      </c>
    </row>
    <row r="220" spans="1:10">
      <c r="A220" s="58" t="s">
        <v>1356</v>
      </c>
      <c r="B220" s="58" t="s">
        <v>703</v>
      </c>
      <c r="C220" s="58" t="s">
        <v>420</v>
      </c>
      <c r="D220" s="58" t="s">
        <v>420</v>
      </c>
      <c r="E220" s="58" t="s">
        <v>431</v>
      </c>
      <c r="F220" s="58" t="s">
        <v>1058</v>
      </c>
      <c r="G220" s="59">
        <v>7</v>
      </c>
      <c r="H220" s="58" t="s">
        <v>420</v>
      </c>
      <c r="I220" s="60" t="s">
        <v>450</v>
      </c>
      <c r="J220" s="61">
        <v>4</v>
      </c>
    </row>
    <row r="221" spans="1:10">
      <c r="A221" s="62" t="s">
        <v>1357</v>
      </c>
      <c r="B221" s="62" t="s">
        <v>704</v>
      </c>
      <c r="C221" s="62" t="s">
        <v>423</v>
      </c>
      <c r="D221" s="62" t="s">
        <v>423</v>
      </c>
      <c r="E221" s="62" t="s">
        <v>434</v>
      </c>
      <c r="F221" s="62" t="s">
        <v>1058</v>
      </c>
      <c r="G221" s="63">
        <v>8</v>
      </c>
      <c r="H221" s="62" t="s">
        <v>420</v>
      </c>
      <c r="I221" s="64" t="s">
        <v>450</v>
      </c>
      <c r="J221" s="65">
        <v>7</v>
      </c>
    </row>
    <row r="222" spans="1:10">
      <c r="A222" s="58" t="s">
        <v>1358</v>
      </c>
      <c r="B222" s="58" t="s">
        <v>705</v>
      </c>
      <c r="C222" s="58" t="s">
        <v>423</v>
      </c>
      <c r="D222" s="58" t="s">
        <v>423</v>
      </c>
      <c r="E222" s="58" t="s">
        <v>435</v>
      </c>
      <c r="F222" s="58" t="s">
        <v>1058</v>
      </c>
      <c r="G222" s="59">
        <v>5</v>
      </c>
      <c r="H222" s="58" t="s">
        <v>2275</v>
      </c>
      <c r="I222" s="60" t="s">
        <v>450</v>
      </c>
      <c r="J222" s="61">
        <v>5</v>
      </c>
    </row>
    <row r="223" spans="1:10">
      <c r="A223" s="62" t="s">
        <v>1359</v>
      </c>
      <c r="B223" s="62" t="s">
        <v>706</v>
      </c>
      <c r="C223" s="62" t="s">
        <v>423</v>
      </c>
      <c r="D223" s="62" t="s">
        <v>423</v>
      </c>
      <c r="E223" s="62" t="s">
        <v>434</v>
      </c>
      <c r="F223" s="62" t="s">
        <v>1058</v>
      </c>
      <c r="G223" s="63">
        <v>7</v>
      </c>
      <c r="H223" s="62" t="s">
        <v>420</v>
      </c>
      <c r="I223" s="64" t="s">
        <v>450</v>
      </c>
      <c r="J223" s="65">
        <v>5</v>
      </c>
    </row>
    <row r="224" spans="1:10">
      <c r="A224" s="58" t="s">
        <v>1360</v>
      </c>
      <c r="B224" s="58" t="s">
        <v>707</v>
      </c>
      <c r="C224" s="58" t="s">
        <v>420</v>
      </c>
      <c r="D224" s="58" t="s">
        <v>420</v>
      </c>
      <c r="E224" s="58" t="s">
        <v>434</v>
      </c>
      <c r="F224" s="58" t="s">
        <v>1058</v>
      </c>
      <c r="G224" s="59">
        <v>6</v>
      </c>
      <c r="H224" s="58" t="s">
        <v>420</v>
      </c>
      <c r="I224" s="60" t="s">
        <v>2277</v>
      </c>
      <c r="J224" s="61">
        <v>8</v>
      </c>
    </row>
    <row r="225" spans="1:10">
      <c r="A225" s="62" t="s">
        <v>1361</v>
      </c>
      <c r="B225" s="62" t="s">
        <v>708</v>
      </c>
      <c r="C225" s="62" t="s">
        <v>420</v>
      </c>
      <c r="D225" s="62" t="s">
        <v>420</v>
      </c>
      <c r="E225" s="62" t="s">
        <v>435</v>
      </c>
      <c r="F225" s="62" t="s">
        <v>1058</v>
      </c>
      <c r="G225" s="63">
        <v>6</v>
      </c>
      <c r="H225" s="62" t="s">
        <v>2273</v>
      </c>
      <c r="I225" s="64" t="s">
        <v>2277</v>
      </c>
      <c r="J225" s="65">
        <v>3</v>
      </c>
    </row>
    <row r="226" spans="1:10">
      <c r="A226" s="58" t="s">
        <v>1362</v>
      </c>
      <c r="B226" s="58" t="s">
        <v>709</v>
      </c>
      <c r="C226" s="58" t="s">
        <v>420</v>
      </c>
      <c r="D226" s="58" t="s">
        <v>420</v>
      </c>
      <c r="E226" s="58" t="s">
        <v>426</v>
      </c>
      <c r="F226" s="58" t="s">
        <v>1058</v>
      </c>
      <c r="G226" s="59">
        <v>6.3008333333333297</v>
      </c>
      <c r="H226" s="58" t="s">
        <v>420</v>
      </c>
      <c r="I226" s="60" t="s">
        <v>2277</v>
      </c>
      <c r="J226" s="61">
        <v>4</v>
      </c>
    </row>
    <row r="227" spans="1:10">
      <c r="A227" s="62" t="s">
        <v>1363</v>
      </c>
      <c r="B227" s="62" t="s">
        <v>710</v>
      </c>
      <c r="C227" s="62" t="s">
        <v>420</v>
      </c>
      <c r="D227" s="62" t="s">
        <v>420</v>
      </c>
      <c r="E227" s="62" t="s">
        <v>435</v>
      </c>
      <c r="F227" s="62" t="s">
        <v>1058</v>
      </c>
      <c r="G227" s="63">
        <v>7</v>
      </c>
      <c r="H227" s="62" t="s">
        <v>420</v>
      </c>
      <c r="I227" s="64" t="s">
        <v>450</v>
      </c>
      <c r="J227" s="65">
        <v>7</v>
      </c>
    </row>
    <row r="228" spans="1:10">
      <c r="A228" s="58" t="s">
        <v>1364</v>
      </c>
      <c r="B228" s="58" t="s">
        <v>711</v>
      </c>
      <c r="C228" s="58" t="s">
        <v>420</v>
      </c>
      <c r="D228" s="58" t="s">
        <v>420</v>
      </c>
      <c r="E228" s="58" t="s">
        <v>434</v>
      </c>
      <c r="F228" s="58" t="s">
        <v>1058</v>
      </c>
      <c r="G228" s="59">
        <v>6</v>
      </c>
      <c r="H228" s="58" t="s">
        <v>2274</v>
      </c>
      <c r="I228" s="60" t="s">
        <v>450</v>
      </c>
      <c r="J228" s="61">
        <v>3</v>
      </c>
    </row>
    <row r="229" spans="1:10">
      <c r="A229" s="62" t="s">
        <v>1365</v>
      </c>
      <c r="B229" s="62" t="s">
        <v>712</v>
      </c>
      <c r="C229" s="62" t="s">
        <v>420</v>
      </c>
      <c r="D229" s="62" t="s">
        <v>420</v>
      </c>
      <c r="E229" s="62" t="s">
        <v>435</v>
      </c>
      <c r="F229" s="62" t="s">
        <v>1058</v>
      </c>
      <c r="G229" s="63">
        <v>6</v>
      </c>
      <c r="H229" s="62" t="s">
        <v>420</v>
      </c>
      <c r="I229" s="64" t="s">
        <v>450</v>
      </c>
      <c r="J229" s="65">
        <v>6</v>
      </c>
    </row>
    <row r="230" spans="1:10">
      <c r="A230" s="58" t="s">
        <v>1366</v>
      </c>
      <c r="B230" s="58" t="s">
        <v>713</v>
      </c>
      <c r="C230" s="58" t="s">
        <v>420</v>
      </c>
      <c r="D230" s="58" t="s">
        <v>420</v>
      </c>
      <c r="E230" s="58" t="s">
        <v>435</v>
      </c>
      <c r="F230" s="58" t="s">
        <v>1058</v>
      </c>
      <c r="G230" s="59">
        <v>8</v>
      </c>
      <c r="H230" s="58" t="s">
        <v>420</v>
      </c>
      <c r="I230" s="60" t="s">
        <v>2277</v>
      </c>
      <c r="J230" s="61">
        <v>5</v>
      </c>
    </row>
    <row r="231" spans="1:10">
      <c r="A231" s="62" t="s">
        <v>1367</v>
      </c>
      <c r="B231" s="62" t="s">
        <v>714</v>
      </c>
      <c r="C231" s="62" t="s">
        <v>420</v>
      </c>
      <c r="D231" s="62" t="s">
        <v>420</v>
      </c>
      <c r="E231" s="62" t="s">
        <v>435</v>
      </c>
      <c r="F231" s="62" t="s">
        <v>1058</v>
      </c>
      <c r="G231" s="63">
        <v>6</v>
      </c>
      <c r="H231" s="62" t="s">
        <v>420</v>
      </c>
      <c r="I231" s="64" t="s">
        <v>450</v>
      </c>
      <c r="J231" s="65">
        <v>6</v>
      </c>
    </row>
    <row r="232" spans="1:10">
      <c r="A232" s="58" t="s">
        <v>1368</v>
      </c>
      <c r="B232" s="58" t="s">
        <v>715</v>
      </c>
      <c r="C232" s="58" t="s">
        <v>420</v>
      </c>
      <c r="D232" s="58" t="s">
        <v>420</v>
      </c>
      <c r="E232" s="58" t="s">
        <v>435</v>
      </c>
      <c r="F232" s="58" t="s">
        <v>1058</v>
      </c>
      <c r="G232" s="59">
        <v>8</v>
      </c>
      <c r="H232" s="58" t="s">
        <v>420</v>
      </c>
      <c r="I232" s="60" t="s">
        <v>450</v>
      </c>
      <c r="J232" s="61">
        <v>6</v>
      </c>
    </row>
    <row r="233" spans="1:10">
      <c r="A233" s="62" t="s">
        <v>1369</v>
      </c>
      <c r="B233" s="62" t="s">
        <v>716</v>
      </c>
      <c r="C233" s="62" t="s">
        <v>420</v>
      </c>
      <c r="D233" s="62" t="s">
        <v>420</v>
      </c>
      <c r="E233" s="62" t="s">
        <v>435</v>
      </c>
      <c r="F233" s="62" t="s">
        <v>1057</v>
      </c>
      <c r="G233" s="63">
        <v>7</v>
      </c>
      <c r="H233" s="62" t="s">
        <v>420</v>
      </c>
      <c r="I233" s="64" t="s">
        <v>2278</v>
      </c>
      <c r="J233" s="65">
        <v>3</v>
      </c>
    </row>
    <row r="234" spans="1:10">
      <c r="A234" s="58" t="s">
        <v>1370</v>
      </c>
      <c r="B234" s="58" t="s">
        <v>717</v>
      </c>
      <c r="C234" s="58" t="s">
        <v>420</v>
      </c>
      <c r="D234" s="58" t="s">
        <v>420</v>
      </c>
      <c r="E234" s="58" t="s">
        <v>421</v>
      </c>
      <c r="F234" s="58" t="s">
        <v>1058</v>
      </c>
      <c r="G234" s="59">
        <v>8</v>
      </c>
      <c r="H234" s="58" t="s">
        <v>420</v>
      </c>
      <c r="I234" s="60" t="s">
        <v>450</v>
      </c>
      <c r="J234" s="61">
        <v>4</v>
      </c>
    </row>
    <row r="235" spans="1:10">
      <c r="A235" s="62" t="s">
        <v>1371</v>
      </c>
      <c r="B235" s="62" t="s">
        <v>718</v>
      </c>
      <c r="C235" s="62" t="s">
        <v>420</v>
      </c>
      <c r="D235" s="62" t="s">
        <v>420</v>
      </c>
      <c r="E235" s="62" t="s">
        <v>435</v>
      </c>
      <c r="F235" s="62" t="s">
        <v>1058</v>
      </c>
      <c r="G235" s="63">
        <v>6</v>
      </c>
      <c r="H235" s="62" t="s">
        <v>420</v>
      </c>
      <c r="I235" s="64" t="s">
        <v>2277</v>
      </c>
      <c r="J235" s="65">
        <v>6</v>
      </c>
    </row>
    <row r="236" spans="1:10">
      <c r="A236" s="58" t="s">
        <v>1372</v>
      </c>
      <c r="B236" s="58" t="s">
        <v>719</v>
      </c>
      <c r="C236" s="58" t="s">
        <v>420</v>
      </c>
      <c r="D236" s="58" t="s">
        <v>420</v>
      </c>
      <c r="E236" s="58" t="s">
        <v>431</v>
      </c>
      <c r="F236" s="58" t="s">
        <v>1058</v>
      </c>
      <c r="G236" s="59">
        <v>7</v>
      </c>
      <c r="H236" s="58" t="s">
        <v>420</v>
      </c>
      <c r="I236" s="60" t="s">
        <v>450</v>
      </c>
      <c r="J236" s="61">
        <v>5</v>
      </c>
    </row>
    <row r="237" spans="1:10">
      <c r="A237" s="62" t="s">
        <v>1373</v>
      </c>
      <c r="B237" s="62" t="s">
        <v>720</v>
      </c>
      <c r="C237" s="62" t="s">
        <v>423</v>
      </c>
      <c r="D237" s="62" t="s">
        <v>423</v>
      </c>
      <c r="E237" s="62" t="s">
        <v>435</v>
      </c>
      <c r="F237" s="62" t="s">
        <v>1058</v>
      </c>
      <c r="G237" s="63">
        <v>6</v>
      </c>
      <c r="H237" s="62" t="s">
        <v>420</v>
      </c>
      <c r="I237" s="64" t="s">
        <v>2277</v>
      </c>
      <c r="J237" s="65">
        <v>6</v>
      </c>
    </row>
    <row r="238" spans="1:10">
      <c r="A238" s="58" t="s">
        <v>1374</v>
      </c>
      <c r="B238" s="58" t="s">
        <v>721</v>
      </c>
      <c r="C238" s="58" t="s">
        <v>420</v>
      </c>
      <c r="D238" s="58" t="s">
        <v>420</v>
      </c>
      <c r="E238" s="58" t="s">
        <v>431</v>
      </c>
      <c r="F238" s="58" t="s">
        <v>1058</v>
      </c>
      <c r="G238" s="59">
        <v>6</v>
      </c>
      <c r="H238" s="58" t="s">
        <v>420</v>
      </c>
      <c r="I238" s="60" t="s">
        <v>2277</v>
      </c>
      <c r="J238" s="61">
        <v>5</v>
      </c>
    </row>
    <row r="239" spans="1:10">
      <c r="A239" s="62" t="s">
        <v>1375</v>
      </c>
      <c r="B239" s="62" t="s">
        <v>722</v>
      </c>
      <c r="C239" s="62" t="s">
        <v>420</v>
      </c>
      <c r="D239" s="62" t="s">
        <v>420</v>
      </c>
      <c r="E239" s="62" t="s">
        <v>421</v>
      </c>
      <c r="F239" s="62" t="s">
        <v>1058</v>
      </c>
      <c r="G239" s="63">
        <v>8</v>
      </c>
      <c r="H239" s="62" t="s">
        <v>420</v>
      </c>
      <c r="I239" s="64" t="s">
        <v>450</v>
      </c>
      <c r="J239" s="65">
        <v>4</v>
      </c>
    </row>
    <row r="240" spans="1:10">
      <c r="A240" s="58" t="s">
        <v>1376</v>
      </c>
      <c r="B240" s="58" t="s">
        <v>723</v>
      </c>
      <c r="C240" s="58" t="s">
        <v>420</v>
      </c>
      <c r="D240" s="58" t="s">
        <v>420</v>
      </c>
      <c r="E240" s="58" t="s">
        <v>435</v>
      </c>
      <c r="F240" s="58" t="s">
        <v>1058</v>
      </c>
      <c r="G240" s="59">
        <v>8</v>
      </c>
      <c r="H240" s="58" t="s">
        <v>420</v>
      </c>
      <c r="I240" s="60" t="s">
        <v>2277</v>
      </c>
      <c r="J240" s="61">
        <v>5</v>
      </c>
    </row>
    <row r="241" spans="1:10">
      <c r="A241" s="62" t="s">
        <v>1377</v>
      </c>
      <c r="B241" s="62" t="s">
        <v>724</v>
      </c>
      <c r="C241" s="62" t="s">
        <v>420</v>
      </c>
      <c r="D241" s="62" t="s">
        <v>420</v>
      </c>
      <c r="E241" s="62" t="s">
        <v>434</v>
      </c>
      <c r="F241" s="62" t="s">
        <v>1058</v>
      </c>
      <c r="G241" s="63">
        <v>7</v>
      </c>
      <c r="H241" s="62" t="s">
        <v>2272</v>
      </c>
      <c r="I241" s="64" t="s">
        <v>450</v>
      </c>
      <c r="J241" s="65">
        <v>5</v>
      </c>
    </row>
    <row r="242" spans="1:10">
      <c r="A242" s="58" t="s">
        <v>1378</v>
      </c>
      <c r="B242" s="58" t="s">
        <v>725</v>
      </c>
      <c r="C242" s="58" t="s">
        <v>420</v>
      </c>
      <c r="D242" s="58" t="s">
        <v>420</v>
      </c>
      <c r="E242" s="58" t="s">
        <v>434</v>
      </c>
      <c r="F242" s="58" t="s">
        <v>1058</v>
      </c>
      <c r="G242" s="59">
        <v>6</v>
      </c>
      <c r="H242" s="58" t="s">
        <v>420</v>
      </c>
      <c r="I242" s="60" t="s">
        <v>2277</v>
      </c>
      <c r="J242" s="61">
        <v>4</v>
      </c>
    </row>
    <row r="243" spans="1:10">
      <c r="A243" s="62" t="s">
        <v>1379</v>
      </c>
      <c r="B243" s="62" t="s">
        <v>726</v>
      </c>
      <c r="C243" s="62" t="s">
        <v>420</v>
      </c>
      <c r="D243" s="62" t="s">
        <v>420</v>
      </c>
      <c r="E243" s="62" t="s">
        <v>431</v>
      </c>
      <c r="F243" s="62" t="s">
        <v>1057</v>
      </c>
      <c r="G243" s="63">
        <v>8</v>
      </c>
      <c r="H243" s="62" t="s">
        <v>420</v>
      </c>
      <c r="I243" s="64" t="s">
        <v>450</v>
      </c>
      <c r="J243" s="65">
        <v>4</v>
      </c>
    </row>
    <row r="244" spans="1:10">
      <c r="A244" s="58" t="s">
        <v>1380</v>
      </c>
      <c r="B244" s="58" t="s">
        <v>727</v>
      </c>
      <c r="C244" s="58" t="s">
        <v>420</v>
      </c>
      <c r="D244" s="58" t="s">
        <v>420</v>
      </c>
      <c r="E244" s="58" t="s">
        <v>431</v>
      </c>
      <c r="F244" s="58" t="s">
        <v>1058</v>
      </c>
      <c r="G244" s="59">
        <v>7</v>
      </c>
      <c r="H244" s="58" t="s">
        <v>420</v>
      </c>
      <c r="I244" s="60" t="s">
        <v>450</v>
      </c>
      <c r="J244" s="61">
        <v>4</v>
      </c>
    </row>
    <row r="245" spans="1:10">
      <c r="A245" s="62" t="s">
        <v>1381</v>
      </c>
      <c r="B245" s="62" t="s">
        <v>728</v>
      </c>
      <c r="C245" s="62" t="s">
        <v>423</v>
      </c>
      <c r="D245" s="62" t="s">
        <v>423</v>
      </c>
      <c r="E245" s="62" t="s">
        <v>434</v>
      </c>
      <c r="F245" s="62" t="s">
        <v>1058</v>
      </c>
      <c r="G245" s="63">
        <v>8</v>
      </c>
      <c r="H245" s="62" t="s">
        <v>420</v>
      </c>
      <c r="I245" s="64" t="s">
        <v>450</v>
      </c>
      <c r="J245" s="65">
        <v>7</v>
      </c>
    </row>
    <row r="246" spans="1:10">
      <c r="A246" s="58" t="s">
        <v>1382</v>
      </c>
      <c r="B246" s="58" t="s">
        <v>729</v>
      </c>
      <c r="C246" s="58" t="s">
        <v>423</v>
      </c>
      <c r="D246" s="58" t="s">
        <v>423</v>
      </c>
      <c r="E246" s="58" t="s">
        <v>435</v>
      </c>
      <c r="F246" s="58" t="s">
        <v>1058</v>
      </c>
      <c r="G246" s="59">
        <v>5</v>
      </c>
      <c r="H246" s="58" t="s">
        <v>2275</v>
      </c>
      <c r="I246" s="60" t="s">
        <v>450</v>
      </c>
      <c r="J246" s="61">
        <v>5</v>
      </c>
    </row>
    <row r="247" spans="1:10">
      <c r="A247" s="62" t="s">
        <v>1383</v>
      </c>
      <c r="B247" s="62" t="s">
        <v>730</v>
      </c>
      <c r="C247" s="62" t="s">
        <v>423</v>
      </c>
      <c r="D247" s="62" t="s">
        <v>423</v>
      </c>
      <c r="E247" s="62" t="s">
        <v>434</v>
      </c>
      <c r="F247" s="62" t="s">
        <v>1058</v>
      </c>
      <c r="G247" s="63">
        <v>7</v>
      </c>
      <c r="H247" s="62" t="s">
        <v>420</v>
      </c>
      <c r="I247" s="64" t="s">
        <v>450</v>
      </c>
      <c r="J247" s="65">
        <v>5</v>
      </c>
    </row>
    <row r="248" spans="1:10">
      <c r="A248" s="58" t="s">
        <v>1384</v>
      </c>
      <c r="B248" s="58" t="s">
        <v>731</v>
      </c>
      <c r="C248" s="58" t="s">
        <v>420</v>
      </c>
      <c r="D248" s="58" t="s">
        <v>420</v>
      </c>
      <c r="E248" s="58" t="s">
        <v>434</v>
      </c>
      <c r="F248" s="58" t="s">
        <v>1058</v>
      </c>
      <c r="G248" s="59">
        <v>6</v>
      </c>
      <c r="H248" s="58" t="s">
        <v>420</v>
      </c>
      <c r="I248" s="60" t="s">
        <v>2277</v>
      </c>
      <c r="J248" s="61">
        <v>8</v>
      </c>
    </row>
    <row r="249" spans="1:10">
      <c r="A249" s="62" t="s">
        <v>1385</v>
      </c>
      <c r="B249" s="62" t="s">
        <v>732</v>
      </c>
      <c r="C249" s="62" t="s">
        <v>420</v>
      </c>
      <c r="D249" s="62" t="s">
        <v>420</v>
      </c>
      <c r="E249" s="62" t="s">
        <v>435</v>
      </c>
      <c r="F249" s="62" t="s">
        <v>1058</v>
      </c>
      <c r="G249" s="63">
        <v>6</v>
      </c>
      <c r="H249" s="62" t="s">
        <v>2273</v>
      </c>
      <c r="I249" s="64" t="s">
        <v>2277</v>
      </c>
      <c r="J249" s="65">
        <v>3</v>
      </c>
    </row>
    <row r="250" spans="1:10">
      <c r="A250" s="58" t="s">
        <v>1386</v>
      </c>
      <c r="B250" s="58" t="s">
        <v>733</v>
      </c>
      <c r="C250" s="58" t="s">
        <v>420</v>
      </c>
      <c r="D250" s="58" t="s">
        <v>420</v>
      </c>
      <c r="E250" s="58" t="s">
        <v>426</v>
      </c>
      <c r="F250" s="58" t="s">
        <v>1058</v>
      </c>
      <c r="G250" s="59">
        <v>6.3008333333333297</v>
      </c>
      <c r="H250" s="58" t="s">
        <v>420</v>
      </c>
      <c r="I250" s="60" t="s">
        <v>2277</v>
      </c>
      <c r="J250" s="61">
        <v>4</v>
      </c>
    </row>
    <row r="251" spans="1:10">
      <c r="A251" s="62" t="s">
        <v>1387</v>
      </c>
      <c r="B251" s="62" t="s">
        <v>734</v>
      </c>
      <c r="C251" s="62" t="s">
        <v>420</v>
      </c>
      <c r="D251" s="62" t="s">
        <v>420</v>
      </c>
      <c r="E251" s="62" t="s">
        <v>435</v>
      </c>
      <c r="F251" s="62" t="s">
        <v>1058</v>
      </c>
      <c r="G251" s="63">
        <v>7</v>
      </c>
      <c r="H251" s="62" t="s">
        <v>420</v>
      </c>
      <c r="I251" s="64" t="s">
        <v>450</v>
      </c>
      <c r="J251" s="65">
        <v>7</v>
      </c>
    </row>
    <row r="252" spans="1:10">
      <c r="A252" s="58" t="s">
        <v>1388</v>
      </c>
      <c r="B252" s="58" t="s">
        <v>735</v>
      </c>
      <c r="C252" s="58" t="s">
        <v>420</v>
      </c>
      <c r="D252" s="58" t="s">
        <v>420</v>
      </c>
      <c r="E252" s="58" t="s">
        <v>434</v>
      </c>
      <c r="F252" s="58" t="s">
        <v>1058</v>
      </c>
      <c r="G252" s="59">
        <v>6</v>
      </c>
      <c r="H252" s="58" t="s">
        <v>2274</v>
      </c>
      <c r="I252" s="60" t="s">
        <v>450</v>
      </c>
      <c r="J252" s="61">
        <v>3</v>
      </c>
    </row>
    <row r="253" spans="1:10">
      <c r="A253" s="62" t="s">
        <v>1389</v>
      </c>
      <c r="B253" s="62" t="s">
        <v>736</v>
      </c>
      <c r="C253" s="62" t="s">
        <v>420</v>
      </c>
      <c r="D253" s="62" t="s">
        <v>420</v>
      </c>
      <c r="E253" s="62" t="s">
        <v>435</v>
      </c>
      <c r="F253" s="62" t="s">
        <v>1058</v>
      </c>
      <c r="G253" s="63">
        <v>6</v>
      </c>
      <c r="H253" s="62" t="s">
        <v>420</v>
      </c>
      <c r="I253" s="64" t="s">
        <v>450</v>
      </c>
      <c r="J253" s="65">
        <v>6</v>
      </c>
    </row>
    <row r="254" spans="1:10">
      <c r="A254" s="58" t="s">
        <v>1390</v>
      </c>
      <c r="B254" s="58" t="s">
        <v>737</v>
      </c>
      <c r="C254" s="58" t="s">
        <v>420</v>
      </c>
      <c r="D254" s="58" t="s">
        <v>420</v>
      </c>
      <c r="E254" s="58" t="s">
        <v>435</v>
      </c>
      <c r="F254" s="58" t="s">
        <v>1058</v>
      </c>
      <c r="G254" s="59">
        <v>8</v>
      </c>
      <c r="H254" s="58" t="s">
        <v>420</v>
      </c>
      <c r="I254" s="60" t="s">
        <v>2277</v>
      </c>
      <c r="J254" s="61">
        <v>5</v>
      </c>
    </row>
    <row r="255" spans="1:10">
      <c r="A255" s="62" t="s">
        <v>1391</v>
      </c>
      <c r="B255" s="62" t="s">
        <v>738</v>
      </c>
      <c r="C255" s="62" t="s">
        <v>420</v>
      </c>
      <c r="D255" s="62" t="s">
        <v>420</v>
      </c>
      <c r="E255" s="62" t="s">
        <v>435</v>
      </c>
      <c r="F255" s="62" t="s">
        <v>1058</v>
      </c>
      <c r="G255" s="63">
        <v>6</v>
      </c>
      <c r="H255" s="62" t="s">
        <v>420</v>
      </c>
      <c r="I255" s="64" t="s">
        <v>450</v>
      </c>
      <c r="J255" s="65">
        <v>6</v>
      </c>
    </row>
    <row r="256" spans="1:10">
      <c r="A256" s="58" t="s">
        <v>1392</v>
      </c>
      <c r="B256" s="58" t="s">
        <v>739</v>
      </c>
      <c r="C256" s="58" t="s">
        <v>420</v>
      </c>
      <c r="D256" s="58" t="s">
        <v>420</v>
      </c>
      <c r="E256" s="58" t="s">
        <v>435</v>
      </c>
      <c r="F256" s="58" t="s">
        <v>1058</v>
      </c>
      <c r="G256" s="59">
        <v>8</v>
      </c>
      <c r="H256" s="58" t="s">
        <v>420</v>
      </c>
      <c r="I256" s="60" t="s">
        <v>450</v>
      </c>
      <c r="J256" s="61">
        <v>6</v>
      </c>
    </row>
    <row r="257" spans="1:10">
      <c r="A257" s="62" t="s">
        <v>1393</v>
      </c>
      <c r="B257" s="62" t="s">
        <v>740</v>
      </c>
      <c r="C257" s="62" t="s">
        <v>420</v>
      </c>
      <c r="D257" s="62" t="s">
        <v>420</v>
      </c>
      <c r="E257" s="62" t="s">
        <v>435</v>
      </c>
      <c r="F257" s="62" t="s">
        <v>1057</v>
      </c>
      <c r="G257" s="63">
        <v>7</v>
      </c>
      <c r="H257" s="62" t="s">
        <v>420</v>
      </c>
      <c r="I257" s="64" t="s">
        <v>2278</v>
      </c>
      <c r="J257" s="65">
        <v>3</v>
      </c>
    </row>
    <row r="258" spans="1:10">
      <c r="A258" s="58" t="s">
        <v>1394</v>
      </c>
      <c r="B258" s="58" t="s">
        <v>741</v>
      </c>
      <c r="C258" s="58" t="s">
        <v>420</v>
      </c>
      <c r="D258" s="58" t="s">
        <v>420</v>
      </c>
      <c r="E258" s="58" t="s">
        <v>421</v>
      </c>
      <c r="F258" s="58" t="s">
        <v>1058</v>
      </c>
      <c r="G258" s="59">
        <v>8</v>
      </c>
      <c r="H258" s="58" t="s">
        <v>420</v>
      </c>
      <c r="I258" s="60" t="s">
        <v>450</v>
      </c>
      <c r="J258" s="61">
        <v>4</v>
      </c>
    </row>
    <row r="259" spans="1:10">
      <c r="A259" s="62" t="s">
        <v>1395</v>
      </c>
      <c r="B259" s="62" t="s">
        <v>742</v>
      </c>
      <c r="C259" s="62" t="s">
        <v>420</v>
      </c>
      <c r="D259" s="62" t="s">
        <v>420</v>
      </c>
      <c r="E259" s="62" t="s">
        <v>435</v>
      </c>
      <c r="F259" s="62" t="s">
        <v>1058</v>
      </c>
      <c r="G259" s="63">
        <v>6</v>
      </c>
      <c r="H259" s="62" t="s">
        <v>420</v>
      </c>
      <c r="I259" s="64" t="s">
        <v>2277</v>
      </c>
      <c r="J259" s="65">
        <v>6</v>
      </c>
    </row>
    <row r="260" spans="1:10">
      <c r="A260" s="58" t="s">
        <v>1396</v>
      </c>
      <c r="B260" s="58" t="s">
        <v>743</v>
      </c>
      <c r="C260" s="58" t="s">
        <v>420</v>
      </c>
      <c r="D260" s="58" t="s">
        <v>420</v>
      </c>
      <c r="E260" s="58" t="s">
        <v>431</v>
      </c>
      <c r="F260" s="58" t="s">
        <v>1058</v>
      </c>
      <c r="G260" s="59">
        <v>7</v>
      </c>
      <c r="H260" s="58" t="s">
        <v>420</v>
      </c>
      <c r="I260" s="60" t="s">
        <v>450</v>
      </c>
      <c r="J260" s="61">
        <v>5</v>
      </c>
    </row>
    <row r="261" spans="1:10">
      <c r="A261" s="62" t="s">
        <v>1397</v>
      </c>
      <c r="B261" s="62" t="s">
        <v>744</v>
      </c>
      <c r="C261" s="62" t="s">
        <v>423</v>
      </c>
      <c r="D261" s="62" t="s">
        <v>423</v>
      </c>
      <c r="E261" s="62" t="s">
        <v>435</v>
      </c>
      <c r="F261" s="62" t="s">
        <v>1058</v>
      </c>
      <c r="G261" s="63">
        <v>6</v>
      </c>
      <c r="H261" s="62" t="s">
        <v>420</v>
      </c>
      <c r="I261" s="64" t="s">
        <v>2277</v>
      </c>
      <c r="J261" s="65">
        <v>6</v>
      </c>
    </row>
    <row r="262" spans="1:10">
      <c r="A262" s="58" t="s">
        <v>1398</v>
      </c>
      <c r="B262" s="58" t="s">
        <v>745</v>
      </c>
      <c r="C262" s="58" t="s">
        <v>420</v>
      </c>
      <c r="D262" s="58" t="s">
        <v>420</v>
      </c>
      <c r="E262" s="58" t="s">
        <v>431</v>
      </c>
      <c r="F262" s="58" t="s">
        <v>1058</v>
      </c>
      <c r="G262" s="59">
        <v>6</v>
      </c>
      <c r="H262" s="58" t="s">
        <v>420</v>
      </c>
      <c r="I262" s="60" t="s">
        <v>2277</v>
      </c>
      <c r="J262" s="61">
        <v>5</v>
      </c>
    </row>
    <row r="263" spans="1:10">
      <c r="A263" s="62" t="s">
        <v>1399</v>
      </c>
      <c r="B263" s="62" t="s">
        <v>746</v>
      </c>
      <c r="C263" s="62" t="s">
        <v>420</v>
      </c>
      <c r="D263" s="62" t="s">
        <v>420</v>
      </c>
      <c r="E263" s="62" t="s">
        <v>421</v>
      </c>
      <c r="F263" s="62" t="s">
        <v>1058</v>
      </c>
      <c r="G263" s="63">
        <v>8</v>
      </c>
      <c r="H263" s="62" t="s">
        <v>420</v>
      </c>
      <c r="I263" s="64" t="s">
        <v>450</v>
      </c>
      <c r="J263" s="65">
        <v>4</v>
      </c>
    </row>
    <row r="264" spans="1:10">
      <c r="A264" s="58" t="s">
        <v>1400</v>
      </c>
      <c r="B264" s="58" t="s">
        <v>747</v>
      </c>
      <c r="C264" s="58" t="s">
        <v>420</v>
      </c>
      <c r="D264" s="58" t="s">
        <v>420</v>
      </c>
      <c r="E264" s="58" t="s">
        <v>435</v>
      </c>
      <c r="F264" s="58" t="s">
        <v>1058</v>
      </c>
      <c r="G264" s="59">
        <v>8</v>
      </c>
      <c r="H264" s="58" t="s">
        <v>420</v>
      </c>
      <c r="I264" s="60" t="s">
        <v>2277</v>
      </c>
      <c r="J264" s="61">
        <v>5</v>
      </c>
    </row>
    <row r="265" spans="1:10">
      <c r="A265" s="62" t="s">
        <v>1401</v>
      </c>
      <c r="B265" s="62" t="s">
        <v>748</v>
      </c>
      <c r="C265" s="62" t="s">
        <v>420</v>
      </c>
      <c r="D265" s="62" t="s">
        <v>420</v>
      </c>
      <c r="E265" s="62" t="s">
        <v>434</v>
      </c>
      <c r="F265" s="62" t="s">
        <v>1058</v>
      </c>
      <c r="G265" s="63">
        <v>7</v>
      </c>
      <c r="H265" s="62" t="s">
        <v>2272</v>
      </c>
      <c r="I265" s="64" t="s">
        <v>450</v>
      </c>
      <c r="J265" s="65">
        <v>5</v>
      </c>
    </row>
    <row r="266" spans="1:10">
      <c r="A266" s="58" t="s">
        <v>1402</v>
      </c>
      <c r="B266" s="58" t="s">
        <v>749</v>
      </c>
      <c r="C266" s="58" t="s">
        <v>420</v>
      </c>
      <c r="D266" s="58" t="s">
        <v>420</v>
      </c>
      <c r="E266" s="58" t="s">
        <v>434</v>
      </c>
      <c r="F266" s="58" t="s">
        <v>1058</v>
      </c>
      <c r="G266" s="59">
        <v>6</v>
      </c>
      <c r="H266" s="58" t="s">
        <v>420</v>
      </c>
      <c r="I266" s="60" t="s">
        <v>2277</v>
      </c>
      <c r="J266" s="61">
        <v>4</v>
      </c>
    </row>
    <row r="267" spans="1:10">
      <c r="A267" s="62" t="s">
        <v>1403</v>
      </c>
      <c r="B267" s="62" t="s">
        <v>750</v>
      </c>
      <c r="C267" s="62" t="s">
        <v>420</v>
      </c>
      <c r="D267" s="62" t="s">
        <v>420</v>
      </c>
      <c r="E267" s="62" t="s">
        <v>431</v>
      </c>
      <c r="F267" s="62" t="s">
        <v>1057</v>
      </c>
      <c r="G267" s="63">
        <v>8</v>
      </c>
      <c r="H267" s="62" t="s">
        <v>420</v>
      </c>
      <c r="I267" s="64" t="s">
        <v>450</v>
      </c>
      <c r="J267" s="65">
        <v>4</v>
      </c>
    </row>
    <row r="268" spans="1:10">
      <c r="A268" s="58" t="s">
        <v>1404</v>
      </c>
      <c r="B268" s="58" t="s">
        <v>751</v>
      </c>
      <c r="C268" s="58" t="s">
        <v>420</v>
      </c>
      <c r="D268" s="58" t="s">
        <v>420</v>
      </c>
      <c r="E268" s="58" t="s">
        <v>431</v>
      </c>
      <c r="F268" s="58" t="s">
        <v>1058</v>
      </c>
      <c r="G268" s="59">
        <v>7</v>
      </c>
      <c r="H268" s="58" t="s">
        <v>420</v>
      </c>
      <c r="I268" s="60" t="s">
        <v>450</v>
      </c>
      <c r="J268" s="61">
        <v>4</v>
      </c>
    </row>
    <row r="269" spans="1:10">
      <c r="A269" s="62" t="s">
        <v>1405</v>
      </c>
      <c r="B269" s="62" t="s">
        <v>752</v>
      </c>
      <c r="C269" s="62" t="s">
        <v>423</v>
      </c>
      <c r="D269" s="62" t="s">
        <v>423</v>
      </c>
      <c r="E269" s="62" t="s">
        <v>434</v>
      </c>
      <c r="F269" s="62" t="s">
        <v>1058</v>
      </c>
      <c r="G269" s="63">
        <v>8</v>
      </c>
      <c r="H269" s="62" t="s">
        <v>420</v>
      </c>
      <c r="I269" s="64" t="s">
        <v>450</v>
      </c>
      <c r="J269" s="65">
        <v>7</v>
      </c>
    </row>
    <row r="270" spans="1:10">
      <c r="A270" s="58" t="s">
        <v>1406</v>
      </c>
      <c r="B270" s="58" t="s">
        <v>753</v>
      </c>
      <c r="C270" s="58" t="s">
        <v>423</v>
      </c>
      <c r="D270" s="58" t="s">
        <v>423</v>
      </c>
      <c r="E270" s="58" t="s">
        <v>435</v>
      </c>
      <c r="F270" s="58" t="s">
        <v>1058</v>
      </c>
      <c r="G270" s="59">
        <v>5</v>
      </c>
      <c r="H270" s="58" t="s">
        <v>2275</v>
      </c>
      <c r="I270" s="60" t="s">
        <v>450</v>
      </c>
      <c r="J270" s="61">
        <v>5</v>
      </c>
    </row>
    <row r="271" spans="1:10">
      <c r="A271" s="62" t="s">
        <v>1407</v>
      </c>
      <c r="B271" s="62" t="s">
        <v>754</v>
      </c>
      <c r="C271" s="62" t="s">
        <v>423</v>
      </c>
      <c r="D271" s="62" t="s">
        <v>423</v>
      </c>
      <c r="E271" s="62" t="s">
        <v>434</v>
      </c>
      <c r="F271" s="62" t="s">
        <v>1058</v>
      </c>
      <c r="G271" s="63">
        <v>7</v>
      </c>
      <c r="H271" s="62" t="s">
        <v>420</v>
      </c>
      <c r="I271" s="64" t="s">
        <v>450</v>
      </c>
      <c r="J271" s="65">
        <v>5</v>
      </c>
    </row>
    <row r="272" spans="1:10">
      <c r="A272" s="58" t="s">
        <v>1408</v>
      </c>
      <c r="B272" s="58" t="s">
        <v>755</v>
      </c>
      <c r="C272" s="58" t="s">
        <v>420</v>
      </c>
      <c r="D272" s="58" t="s">
        <v>420</v>
      </c>
      <c r="E272" s="58" t="s">
        <v>434</v>
      </c>
      <c r="F272" s="58" t="s">
        <v>1058</v>
      </c>
      <c r="G272" s="59">
        <v>6</v>
      </c>
      <c r="H272" s="58" t="s">
        <v>420</v>
      </c>
      <c r="I272" s="60" t="s">
        <v>2277</v>
      </c>
      <c r="J272" s="61">
        <v>8</v>
      </c>
    </row>
    <row r="273" spans="1:10">
      <c r="A273" s="62" t="s">
        <v>1409</v>
      </c>
      <c r="B273" s="62" t="s">
        <v>756</v>
      </c>
      <c r="C273" s="62" t="s">
        <v>420</v>
      </c>
      <c r="D273" s="62" t="s">
        <v>420</v>
      </c>
      <c r="E273" s="62" t="s">
        <v>435</v>
      </c>
      <c r="F273" s="62" t="s">
        <v>1058</v>
      </c>
      <c r="G273" s="63">
        <v>6</v>
      </c>
      <c r="H273" s="62" t="s">
        <v>2273</v>
      </c>
      <c r="I273" s="64" t="s">
        <v>2277</v>
      </c>
      <c r="J273" s="65">
        <v>3</v>
      </c>
    </row>
    <row r="274" spans="1:10">
      <c r="A274" s="58" t="s">
        <v>1410</v>
      </c>
      <c r="B274" s="58" t="s">
        <v>757</v>
      </c>
      <c r="C274" s="58" t="s">
        <v>420</v>
      </c>
      <c r="D274" s="58" t="s">
        <v>420</v>
      </c>
      <c r="E274" s="58" t="s">
        <v>426</v>
      </c>
      <c r="F274" s="58" t="s">
        <v>1058</v>
      </c>
      <c r="G274" s="59">
        <v>6.3008333333333297</v>
      </c>
      <c r="H274" s="58" t="s">
        <v>420</v>
      </c>
      <c r="I274" s="60" t="s">
        <v>2277</v>
      </c>
      <c r="J274" s="61">
        <v>4</v>
      </c>
    </row>
    <row r="275" spans="1:10">
      <c r="A275" s="62" t="s">
        <v>1411</v>
      </c>
      <c r="B275" s="62" t="s">
        <v>758</v>
      </c>
      <c r="C275" s="62" t="s">
        <v>420</v>
      </c>
      <c r="D275" s="62" t="s">
        <v>420</v>
      </c>
      <c r="E275" s="62" t="s">
        <v>435</v>
      </c>
      <c r="F275" s="62" t="s">
        <v>1058</v>
      </c>
      <c r="G275" s="63">
        <v>7</v>
      </c>
      <c r="H275" s="62" t="s">
        <v>420</v>
      </c>
      <c r="I275" s="64" t="s">
        <v>450</v>
      </c>
      <c r="J275" s="65">
        <v>7</v>
      </c>
    </row>
    <row r="276" spans="1:10">
      <c r="A276" s="58" t="s">
        <v>1412</v>
      </c>
      <c r="B276" s="58" t="s">
        <v>759</v>
      </c>
      <c r="C276" s="58" t="s">
        <v>420</v>
      </c>
      <c r="D276" s="58" t="s">
        <v>420</v>
      </c>
      <c r="E276" s="58" t="s">
        <v>434</v>
      </c>
      <c r="F276" s="58" t="s">
        <v>1058</v>
      </c>
      <c r="G276" s="59">
        <v>6</v>
      </c>
      <c r="H276" s="58" t="s">
        <v>2274</v>
      </c>
      <c r="I276" s="60" t="s">
        <v>450</v>
      </c>
      <c r="J276" s="61">
        <v>3</v>
      </c>
    </row>
    <row r="277" spans="1:10">
      <c r="A277" s="62" t="s">
        <v>1413</v>
      </c>
      <c r="B277" s="62" t="s">
        <v>760</v>
      </c>
      <c r="C277" s="62" t="s">
        <v>420</v>
      </c>
      <c r="D277" s="62" t="s">
        <v>420</v>
      </c>
      <c r="E277" s="62" t="s">
        <v>435</v>
      </c>
      <c r="F277" s="62" t="s">
        <v>1058</v>
      </c>
      <c r="G277" s="63">
        <v>6</v>
      </c>
      <c r="H277" s="62" t="s">
        <v>420</v>
      </c>
      <c r="I277" s="64" t="s">
        <v>450</v>
      </c>
      <c r="J277" s="65">
        <v>6</v>
      </c>
    </row>
    <row r="278" spans="1:10">
      <c r="A278" s="58" t="s">
        <v>1414</v>
      </c>
      <c r="B278" s="58" t="s">
        <v>761</v>
      </c>
      <c r="C278" s="58" t="s">
        <v>420</v>
      </c>
      <c r="D278" s="58" t="s">
        <v>420</v>
      </c>
      <c r="E278" s="58" t="s">
        <v>435</v>
      </c>
      <c r="F278" s="58" t="s">
        <v>1058</v>
      </c>
      <c r="G278" s="59">
        <v>8</v>
      </c>
      <c r="H278" s="58" t="s">
        <v>420</v>
      </c>
      <c r="I278" s="60" t="s">
        <v>2277</v>
      </c>
      <c r="J278" s="61">
        <v>5</v>
      </c>
    </row>
    <row r="279" spans="1:10">
      <c r="A279" s="62" t="s">
        <v>1415</v>
      </c>
      <c r="B279" s="62" t="s">
        <v>762</v>
      </c>
      <c r="C279" s="62" t="s">
        <v>420</v>
      </c>
      <c r="D279" s="62" t="s">
        <v>420</v>
      </c>
      <c r="E279" s="62" t="s">
        <v>435</v>
      </c>
      <c r="F279" s="62" t="s">
        <v>1058</v>
      </c>
      <c r="G279" s="63">
        <v>6</v>
      </c>
      <c r="H279" s="62" t="s">
        <v>420</v>
      </c>
      <c r="I279" s="64" t="s">
        <v>450</v>
      </c>
      <c r="J279" s="65">
        <v>6</v>
      </c>
    </row>
    <row r="280" spans="1:10">
      <c r="A280" s="58" t="s">
        <v>1416</v>
      </c>
      <c r="B280" s="58" t="s">
        <v>763</v>
      </c>
      <c r="C280" s="58" t="s">
        <v>420</v>
      </c>
      <c r="D280" s="58" t="s">
        <v>420</v>
      </c>
      <c r="E280" s="58" t="s">
        <v>435</v>
      </c>
      <c r="F280" s="58" t="s">
        <v>1058</v>
      </c>
      <c r="G280" s="59">
        <v>8</v>
      </c>
      <c r="H280" s="58" t="s">
        <v>420</v>
      </c>
      <c r="I280" s="60" t="s">
        <v>450</v>
      </c>
      <c r="J280" s="61">
        <v>6</v>
      </c>
    </row>
    <row r="281" spans="1:10">
      <c r="A281" s="62" t="s">
        <v>1417</v>
      </c>
      <c r="B281" s="62" t="s">
        <v>764</v>
      </c>
      <c r="C281" s="62" t="s">
        <v>420</v>
      </c>
      <c r="D281" s="62" t="s">
        <v>420</v>
      </c>
      <c r="E281" s="62" t="s">
        <v>435</v>
      </c>
      <c r="F281" s="62" t="s">
        <v>1057</v>
      </c>
      <c r="G281" s="63">
        <v>7</v>
      </c>
      <c r="H281" s="62" t="s">
        <v>420</v>
      </c>
      <c r="I281" s="64" t="s">
        <v>2278</v>
      </c>
      <c r="J281" s="65">
        <v>3</v>
      </c>
    </row>
    <row r="282" spans="1:10">
      <c r="A282" s="58" t="s">
        <v>1418</v>
      </c>
      <c r="B282" s="58" t="s">
        <v>765</v>
      </c>
      <c r="C282" s="58" t="s">
        <v>420</v>
      </c>
      <c r="D282" s="58" t="s">
        <v>420</v>
      </c>
      <c r="E282" s="58" t="s">
        <v>421</v>
      </c>
      <c r="F282" s="58" t="s">
        <v>1058</v>
      </c>
      <c r="G282" s="59">
        <v>8</v>
      </c>
      <c r="H282" s="58" t="s">
        <v>420</v>
      </c>
      <c r="I282" s="60" t="s">
        <v>450</v>
      </c>
      <c r="J282" s="61">
        <v>4</v>
      </c>
    </row>
    <row r="283" spans="1:10">
      <c r="A283" s="62" t="s">
        <v>1419</v>
      </c>
      <c r="B283" s="62" t="s">
        <v>766</v>
      </c>
      <c r="C283" s="62" t="s">
        <v>420</v>
      </c>
      <c r="D283" s="62" t="s">
        <v>420</v>
      </c>
      <c r="E283" s="62" t="s">
        <v>435</v>
      </c>
      <c r="F283" s="62" t="s">
        <v>1058</v>
      </c>
      <c r="G283" s="63">
        <v>6</v>
      </c>
      <c r="H283" s="62" t="s">
        <v>420</v>
      </c>
      <c r="I283" s="64" t="s">
        <v>2277</v>
      </c>
      <c r="J283" s="65">
        <v>6</v>
      </c>
    </row>
    <row r="284" spans="1:10">
      <c r="A284" s="58" t="s">
        <v>1420</v>
      </c>
      <c r="B284" s="58" t="s">
        <v>767</v>
      </c>
      <c r="C284" s="58" t="s">
        <v>420</v>
      </c>
      <c r="D284" s="58" t="s">
        <v>420</v>
      </c>
      <c r="E284" s="58" t="s">
        <v>431</v>
      </c>
      <c r="F284" s="58" t="s">
        <v>1058</v>
      </c>
      <c r="G284" s="59">
        <v>7</v>
      </c>
      <c r="H284" s="58" t="s">
        <v>420</v>
      </c>
      <c r="I284" s="60" t="s">
        <v>450</v>
      </c>
      <c r="J284" s="61">
        <v>5</v>
      </c>
    </row>
    <row r="285" spans="1:10">
      <c r="A285" s="62" t="s">
        <v>1421</v>
      </c>
      <c r="B285" s="62" t="s">
        <v>768</v>
      </c>
      <c r="C285" s="62" t="s">
        <v>423</v>
      </c>
      <c r="D285" s="62" t="s">
        <v>423</v>
      </c>
      <c r="E285" s="62" t="s">
        <v>435</v>
      </c>
      <c r="F285" s="62" t="s">
        <v>1058</v>
      </c>
      <c r="G285" s="63">
        <v>6</v>
      </c>
      <c r="H285" s="62" t="s">
        <v>420</v>
      </c>
      <c r="I285" s="64" t="s">
        <v>2277</v>
      </c>
      <c r="J285" s="65">
        <v>6</v>
      </c>
    </row>
    <row r="286" spans="1:10">
      <c r="A286" s="58" t="s">
        <v>1422</v>
      </c>
      <c r="B286" s="58" t="s">
        <v>769</v>
      </c>
      <c r="C286" s="58" t="s">
        <v>420</v>
      </c>
      <c r="D286" s="58" t="s">
        <v>420</v>
      </c>
      <c r="E286" s="58" t="s">
        <v>431</v>
      </c>
      <c r="F286" s="58" t="s">
        <v>1058</v>
      </c>
      <c r="G286" s="59">
        <v>6</v>
      </c>
      <c r="H286" s="58" t="s">
        <v>420</v>
      </c>
      <c r="I286" s="60" t="s">
        <v>2277</v>
      </c>
      <c r="J286" s="61">
        <v>5</v>
      </c>
    </row>
    <row r="287" spans="1:10">
      <c r="A287" s="62" t="s">
        <v>1423</v>
      </c>
      <c r="B287" s="62" t="s">
        <v>770</v>
      </c>
      <c r="C287" s="62" t="s">
        <v>420</v>
      </c>
      <c r="D287" s="62" t="s">
        <v>420</v>
      </c>
      <c r="E287" s="62" t="s">
        <v>421</v>
      </c>
      <c r="F287" s="62" t="s">
        <v>1058</v>
      </c>
      <c r="G287" s="63">
        <v>8</v>
      </c>
      <c r="H287" s="62" t="s">
        <v>420</v>
      </c>
      <c r="I287" s="64" t="s">
        <v>450</v>
      </c>
      <c r="J287" s="65">
        <v>4</v>
      </c>
    </row>
    <row r="288" spans="1:10">
      <c r="A288" s="58" t="s">
        <v>1424</v>
      </c>
      <c r="B288" s="58" t="s">
        <v>771</v>
      </c>
      <c r="C288" s="58" t="s">
        <v>420</v>
      </c>
      <c r="D288" s="58" t="s">
        <v>420</v>
      </c>
      <c r="E288" s="58" t="s">
        <v>435</v>
      </c>
      <c r="F288" s="58" t="s">
        <v>1058</v>
      </c>
      <c r="G288" s="59">
        <v>8</v>
      </c>
      <c r="H288" s="58" t="s">
        <v>420</v>
      </c>
      <c r="I288" s="60" t="s">
        <v>2277</v>
      </c>
      <c r="J288" s="61">
        <v>5</v>
      </c>
    </row>
    <row r="289" spans="1:10">
      <c r="A289" s="62" t="s">
        <v>1425</v>
      </c>
      <c r="B289" s="62" t="s">
        <v>772</v>
      </c>
      <c r="C289" s="62" t="s">
        <v>420</v>
      </c>
      <c r="D289" s="62" t="s">
        <v>420</v>
      </c>
      <c r="E289" s="62" t="s">
        <v>434</v>
      </c>
      <c r="F289" s="62" t="s">
        <v>1058</v>
      </c>
      <c r="G289" s="63">
        <v>7</v>
      </c>
      <c r="H289" s="62" t="s">
        <v>2272</v>
      </c>
      <c r="I289" s="64" t="s">
        <v>450</v>
      </c>
      <c r="J289" s="65">
        <v>5</v>
      </c>
    </row>
    <row r="290" spans="1:10">
      <c r="A290" s="58" t="s">
        <v>1426</v>
      </c>
      <c r="B290" s="58" t="s">
        <v>773</v>
      </c>
      <c r="C290" s="58" t="s">
        <v>420</v>
      </c>
      <c r="D290" s="58" t="s">
        <v>420</v>
      </c>
      <c r="E290" s="58" t="s">
        <v>434</v>
      </c>
      <c r="F290" s="58" t="s">
        <v>1058</v>
      </c>
      <c r="G290" s="59">
        <v>6</v>
      </c>
      <c r="H290" s="58" t="s">
        <v>420</v>
      </c>
      <c r="I290" s="60" t="s">
        <v>2277</v>
      </c>
      <c r="J290" s="61">
        <v>4</v>
      </c>
    </row>
    <row r="291" spans="1:10">
      <c r="A291" s="62" t="s">
        <v>1427</v>
      </c>
      <c r="B291" s="62" t="s">
        <v>774</v>
      </c>
      <c r="C291" s="62" t="s">
        <v>420</v>
      </c>
      <c r="D291" s="62" t="s">
        <v>420</v>
      </c>
      <c r="E291" s="62" t="s">
        <v>431</v>
      </c>
      <c r="F291" s="62" t="s">
        <v>1057</v>
      </c>
      <c r="G291" s="63">
        <v>8</v>
      </c>
      <c r="H291" s="62" t="s">
        <v>420</v>
      </c>
      <c r="I291" s="64" t="s">
        <v>450</v>
      </c>
      <c r="J291" s="65">
        <v>4</v>
      </c>
    </row>
    <row r="292" spans="1:10">
      <c r="A292" s="58" t="s">
        <v>1428</v>
      </c>
      <c r="B292" s="58" t="s">
        <v>775</v>
      </c>
      <c r="C292" s="58" t="s">
        <v>420</v>
      </c>
      <c r="D292" s="58" t="s">
        <v>420</v>
      </c>
      <c r="E292" s="58" t="s">
        <v>431</v>
      </c>
      <c r="F292" s="58" t="s">
        <v>1058</v>
      </c>
      <c r="G292" s="59">
        <v>7</v>
      </c>
      <c r="H292" s="58" t="s">
        <v>420</v>
      </c>
      <c r="I292" s="60" t="s">
        <v>450</v>
      </c>
      <c r="J292" s="61">
        <v>4</v>
      </c>
    </row>
    <row r="293" spans="1:10">
      <c r="A293" s="62" t="s">
        <v>1429</v>
      </c>
      <c r="B293" s="62" t="s">
        <v>776</v>
      </c>
      <c r="C293" s="62" t="s">
        <v>423</v>
      </c>
      <c r="D293" s="62" t="s">
        <v>423</v>
      </c>
      <c r="E293" s="62" t="s">
        <v>434</v>
      </c>
      <c r="F293" s="62" t="s">
        <v>1058</v>
      </c>
      <c r="G293" s="63">
        <v>8</v>
      </c>
      <c r="H293" s="62" t="s">
        <v>420</v>
      </c>
      <c r="I293" s="64" t="s">
        <v>450</v>
      </c>
      <c r="J293" s="65">
        <v>7</v>
      </c>
    </row>
    <row r="294" spans="1:10">
      <c r="A294" s="58" t="s">
        <v>1430</v>
      </c>
      <c r="B294" s="58" t="s">
        <v>777</v>
      </c>
      <c r="C294" s="58" t="s">
        <v>423</v>
      </c>
      <c r="D294" s="58" t="s">
        <v>423</v>
      </c>
      <c r="E294" s="58" t="s">
        <v>435</v>
      </c>
      <c r="F294" s="58" t="s">
        <v>1058</v>
      </c>
      <c r="G294" s="59">
        <v>5</v>
      </c>
      <c r="H294" s="58" t="s">
        <v>2275</v>
      </c>
      <c r="I294" s="60" t="s">
        <v>450</v>
      </c>
      <c r="J294" s="61">
        <v>5</v>
      </c>
    </row>
    <row r="295" spans="1:10">
      <c r="A295" s="62" t="s">
        <v>1431</v>
      </c>
      <c r="B295" s="62" t="s">
        <v>778</v>
      </c>
      <c r="C295" s="62" t="s">
        <v>423</v>
      </c>
      <c r="D295" s="62" t="s">
        <v>423</v>
      </c>
      <c r="E295" s="62" t="s">
        <v>434</v>
      </c>
      <c r="F295" s="62" t="s">
        <v>1058</v>
      </c>
      <c r="G295" s="63">
        <v>7</v>
      </c>
      <c r="H295" s="62" t="s">
        <v>420</v>
      </c>
      <c r="I295" s="64" t="s">
        <v>450</v>
      </c>
      <c r="J295" s="65">
        <v>5</v>
      </c>
    </row>
    <row r="296" spans="1:10">
      <c r="A296" s="58" t="s">
        <v>1432</v>
      </c>
      <c r="B296" s="58" t="s">
        <v>779</v>
      </c>
      <c r="C296" s="58" t="s">
        <v>420</v>
      </c>
      <c r="D296" s="58" t="s">
        <v>420</v>
      </c>
      <c r="E296" s="58" t="s">
        <v>434</v>
      </c>
      <c r="F296" s="58" t="s">
        <v>1058</v>
      </c>
      <c r="G296" s="59">
        <v>6</v>
      </c>
      <c r="H296" s="58" t="s">
        <v>420</v>
      </c>
      <c r="I296" s="60" t="s">
        <v>2277</v>
      </c>
      <c r="J296" s="61">
        <v>8</v>
      </c>
    </row>
    <row r="297" spans="1:10">
      <c r="A297" s="62" t="s">
        <v>1433</v>
      </c>
      <c r="B297" s="62" t="s">
        <v>780</v>
      </c>
      <c r="C297" s="62" t="s">
        <v>420</v>
      </c>
      <c r="D297" s="62" t="s">
        <v>420</v>
      </c>
      <c r="E297" s="62" t="s">
        <v>435</v>
      </c>
      <c r="F297" s="62" t="s">
        <v>1058</v>
      </c>
      <c r="G297" s="63">
        <v>6</v>
      </c>
      <c r="H297" s="62" t="s">
        <v>2273</v>
      </c>
      <c r="I297" s="64" t="s">
        <v>2277</v>
      </c>
      <c r="J297" s="65">
        <v>3</v>
      </c>
    </row>
    <row r="298" spans="1:10">
      <c r="A298" s="58" t="s">
        <v>1434</v>
      </c>
      <c r="B298" s="58" t="s">
        <v>781</v>
      </c>
      <c r="C298" s="58" t="s">
        <v>420</v>
      </c>
      <c r="D298" s="58" t="s">
        <v>420</v>
      </c>
      <c r="E298" s="58" t="s">
        <v>426</v>
      </c>
      <c r="F298" s="58" t="s">
        <v>1058</v>
      </c>
      <c r="G298" s="59">
        <v>6.3008333333333297</v>
      </c>
      <c r="H298" s="58" t="s">
        <v>420</v>
      </c>
      <c r="I298" s="60" t="s">
        <v>2277</v>
      </c>
      <c r="J298" s="61">
        <v>4</v>
      </c>
    </row>
    <row r="299" spans="1:10">
      <c r="A299" s="62" t="s">
        <v>1435</v>
      </c>
      <c r="B299" s="62" t="s">
        <v>782</v>
      </c>
      <c r="C299" s="62" t="s">
        <v>420</v>
      </c>
      <c r="D299" s="62" t="s">
        <v>420</v>
      </c>
      <c r="E299" s="62" t="s">
        <v>435</v>
      </c>
      <c r="F299" s="62" t="s">
        <v>1058</v>
      </c>
      <c r="G299" s="63">
        <v>7</v>
      </c>
      <c r="H299" s="62" t="s">
        <v>420</v>
      </c>
      <c r="I299" s="64" t="s">
        <v>450</v>
      </c>
      <c r="J299" s="65">
        <v>7</v>
      </c>
    </row>
    <row r="300" spans="1:10">
      <c r="A300" s="58" t="s">
        <v>1436</v>
      </c>
      <c r="B300" s="58" t="s">
        <v>783</v>
      </c>
      <c r="C300" s="58" t="s">
        <v>420</v>
      </c>
      <c r="D300" s="58" t="s">
        <v>420</v>
      </c>
      <c r="E300" s="58" t="s">
        <v>434</v>
      </c>
      <c r="F300" s="58" t="s">
        <v>1058</v>
      </c>
      <c r="G300" s="59">
        <v>6</v>
      </c>
      <c r="H300" s="58" t="s">
        <v>2274</v>
      </c>
      <c r="I300" s="60" t="s">
        <v>450</v>
      </c>
      <c r="J300" s="61">
        <v>3</v>
      </c>
    </row>
    <row r="301" spans="1:10">
      <c r="A301" s="62" t="s">
        <v>1437</v>
      </c>
      <c r="B301" s="62" t="s">
        <v>784</v>
      </c>
      <c r="C301" s="62" t="s">
        <v>420</v>
      </c>
      <c r="D301" s="62" t="s">
        <v>420</v>
      </c>
      <c r="E301" s="62" t="s">
        <v>435</v>
      </c>
      <c r="F301" s="62" t="s">
        <v>1058</v>
      </c>
      <c r="G301" s="63">
        <v>6</v>
      </c>
      <c r="H301" s="62" t="s">
        <v>420</v>
      </c>
      <c r="I301" s="64" t="s">
        <v>450</v>
      </c>
      <c r="J301" s="65">
        <v>6</v>
      </c>
    </row>
    <row r="302" spans="1:10">
      <c r="A302" s="58" t="s">
        <v>1438</v>
      </c>
      <c r="B302" s="58" t="s">
        <v>785</v>
      </c>
      <c r="C302" s="58" t="s">
        <v>420</v>
      </c>
      <c r="D302" s="58" t="s">
        <v>420</v>
      </c>
      <c r="E302" s="58" t="s">
        <v>435</v>
      </c>
      <c r="F302" s="58" t="s">
        <v>1058</v>
      </c>
      <c r="G302" s="59">
        <v>8</v>
      </c>
      <c r="H302" s="58" t="s">
        <v>420</v>
      </c>
      <c r="I302" s="60" t="s">
        <v>2277</v>
      </c>
      <c r="J302" s="61">
        <v>5</v>
      </c>
    </row>
    <row r="303" spans="1:10">
      <c r="A303" s="62" t="s">
        <v>1439</v>
      </c>
      <c r="B303" s="62" t="s">
        <v>786</v>
      </c>
      <c r="C303" s="62" t="s">
        <v>420</v>
      </c>
      <c r="D303" s="62" t="s">
        <v>420</v>
      </c>
      <c r="E303" s="62" t="s">
        <v>435</v>
      </c>
      <c r="F303" s="62" t="s">
        <v>1058</v>
      </c>
      <c r="G303" s="63">
        <v>6</v>
      </c>
      <c r="H303" s="62" t="s">
        <v>420</v>
      </c>
      <c r="I303" s="64" t="s">
        <v>450</v>
      </c>
      <c r="J303" s="65">
        <v>6</v>
      </c>
    </row>
    <row r="304" spans="1:10">
      <c r="A304" s="58" t="s">
        <v>1440</v>
      </c>
      <c r="B304" s="58" t="s">
        <v>787</v>
      </c>
      <c r="C304" s="58" t="s">
        <v>420</v>
      </c>
      <c r="D304" s="58" t="s">
        <v>420</v>
      </c>
      <c r="E304" s="58" t="s">
        <v>435</v>
      </c>
      <c r="F304" s="58" t="s">
        <v>1058</v>
      </c>
      <c r="G304" s="59">
        <v>8</v>
      </c>
      <c r="H304" s="58" t="s">
        <v>420</v>
      </c>
      <c r="I304" s="60" t="s">
        <v>450</v>
      </c>
      <c r="J304" s="61">
        <v>6</v>
      </c>
    </row>
    <row r="305" spans="1:10">
      <c r="A305" s="62" t="s">
        <v>1441</v>
      </c>
      <c r="B305" s="62" t="s">
        <v>788</v>
      </c>
      <c r="C305" s="62" t="s">
        <v>420</v>
      </c>
      <c r="D305" s="62" t="s">
        <v>420</v>
      </c>
      <c r="E305" s="62" t="s">
        <v>435</v>
      </c>
      <c r="F305" s="62" t="s">
        <v>1057</v>
      </c>
      <c r="G305" s="63">
        <v>7</v>
      </c>
      <c r="H305" s="62" t="s">
        <v>420</v>
      </c>
      <c r="I305" s="64" t="s">
        <v>2278</v>
      </c>
      <c r="J305" s="65">
        <v>3</v>
      </c>
    </row>
    <row r="306" spans="1:10">
      <c r="A306" s="58" t="s">
        <v>1442</v>
      </c>
      <c r="B306" s="58" t="s">
        <v>789</v>
      </c>
      <c r="C306" s="58" t="s">
        <v>420</v>
      </c>
      <c r="D306" s="58" t="s">
        <v>420</v>
      </c>
      <c r="E306" s="58" t="s">
        <v>421</v>
      </c>
      <c r="F306" s="58" t="s">
        <v>1058</v>
      </c>
      <c r="G306" s="59">
        <v>8</v>
      </c>
      <c r="H306" s="58" t="s">
        <v>420</v>
      </c>
      <c r="I306" s="60" t="s">
        <v>450</v>
      </c>
      <c r="J306" s="61">
        <v>4</v>
      </c>
    </row>
    <row r="307" spans="1:10">
      <c r="A307" s="62" t="s">
        <v>1443</v>
      </c>
      <c r="B307" s="62" t="s">
        <v>790</v>
      </c>
      <c r="C307" s="62" t="s">
        <v>420</v>
      </c>
      <c r="D307" s="62" t="s">
        <v>420</v>
      </c>
      <c r="E307" s="62" t="s">
        <v>435</v>
      </c>
      <c r="F307" s="62" t="s">
        <v>1058</v>
      </c>
      <c r="G307" s="63">
        <v>6</v>
      </c>
      <c r="H307" s="62" t="s">
        <v>420</v>
      </c>
      <c r="I307" s="64" t="s">
        <v>2277</v>
      </c>
      <c r="J307" s="65">
        <v>6</v>
      </c>
    </row>
    <row r="308" spans="1:10">
      <c r="A308" s="58" t="s">
        <v>1444</v>
      </c>
      <c r="B308" s="58" t="s">
        <v>791</v>
      </c>
      <c r="C308" s="58" t="s">
        <v>420</v>
      </c>
      <c r="D308" s="58" t="s">
        <v>420</v>
      </c>
      <c r="E308" s="58" t="s">
        <v>431</v>
      </c>
      <c r="F308" s="58" t="s">
        <v>1058</v>
      </c>
      <c r="G308" s="59">
        <v>7</v>
      </c>
      <c r="H308" s="58" t="s">
        <v>420</v>
      </c>
      <c r="I308" s="60" t="s">
        <v>450</v>
      </c>
      <c r="J308" s="61">
        <v>5</v>
      </c>
    </row>
    <row r="309" spans="1:10">
      <c r="A309" s="62" t="s">
        <v>1445</v>
      </c>
      <c r="B309" s="62" t="s">
        <v>792</v>
      </c>
      <c r="C309" s="62" t="s">
        <v>423</v>
      </c>
      <c r="D309" s="62" t="s">
        <v>423</v>
      </c>
      <c r="E309" s="62" t="s">
        <v>435</v>
      </c>
      <c r="F309" s="62" t="s">
        <v>1058</v>
      </c>
      <c r="G309" s="63">
        <v>6</v>
      </c>
      <c r="H309" s="62" t="s">
        <v>420</v>
      </c>
      <c r="I309" s="64" t="s">
        <v>2277</v>
      </c>
      <c r="J309" s="65">
        <v>6</v>
      </c>
    </row>
    <row r="310" spans="1:10">
      <c r="A310" s="58" t="s">
        <v>1446</v>
      </c>
      <c r="B310" s="58" t="s">
        <v>793</v>
      </c>
      <c r="C310" s="58" t="s">
        <v>420</v>
      </c>
      <c r="D310" s="58" t="s">
        <v>420</v>
      </c>
      <c r="E310" s="58" t="s">
        <v>431</v>
      </c>
      <c r="F310" s="58" t="s">
        <v>1058</v>
      </c>
      <c r="G310" s="59">
        <v>6</v>
      </c>
      <c r="H310" s="58" t="s">
        <v>420</v>
      </c>
      <c r="I310" s="60" t="s">
        <v>2277</v>
      </c>
      <c r="J310" s="61">
        <v>5</v>
      </c>
    </row>
    <row r="311" spans="1:10">
      <c r="A311" s="62" t="s">
        <v>1447</v>
      </c>
      <c r="B311" s="62" t="s">
        <v>794</v>
      </c>
      <c r="C311" s="62" t="s">
        <v>420</v>
      </c>
      <c r="D311" s="62" t="s">
        <v>420</v>
      </c>
      <c r="E311" s="62" t="s">
        <v>421</v>
      </c>
      <c r="F311" s="62" t="s">
        <v>1058</v>
      </c>
      <c r="G311" s="63">
        <v>8</v>
      </c>
      <c r="H311" s="62" t="s">
        <v>420</v>
      </c>
      <c r="I311" s="64" t="s">
        <v>450</v>
      </c>
      <c r="J311" s="65">
        <v>4</v>
      </c>
    </row>
    <row r="312" spans="1:10">
      <c r="A312" s="58" t="s">
        <v>1448</v>
      </c>
      <c r="B312" s="58" t="s">
        <v>795</v>
      </c>
      <c r="C312" s="58" t="s">
        <v>420</v>
      </c>
      <c r="D312" s="58" t="s">
        <v>420</v>
      </c>
      <c r="E312" s="58" t="s">
        <v>435</v>
      </c>
      <c r="F312" s="58" t="s">
        <v>1058</v>
      </c>
      <c r="G312" s="59">
        <v>8</v>
      </c>
      <c r="H312" s="58" t="s">
        <v>420</v>
      </c>
      <c r="I312" s="60" t="s">
        <v>2277</v>
      </c>
      <c r="J312" s="61">
        <v>5</v>
      </c>
    </row>
    <row r="313" spans="1:10">
      <c r="A313" s="62" t="s">
        <v>1449</v>
      </c>
      <c r="B313" s="62" t="s">
        <v>796</v>
      </c>
      <c r="C313" s="62" t="s">
        <v>420</v>
      </c>
      <c r="D313" s="62" t="s">
        <v>420</v>
      </c>
      <c r="E313" s="62" t="s">
        <v>434</v>
      </c>
      <c r="F313" s="62" t="s">
        <v>1058</v>
      </c>
      <c r="G313" s="63">
        <v>7</v>
      </c>
      <c r="H313" s="62" t="s">
        <v>2272</v>
      </c>
      <c r="I313" s="64" t="s">
        <v>450</v>
      </c>
      <c r="J313" s="65">
        <v>5</v>
      </c>
    </row>
    <row r="314" spans="1:10">
      <c r="A314" s="58" t="s">
        <v>1450</v>
      </c>
      <c r="B314" s="58" t="s">
        <v>797</v>
      </c>
      <c r="C314" s="58" t="s">
        <v>420</v>
      </c>
      <c r="D314" s="58" t="s">
        <v>420</v>
      </c>
      <c r="E314" s="58" t="s">
        <v>434</v>
      </c>
      <c r="F314" s="58" t="s">
        <v>1058</v>
      </c>
      <c r="G314" s="59">
        <v>6</v>
      </c>
      <c r="H314" s="58" t="s">
        <v>420</v>
      </c>
      <c r="I314" s="60" t="s">
        <v>2277</v>
      </c>
      <c r="J314" s="61">
        <v>4</v>
      </c>
    </row>
    <row r="315" spans="1:10">
      <c r="A315" s="62" t="s">
        <v>1451</v>
      </c>
      <c r="B315" s="62" t="s">
        <v>798</v>
      </c>
      <c r="C315" s="62" t="s">
        <v>420</v>
      </c>
      <c r="D315" s="62" t="s">
        <v>420</v>
      </c>
      <c r="E315" s="62" t="s">
        <v>431</v>
      </c>
      <c r="F315" s="62" t="s">
        <v>1057</v>
      </c>
      <c r="G315" s="63">
        <v>8</v>
      </c>
      <c r="H315" s="62" t="s">
        <v>420</v>
      </c>
      <c r="I315" s="64" t="s">
        <v>450</v>
      </c>
      <c r="J315" s="65">
        <v>4</v>
      </c>
    </row>
    <row r="316" spans="1:10">
      <c r="A316" s="58" t="s">
        <v>1452</v>
      </c>
      <c r="B316" s="58" t="s">
        <v>799</v>
      </c>
      <c r="C316" s="58" t="s">
        <v>420</v>
      </c>
      <c r="D316" s="58" t="s">
        <v>420</v>
      </c>
      <c r="E316" s="58" t="s">
        <v>431</v>
      </c>
      <c r="F316" s="58" t="s">
        <v>1058</v>
      </c>
      <c r="G316" s="59">
        <v>7</v>
      </c>
      <c r="H316" s="58" t="s">
        <v>420</v>
      </c>
      <c r="I316" s="60" t="s">
        <v>450</v>
      </c>
      <c r="J316" s="61">
        <v>4</v>
      </c>
    </row>
    <row r="317" spans="1:10">
      <c r="A317" s="62" t="s">
        <v>1453</v>
      </c>
      <c r="B317" s="62" t="s">
        <v>800</v>
      </c>
      <c r="C317" s="62" t="s">
        <v>423</v>
      </c>
      <c r="D317" s="62" t="s">
        <v>423</v>
      </c>
      <c r="E317" s="62" t="s">
        <v>434</v>
      </c>
      <c r="F317" s="62" t="s">
        <v>1058</v>
      </c>
      <c r="G317" s="63">
        <v>8</v>
      </c>
      <c r="H317" s="62" t="s">
        <v>420</v>
      </c>
      <c r="I317" s="64" t="s">
        <v>450</v>
      </c>
      <c r="J317" s="65">
        <v>7</v>
      </c>
    </row>
    <row r="318" spans="1:10">
      <c r="A318" s="58" t="s">
        <v>1454</v>
      </c>
      <c r="B318" s="58" t="s">
        <v>801</v>
      </c>
      <c r="C318" s="58" t="s">
        <v>423</v>
      </c>
      <c r="D318" s="58" t="s">
        <v>423</v>
      </c>
      <c r="E318" s="58" t="s">
        <v>435</v>
      </c>
      <c r="F318" s="58" t="s">
        <v>1058</v>
      </c>
      <c r="G318" s="59">
        <v>5</v>
      </c>
      <c r="H318" s="58" t="s">
        <v>2275</v>
      </c>
      <c r="I318" s="60" t="s">
        <v>450</v>
      </c>
      <c r="J318" s="61">
        <v>5</v>
      </c>
    </row>
    <row r="319" spans="1:10">
      <c r="A319" s="62" t="s">
        <v>1455</v>
      </c>
      <c r="B319" s="62" t="s">
        <v>802</v>
      </c>
      <c r="C319" s="62" t="s">
        <v>423</v>
      </c>
      <c r="D319" s="62" t="s">
        <v>423</v>
      </c>
      <c r="E319" s="62" t="s">
        <v>434</v>
      </c>
      <c r="F319" s="62" t="s">
        <v>1058</v>
      </c>
      <c r="G319" s="63">
        <v>7</v>
      </c>
      <c r="H319" s="62" t="s">
        <v>420</v>
      </c>
      <c r="I319" s="64" t="s">
        <v>450</v>
      </c>
      <c r="J319" s="65">
        <v>5</v>
      </c>
    </row>
    <row r="320" spans="1:10">
      <c r="A320" s="58" t="s">
        <v>1456</v>
      </c>
      <c r="B320" s="58" t="s">
        <v>803</v>
      </c>
      <c r="C320" s="58" t="s">
        <v>420</v>
      </c>
      <c r="D320" s="58" t="s">
        <v>420</v>
      </c>
      <c r="E320" s="58" t="s">
        <v>434</v>
      </c>
      <c r="F320" s="58" t="s">
        <v>1058</v>
      </c>
      <c r="G320" s="59">
        <v>6</v>
      </c>
      <c r="H320" s="58" t="s">
        <v>420</v>
      </c>
      <c r="I320" s="60" t="s">
        <v>2277</v>
      </c>
      <c r="J320" s="61">
        <v>8</v>
      </c>
    </row>
    <row r="321" spans="1:10">
      <c r="A321" s="62" t="s">
        <v>1457</v>
      </c>
      <c r="B321" s="62" t="s">
        <v>804</v>
      </c>
      <c r="C321" s="62" t="s">
        <v>420</v>
      </c>
      <c r="D321" s="62" t="s">
        <v>420</v>
      </c>
      <c r="E321" s="62" t="s">
        <v>435</v>
      </c>
      <c r="F321" s="62" t="s">
        <v>1058</v>
      </c>
      <c r="G321" s="63">
        <v>6</v>
      </c>
      <c r="H321" s="62" t="s">
        <v>2273</v>
      </c>
      <c r="I321" s="64" t="s">
        <v>2277</v>
      </c>
      <c r="J321" s="65">
        <v>3</v>
      </c>
    </row>
    <row r="322" spans="1:10">
      <c r="A322" s="58" t="s">
        <v>1458</v>
      </c>
      <c r="B322" s="58" t="s">
        <v>805</v>
      </c>
      <c r="C322" s="58" t="s">
        <v>420</v>
      </c>
      <c r="D322" s="58" t="s">
        <v>420</v>
      </c>
      <c r="E322" s="58" t="s">
        <v>426</v>
      </c>
      <c r="F322" s="58" t="s">
        <v>1058</v>
      </c>
      <c r="G322" s="59">
        <v>6.3008333333333297</v>
      </c>
      <c r="H322" s="58" t="s">
        <v>420</v>
      </c>
      <c r="I322" s="60" t="s">
        <v>2277</v>
      </c>
      <c r="J322" s="61">
        <v>4</v>
      </c>
    </row>
    <row r="323" spans="1:10">
      <c r="A323" s="62" t="s">
        <v>1459</v>
      </c>
      <c r="B323" s="62" t="s">
        <v>806</v>
      </c>
      <c r="C323" s="62" t="s">
        <v>420</v>
      </c>
      <c r="D323" s="62" t="s">
        <v>420</v>
      </c>
      <c r="E323" s="62" t="s">
        <v>435</v>
      </c>
      <c r="F323" s="62" t="s">
        <v>1058</v>
      </c>
      <c r="G323" s="63">
        <v>7</v>
      </c>
      <c r="H323" s="62" t="s">
        <v>420</v>
      </c>
      <c r="I323" s="64" t="s">
        <v>450</v>
      </c>
      <c r="J323" s="65">
        <v>7</v>
      </c>
    </row>
    <row r="324" spans="1:10">
      <c r="A324" s="58" t="s">
        <v>1460</v>
      </c>
      <c r="B324" s="58" t="s">
        <v>807</v>
      </c>
      <c r="C324" s="58" t="s">
        <v>420</v>
      </c>
      <c r="D324" s="58" t="s">
        <v>420</v>
      </c>
      <c r="E324" s="58" t="s">
        <v>434</v>
      </c>
      <c r="F324" s="58" t="s">
        <v>1058</v>
      </c>
      <c r="G324" s="59">
        <v>6</v>
      </c>
      <c r="H324" s="58" t="s">
        <v>2274</v>
      </c>
      <c r="I324" s="60" t="s">
        <v>450</v>
      </c>
      <c r="J324" s="61">
        <v>3</v>
      </c>
    </row>
    <row r="325" spans="1:10">
      <c r="A325" s="62" t="s">
        <v>1461</v>
      </c>
      <c r="B325" s="62" t="s">
        <v>808</v>
      </c>
      <c r="C325" s="62" t="s">
        <v>420</v>
      </c>
      <c r="D325" s="62" t="s">
        <v>420</v>
      </c>
      <c r="E325" s="62" t="s">
        <v>435</v>
      </c>
      <c r="F325" s="62" t="s">
        <v>1058</v>
      </c>
      <c r="G325" s="63">
        <v>6</v>
      </c>
      <c r="H325" s="62" t="s">
        <v>420</v>
      </c>
      <c r="I325" s="64" t="s">
        <v>450</v>
      </c>
      <c r="J325" s="65">
        <v>6</v>
      </c>
    </row>
    <row r="326" spans="1:10">
      <c r="A326" s="58" t="s">
        <v>1462</v>
      </c>
      <c r="B326" s="58" t="s">
        <v>809</v>
      </c>
      <c r="C326" s="58" t="s">
        <v>420</v>
      </c>
      <c r="D326" s="58" t="s">
        <v>420</v>
      </c>
      <c r="E326" s="58" t="s">
        <v>435</v>
      </c>
      <c r="F326" s="58" t="s">
        <v>1058</v>
      </c>
      <c r="G326" s="59">
        <v>8</v>
      </c>
      <c r="H326" s="58" t="s">
        <v>420</v>
      </c>
      <c r="I326" s="60" t="s">
        <v>2277</v>
      </c>
      <c r="J326" s="61">
        <v>5</v>
      </c>
    </row>
    <row r="327" spans="1:10">
      <c r="A327" s="62" t="s">
        <v>1463</v>
      </c>
      <c r="B327" s="62" t="s">
        <v>810</v>
      </c>
      <c r="C327" s="62" t="s">
        <v>420</v>
      </c>
      <c r="D327" s="62" t="s">
        <v>420</v>
      </c>
      <c r="E327" s="62" t="s">
        <v>435</v>
      </c>
      <c r="F327" s="62" t="s">
        <v>1058</v>
      </c>
      <c r="G327" s="63">
        <v>6</v>
      </c>
      <c r="H327" s="62" t="s">
        <v>420</v>
      </c>
      <c r="I327" s="64" t="s">
        <v>450</v>
      </c>
      <c r="J327" s="65">
        <v>6</v>
      </c>
    </row>
    <row r="328" spans="1:10">
      <c r="A328" s="58" t="s">
        <v>1464</v>
      </c>
      <c r="B328" s="58" t="s">
        <v>811</v>
      </c>
      <c r="C328" s="58" t="s">
        <v>420</v>
      </c>
      <c r="D328" s="58" t="s">
        <v>420</v>
      </c>
      <c r="E328" s="58" t="s">
        <v>435</v>
      </c>
      <c r="F328" s="58" t="s">
        <v>1058</v>
      </c>
      <c r="G328" s="59">
        <v>8</v>
      </c>
      <c r="H328" s="58" t="s">
        <v>420</v>
      </c>
      <c r="I328" s="60" t="s">
        <v>450</v>
      </c>
      <c r="J328" s="61">
        <v>6</v>
      </c>
    </row>
    <row r="329" spans="1:10">
      <c r="A329" s="62" t="s">
        <v>1465</v>
      </c>
      <c r="B329" s="62" t="s">
        <v>812</v>
      </c>
      <c r="C329" s="62" t="s">
        <v>420</v>
      </c>
      <c r="D329" s="62" t="s">
        <v>420</v>
      </c>
      <c r="E329" s="62" t="s">
        <v>435</v>
      </c>
      <c r="F329" s="62" t="s">
        <v>1057</v>
      </c>
      <c r="G329" s="63">
        <v>7</v>
      </c>
      <c r="H329" s="62" t="s">
        <v>420</v>
      </c>
      <c r="I329" s="64" t="s">
        <v>2278</v>
      </c>
      <c r="J329" s="65">
        <v>3</v>
      </c>
    </row>
    <row r="330" spans="1:10">
      <c r="A330" s="58" t="s">
        <v>1466</v>
      </c>
      <c r="B330" s="58" t="s">
        <v>813</v>
      </c>
      <c r="C330" s="58" t="s">
        <v>420</v>
      </c>
      <c r="D330" s="58" t="s">
        <v>420</v>
      </c>
      <c r="E330" s="58" t="s">
        <v>421</v>
      </c>
      <c r="F330" s="58" t="s">
        <v>1058</v>
      </c>
      <c r="G330" s="59">
        <v>8</v>
      </c>
      <c r="H330" s="58" t="s">
        <v>420</v>
      </c>
      <c r="I330" s="60" t="s">
        <v>450</v>
      </c>
      <c r="J330" s="61">
        <v>4</v>
      </c>
    </row>
    <row r="331" spans="1:10">
      <c r="A331" s="62" t="s">
        <v>1467</v>
      </c>
      <c r="B331" s="62" t="s">
        <v>814</v>
      </c>
      <c r="C331" s="62" t="s">
        <v>420</v>
      </c>
      <c r="D331" s="62" t="s">
        <v>420</v>
      </c>
      <c r="E331" s="62" t="s">
        <v>435</v>
      </c>
      <c r="F331" s="62" t="s">
        <v>1058</v>
      </c>
      <c r="G331" s="63">
        <v>6</v>
      </c>
      <c r="H331" s="62" t="s">
        <v>420</v>
      </c>
      <c r="I331" s="64" t="s">
        <v>2277</v>
      </c>
      <c r="J331" s="65">
        <v>6</v>
      </c>
    </row>
    <row r="332" spans="1:10">
      <c r="A332" s="58" t="s">
        <v>1468</v>
      </c>
      <c r="B332" s="58" t="s">
        <v>815</v>
      </c>
      <c r="C332" s="58" t="s">
        <v>420</v>
      </c>
      <c r="D332" s="58" t="s">
        <v>420</v>
      </c>
      <c r="E332" s="58" t="s">
        <v>431</v>
      </c>
      <c r="F332" s="58" t="s">
        <v>1058</v>
      </c>
      <c r="G332" s="59">
        <v>7</v>
      </c>
      <c r="H332" s="58" t="s">
        <v>420</v>
      </c>
      <c r="I332" s="60" t="s">
        <v>450</v>
      </c>
      <c r="J332" s="61">
        <v>5</v>
      </c>
    </row>
    <row r="333" spans="1:10">
      <c r="A333" s="62" t="s">
        <v>1469</v>
      </c>
      <c r="B333" s="62" t="s">
        <v>816</v>
      </c>
      <c r="C333" s="62" t="s">
        <v>423</v>
      </c>
      <c r="D333" s="62" t="s">
        <v>423</v>
      </c>
      <c r="E333" s="62" t="s">
        <v>435</v>
      </c>
      <c r="F333" s="62" t="s">
        <v>1058</v>
      </c>
      <c r="G333" s="63">
        <v>6</v>
      </c>
      <c r="H333" s="62" t="s">
        <v>420</v>
      </c>
      <c r="I333" s="64" t="s">
        <v>2277</v>
      </c>
      <c r="J333" s="65">
        <v>6</v>
      </c>
    </row>
    <row r="334" spans="1:10">
      <c r="A334" s="58" t="s">
        <v>1470</v>
      </c>
      <c r="B334" s="58" t="s">
        <v>817</v>
      </c>
      <c r="C334" s="58" t="s">
        <v>420</v>
      </c>
      <c r="D334" s="58" t="s">
        <v>420</v>
      </c>
      <c r="E334" s="58" t="s">
        <v>431</v>
      </c>
      <c r="F334" s="58" t="s">
        <v>1058</v>
      </c>
      <c r="G334" s="59">
        <v>6</v>
      </c>
      <c r="H334" s="58" t="s">
        <v>420</v>
      </c>
      <c r="I334" s="60" t="s">
        <v>2277</v>
      </c>
      <c r="J334" s="61">
        <v>5</v>
      </c>
    </row>
    <row r="335" spans="1:10">
      <c r="A335" s="62" t="s">
        <v>1471</v>
      </c>
      <c r="B335" s="62" t="s">
        <v>818</v>
      </c>
      <c r="C335" s="62" t="s">
        <v>420</v>
      </c>
      <c r="D335" s="62" t="s">
        <v>420</v>
      </c>
      <c r="E335" s="62" t="s">
        <v>421</v>
      </c>
      <c r="F335" s="62" t="s">
        <v>1058</v>
      </c>
      <c r="G335" s="63">
        <v>8</v>
      </c>
      <c r="H335" s="62" t="s">
        <v>420</v>
      </c>
      <c r="I335" s="64" t="s">
        <v>450</v>
      </c>
      <c r="J335" s="65">
        <v>4</v>
      </c>
    </row>
    <row r="336" spans="1:10">
      <c r="A336" s="58" t="s">
        <v>1472</v>
      </c>
      <c r="B336" s="58" t="s">
        <v>819</v>
      </c>
      <c r="C336" s="58" t="s">
        <v>420</v>
      </c>
      <c r="D336" s="58" t="s">
        <v>420</v>
      </c>
      <c r="E336" s="58" t="s">
        <v>435</v>
      </c>
      <c r="F336" s="58" t="s">
        <v>1058</v>
      </c>
      <c r="G336" s="59">
        <v>8</v>
      </c>
      <c r="H336" s="58" t="s">
        <v>420</v>
      </c>
      <c r="I336" s="60" t="s">
        <v>2277</v>
      </c>
      <c r="J336" s="61">
        <v>5</v>
      </c>
    </row>
    <row r="337" spans="1:10">
      <c r="A337" s="62" t="s">
        <v>1473</v>
      </c>
      <c r="B337" s="62" t="s">
        <v>820</v>
      </c>
      <c r="C337" s="62" t="s">
        <v>420</v>
      </c>
      <c r="D337" s="62" t="s">
        <v>420</v>
      </c>
      <c r="E337" s="62" t="s">
        <v>434</v>
      </c>
      <c r="F337" s="62" t="s">
        <v>1058</v>
      </c>
      <c r="G337" s="63">
        <v>7</v>
      </c>
      <c r="H337" s="62" t="s">
        <v>2272</v>
      </c>
      <c r="I337" s="64" t="s">
        <v>450</v>
      </c>
      <c r="J337" s="65">
        <v>5</v>
      </c>
    </row>
    <row r="338" spans="1:10">
      <c r="A338" s="58" t="s">
        <v>1474</v>
      </c>
      <c r="B338" s="58" t="s">
        <v>821</v>
      </c>
      <c r="C338" s="58" t="s">
        <v>420</v>
      </c>
      <c r="D338" s="58" t="s">
        <v>420</v>
      </c>
      <c r="E338" s="58" t="s">
        <v>434</v>
      </c>
      <c r="F338" s="58" t="s">
        <v>1058</v>
      </c>
      <c r="G338" s="59">
        <v>6</v>
      </c>
      <c r="H338" s="58" t="s">
        <v>420</v>
      </c>
      <c r="I338" s="60" t="s">
        <v>2277</v>
      </c>
      <c r="J338" s="61">
        <v>4</v>
      </c>
    </row>
    <row r="339" spans="1:10">
      <c r="A339" s="62" t="s">
        <v>1475</v>
      </c>
      <c r="B339" s="62" t="s">
        <v>822</v>
      </c>
      <c r="C339" s="62" t="s">
        <v>420</v>
      </c>
      <c r="D339" s="62" t="s">
        <v>420</v>
      </c>
      <c r="E339" s="62" t="s">
        <v>431</v>
      </c>
      <c r="F339" s="62" t="s">
        <v>1057</v>
      </c>
      <c r="G339" s="63">
        <v>8</v>
      </c>
      <c r="H339" s="62" t="s">
        <v>420</v>
      </c>
      <c r="I339" s="64" t="s">
        <v>450</v>
      </c>
      <c r="J339" s="65">
        <v>4</v>
      </c>
    </row>
    <row r="340" spans="1:10">
      <c r="A340" s="58" t="s">
        <v>1476</v>
      </c>
      <c r="B340" s="58" t="s">
        <v>823</v>
      </c>
      <c r="C340" s="58" t="s">
        <v>420</v>
      </c>
      <c r="D340" s="58" t="s">
        <v>420</v>
      </c>
      <c r="E340" s="58" t="s">
        <v>431</v>
      </c>
      <c r="F340" s="58" t="s">
        <v>1058</v>
      </c>
      <c r="G340" s="59">
        <v>7</v>
      </c>
      <c r="H340" s="58" t="s">
        <v>420</v>
      </c>
      <c r="I340" s="60" t="s">
        <v>450</v>
      </c>
      <c r="J340" s="61">
        <v>4</v>
      </c>
    </row>
    <row r="341" spans="1:10">
      <c r="A341" s="62" t="s">
        <v>1477</v>
      </c>
      <c r="B341" s="62" t="s">
        <v>824</v>
      </c>
      <c r="C341" s="62" t="s">
        <v>423</v>
      </c>
      <c r="D341" s="62" t="s">
        <v>423</v>
      </c>
      <c r="E341" s="62" t="s">
        <v>434</v>
      </c>
      <c r="F341" s="62" t="s">
        <v>1058</v>
      </c>
      <c r="G341" s="63">
        <v>8</v>
      </c>
      <c r="H341" s="62" t="s">
        <v>420</v>
      </c>
      <c r="I341" s="64" t="s">
        <v>450</v>
      </c>
      <c r="J341" s="65">
        <v>7</v>
      </c>
    </row>
    <row r="342" spans="1:10">
      <c r="A342" s="58" t="s">
        <v>1478</v>
      </c>
      <c r="B342" s="58" t="s">
        <v>825</v>
      </c>
      <c r="C342" s="58" t="s">
        <v>423</v>
      </c>
      <c r="D342" s="58" t="s">
        <v>423</v>
      </c>
      <c r="E342" s="58" t="s">
        <v>435</v>
      </c>
      <c r="F342" s="58" t="s">
        <v>1058</v>
      </c>
      <c r="G342" s="59">
        <v>5</v>
      </c>
      <c r="H342" s="58" t="s">
        <v>2275</v>
      </c>
      <c r="I342" s="60" t="s">
        <v>450</v>
      </c>
      <c r="J342" s="61">
        <v>5</v>
      </c>
    </row>
    <row r="343" spans="1:10">
      <c r="A343" s="62" t="s">
        <v>1479</v>
      </c>
      <c r="B343" s="62" t="s">
        <v>826</v>
      </c>
      <c r="C343" s="62" t="s">
        <v>423</v>
      </c>
      <c r="D343" s="62" t="s">
        <v>423</v>
      </c>
      <c r="E343" s="62" t="s">
        <v>434</v>
      </c>
      <c r="F343" s="62" t="s">
        <v>1058</v>
      </c>
      <c r="G343" s="63">
        <v>7</v>
      </c>
      <c r="H343" s="62" t="s">
        <v>420</v>
      </c>
      <c r="I343" s="64" t="s">
        <v>450</v>
      </c>
      <c r="J343" s="65">
        <v>5</v>
      </c>
    </row>
    <row r="344" spans="1:10">
      <c r="A344" s="58" t="s">
        <v>1480</v>
      </c>
      <c r="B344" s="58" t="s">
        <v>827</v>
      </c>
      <c r="C344" s="58" t="s">
        <v>420</v>
      </c>
      <c r="D344" s="58" t="s">
        <v>420</v>
      </c>
      <c r="E344" s="58" t="s">
        <v>434</v>
      </c>
      <c r="F344" s="58" t="s">
        <v>1058</v>
      </c>
      <c r="G344" s="59">
        <v>6</v>
      </c>
      <c r="H344" s="58" t="s">
        <v>420</v>
      </c>
      <c r="I344" s="60" t="s">
        <v>2277</v>
      </c>
      <c r="J344" s="61">
        <v>8</v>
      </c>
    </row>
    <row r="345" spans="1:10">
      <c r="A345" s="62" t="s">
        <v>1481</v>
      </c>
      <c r="B345" s="62" t="s">
        <v>828</v>
      </c>
      <c r="C345" s="62" t="s">
        <v>420</v>
      </c>
      <c r="D345" s="62" t="s">
        <v>420</v>
      </c>
      <c r="E345" s="62" t="s">
        <v>435</v>
      </c>
      <c r="F345" s="62" t="s">
        <v>1058</v>
      </c>
      <c r="G345" s="63">
        <v>6</v>
      </c>
      <c r="H345" s="62" t="s">
        <v>2273</v>
      </c>
      <c r="I345" s="64" t="s">
        <v>2277</v>
      </c>
      <c r="J345" s="65">
        <v>3</v>
      </c>
    </row>
    <row r="346" spans="1:10">
      <c r="A346" s="58" t="s">
        <v>1482</v>
      </c>
      <c r="B346" s="58" t="s">
        <v>829</v>
      </c>
      <c r="C346" s="58" t="s">
        <v>420</v>
      </c>
      <c r="D346" s="58" t="s">
        <v>420</v>
      </c>
      <c r="E346" s="58" t="s">
        <v>426</v>
      </c>
      <c r="F346" s="58" t="s">
        <v>1058</v>
      </c>
      <c r="G346" s="59">
        <v>6.3008333333333297</v>
      </c>
      <c r="H346" s="58" t="s">
        <v>420</v>
      </c>
      <c r="I346" s="60" t="s">
        <v>2277</v>
      </c>
      <c r="J346" s="61">
        <v>4</v>
      </c>
    </row>
    <row r="347" spans="1:10">
      <c r="A347" s="62" t="s">
        <v>1483</v>
      </c>
      <c r="B347" s="62" t="s">
        <v>830</v>
      </c>
      <c r="C347" s="62" t="s">
        <v>420</v>
      </c>
      <c r="D347" s="62" t="s">
        <v>420</v>
      </c>
      <c r="E347" s="62" t="s">
        <v>435</v>
      </c>
      <c r="F347" s="62" t="s">
        <v>1058</v>
      </c>
      <c r="G347" s="63">
        <v>7</v>
      </c>
      <c r="H347" s="62" t="s">
        <v>420</v>
      </c>
      <c r="I347" s="64" t="s">
        <v>450</v>
      </c>
      <c r="J347" s="65">
        <v>7</v>
      </c>
    </row>
    <row r="348" spans="1:10">
      <c r="A348" s="58" t="s">
        <v>1484</v>
      </c>
      <c r="B348" s="58" t="s">
        <v>831</v>
      </c>
      <c r="C348" s="58" t="s">
        <v>420</v>
      </c>
      <c r="D348" s="58" t="s">
        <v>420</v>
      </c>
      <c r="E348" s="58" t="s">
        <v>434</v>
      </c>
      <c r="F348" s="58" t="s">
        <v>1058</v>
      </c>
      <c r="G348" s="59">
        <v>6</v>
      </c>
      <c r="H348" s="58" t="s">
        <v>2274</v>
      </c>
      <c r="I348" s="60" t="s">
        <v>450</v>
      </c>
      <c r="J348" s="61">
        <v>3</v>
      </c>
    </row>
    <row r="349" spans="1:10">
      <c r="A349" s="62" t="s">
        <v>1485</v>
      </c>
      <c r="B349" s="62" t="s">
        <v>832</v>
      </c>
      <c r="C349" s="62" t="s">
        <v>420</v>
      </c>
      <c r="D349" s="62" t="s">
        <v>420</v>
      </c>
      <c r="E349" s="62" t="s">
        <v>435</v>
      </c>
      <c r="F349" s="62" t="s">
        <v>1058</v>
      </c>
      <c r="G349" s="63">
        <v>6</v>
      </c>
      <c r="H349" s="62" t="s">
        <v>420</v>
      </c>
      <c r="I349" s="64" t="s">
        <v>450</v>
      </c>
      <c r="J349" s="65">
        <v>6</v>
      </c>
    </row>
    <row r="350" spans="1:10">
      <c r="A350" s="58" t="s">
        <v>1486</v>
      </c>
      <c r="B350" s="58" t="s">
        <v>833</v>
      </c>
      <c r="C350" s="58" t="s">
        <v>420</v>
      </c>
      <c r="D350" s="58" t="s">
        <v>420</v>
      </c>
      <c r="E350" s="58" t="s">
        <v>435</v>
      </c>
      <c r="F350" s="58" t="s">
        <v>1058</v>
      </c>
      <c r="G350" s="59">
        <v>8</v>
      </c>
      <c r="H350" s="58" t="s">
        <v>420</v>
      </c>
      <c r="I350" s="60" t="s">
        <v>2277</v>
      </c>
      <c r="J350" s="61">
        <v>5</v>
      </c>
    </row>
    <row r="351" spans="1:10">
      <c r="A351" s="62" t="s">
        <v>1487</v>
      </c>
      <c r="B351" s="62" t="s">
        <v>834</v>
      </c>
      <c r="C351" s="62" t="s">
        <v>420</v>
      </c>
      <c r="D351" s="62" t="s">
        <v>420</v>
      </c>
      <c r="E351" s="62" t="s">
        <v>435</v>
      </c>
      <c r="F351" s="62" t="s">
        <v>1058</v>
      </c>
      <c r="G351" s="63">
        <v>6</v>
      </c>
      <c r="H351" s="62" t="s">
        <v>420</v>
      </c>
      <c r="I351" s="64" t="s">
        <v>450</v>
      </c>
      <c r="J351" s="65">
        <v>6</v>
      </c>
    </row>
    <row r="352" spans="1:10">
      <c r="A352" s="58" t="s">
        <v>1488</v>
      </c>
      <c r="B352" s="58" t="s">
        <v>835</v>
      </c>
      <c r="C352" s="58" t="s">
        <v>420</v>
      </c>
      <c r="D352" s="58" t="s">
        <v>420</v>
      </c>
      <c r="E352" s="58" t="s">
        <v>435</v>
      </c>
      <c r="F352" s="58" t="s">
        <v>1058</v>
      </c>
      <c r="G352" s="59">
        <v>8</v>
      </c>
      <c r="H352" s="58" t="s">
        <v>420</v>
      </c>
      <c r="I352" s="60" t="s">
        <v>450</v>
      </c>
      <c r="J352" s="61">
        <v>6</v>
      </c>
    </row>
    <row r="353" spans="1:10">
      <c r="A353" s="62" t="s">
        <v>1489</v>
      </c>
      <c r="B353" s="62" t="s">
        <v>836</v>
      </c>
      <c r="C353" s="62" t="s">
        <v>420</v>
      </c>
      <c r="D353" s="62" t="s">
        <v>420</v>
      </c>
      <c r="E353" s="62" t="s">
        <v>435</v>
      </c>
      <c r="F353" s="62" t="s">
        <v>1057</v>
      </c>
      <c r="G353" s="63">
        <v>7</v>
      </c>
      <c r="H353" s="62" t="s">
        <v>420</v>
      </c>
      <c r="I353" s="64" t="s">
        <v>2278</v>
      </c>
      <c r="J353" s="65">
        <v>3</v>
      </c>
    </row>
    <row r="354" spans="1:10">
      <c r="A354" s="58" t="s">
        <v>1490</v>
      </c>
      <c r="B354" s="58" t="s">
        <v>837</v>
      </c>
      <c r="C354" s="58" t="s">
        <v>420</v>
      </c>
      <c r="D354" s="58" t="s">
        <v>420</v>
      </c>
      <c r="E354" s="58" t="s">
        <v>421</v>
      </c>
      <c r="F354" s="58" t="s">
        <v>1058</v>
      </c>
      <c r="G354" s="59">
        <v>8</v>
      </c>
      <c r="H354" s="58" t="s">
        <v>420</v>
      </c>
      <c r="I354" s="60" t="s">
        <v>450</v>
      </c>
      <c r="J354" s="61">
        <v>4</v>
      </c>
    </row>
    <row r="355" spans="1:10">
      <c r="A355" s="62" t="s">
        <v>1491</v>
      </c>
      <c r="B355" s="62" t="s">
        <v>838</v>
      </c>
      <c r="C355" s="62" t="s">
        <v>420</v>
      </c>
      <c r="D355" s="62" t="s">
        <v>420</v>
      </c>
      <c r="E355" s="62" t="s">
        <v>435</v>
      </c>
      <c r="F355" s="62" t="s">
        <v>1058</v>
      </c>
      <c r="G355" s="63">
        <v>6</v>
      </c>
      <c r="H355" s="62" t="s">
        <v>420</v>
      </c>
      <c r="I355" s="64" t="s">
        <v>2277</v>
      </c>
      <c r="J355" s="65">
        <v>6</v>
      </c>
    </row>
    <row r="356" spans="1:10">
      <c r="A356" s="58" t="s">
        <v>1492</v>
      </c>
      <c r="B356" s="58" t="s">
        <v>839</v>
      </c>
      <c r="C356" s="58" t="s">
        <v>420</v>
      </c>
      <c r="D356" s="58" t="s">
        <v>420</v>
      </c>
      <c r="E356" s="58" t="s">
        <v>431</v>
      </c>
      <c r="F356" s="58" t="s">
        <v>1058</v>
      </c>
      <c r="G356" s="59">
        <v>7</v>
      </c>
      <c r="H356" s="58" t="s">
        <v>420</v>
      </c>
      <c r="I356" s="60" t="s">
        <v>450</v>
      </c>
      <c r="J356" s="61">
        <v>5</v>
      </c>
    </row>
    <row r="357" spans="1:10">
      <c r="A357" s="62" t="s">
        <v>1493</v>
      </c>
      <c r="B357" s="62" t="s">
        <v>840</v>
      </c>
      <c r="C357" s="62" t="s">
        <v>423</v>
      </c>
      <c r="D357" s="62" t="s">
        <v>423</v>
      </c>
      <c r="E357" s="62" t="s">
        <v>435</v>
      </c>
      <c r="F357" s="62" t="s">
        <v>1058</v>
      </c>
      <c r="G357" s="63">
        <v>6</v>
      </c>
      <c r="H357" s="62" t="s">
        <v>420</v>
      </c>
      <c r="I357" s="64" t="s">
        <v>2277</v>
      </c>
      <c r="J357" s="65">
        <v>6</v>
      </c>
    </row>
    <row r="358" spans="1:10">
      <c r="A358" s="58" t="s">
        <v>1494</v>
      </c>
      <c r="B358" s="58" t="s">
        <v>841</v>
      </c>
      <c r="C358" s="58" t="s">
        <v>420</v>
      </c>
      <c r="D358" s="58" t="s">
        <v>420</v>
      </c>
      <c r="E358" s="58" t="s">
        <v>431</v>
      </c>
      <c r="F358" s="58" t="s">
        <v>1058</v>
      </c>
      <c r="G358" s="59">
        <v>6</v>
      </c>
      <c r="H358" s="58" t="s">
        <v>420</v>
      </c>
      <c r="I358" s="60" t="s">
        <v>2277</v>
      </c>
      <c r="J358" s="61">
        <v>5</v>
      </c>
    </row>
    <row r="359" spans="1:10">
      <c r="A359" s="62" t="s">
        <v>1495</v>
      </c>
      <c r="B359" s="62" t="s">
        <v>842</v>
      </c>
      <c r="C359" s="62" t="s">
        <v>420</v>
      </c>
      <c r="D359" s="62" t="s">
        <v>420</v>
      </c>
      <c r="E359" s="62" t="s">
        <v>421</v>
      </c>
      <c r="F359" s="62" t="s">
        <v>1058</v>
      </c>
      <c r="G359" s="63">
        <v>8</v>
      </c>
      <c r="H359" s="62" t="s">
        <v>420</v>
      </c>
      <c r="I359" s="64" t="s">
        <v>450</v>
      </c>
      <c r="J359" s="65">
        <v>4</v>
      </c>
    </row>
    <row r="360" spans="1:10">
      <c r="A360" s="58" t="s">
        <v>1496</v>
      </c>
      <c r="B360" s="58" t="s">
        <v>843</v>
      </c>
      <c r="C360" s="58" t="s">
        <v>420</v>
      </c>
      <c r="D360" s="58" t="s">
        <v>420</v>
      </c>
      <c r="E360" s="58" t="s">
        <v>435</v>
      </c>
      <c r="F360" s="58" t="s">
        <v>1058</v>
      </c>
      <c r="G360" s="59">
        <v>8</v>
      </c>
      <c r="H360" s="58" t="s">
        <v>420</v>
      </c>
      <c r="I360" s="60" t="s">
        <v>2277</v>
      </c>
      <c r="J360" s="61">
        <v>5</v>
      </c>
    </row>
    <row r="361" spans="1:10">
      <c r="A361" s="62" t="s">
        <v>1497</v>
      </c>
      <c r="B361" s="62" t="s">
        <v>844</v>
      </c>
      <c r="C361" s="62" t="s">
        <v>420</v>
      </c>
      <c r="D361" s="62" t="s">
        <v>420</v>
      </c>
      <c r="E361" s="62" t="s">
        <v>434</v>
      </c>
      <c r="F361" s="62" t="s">
        <v>1058</v>
      </c>
      <c r="G361" s="63">
        <v>7</v>
      </c>
      <c r="H361" s="62" t="s">
        <v>2272</v>
      </c>
      <c r="I361" s="64" t="s">
        <v>450</v>
      </c>
      <c r="J361" s="65">
        <v>5</v>
      </c>
    </row>
    <row r="362" spans="1:10">
      <c r="A362" s="58" t="s">
        <v>1498</v>
      </c>
      <c r="B362" s="58" t="s">
        <v>845</v>
      </c>
      <c r="C362" s="58" t="s">
        <v>420</v>
      </c>
      <c r="D362" s="58" t="s">
        <v>420</v>
      </c>
      <c r="E362" s="58" t="s">
        <v>434</v>
      </c>
      <c r="F362" s="58" t="s">
        <v>1058</v>
      </c>
      <c r="G362" s="59">
        <v>6</v>
      </c>
      <c r="H362" s="58" t="s">
        <v>420</v>
      </c>
      <c r="I362" s="60" t="s">
        <v>2277</v>
      </c>
      <c r="J362" s="61">
        <v>4</v>
      </c>
    </row>
    <row r="363" spans="1:10">
      <c r="A363" s="62" t="s">
        <v>1499</v>
      </c>
      <c r="B363" s="62" t="s">
        <v>846</v>
      </c>
      <c r="C363" s="62" t="s">
        <v>420</v>
      </c>
      <c r="D363" s="62" t="s">
        <v>420</v>
      </c>
      <c r="E363" s="62" t="s">
        <v>431</v>
      </c>
      <c r="F363" s="62" t="s">
        <v>1057</v>
      </c>
      <c r="G363" s="63">
        <v>8</v>
      </c>
      <c r="H363" s="62" t="s">
        <v>420</v>
      </c>
      <c r="I363" s="64" t="s">
        <v>450</v>
      </c>
      <c r="J363" s="65">
        <v>4</v>
      </c>
    </row>
    <row r="364" spans="1:10">
      <c r="A364" s="58" t="s">
        <v>1500</v>
      </c>
      <c r="B364" s="58" t="s">
        <v>847</v>
      </c>
      <c r="C364" s="58" t="s">
        <v>420</v>
      </c>
      <c r="D364" s="58" t="s">
        <v>420</v>
      </c>
      <c r="E364" s="58" t="s">
        <v>431</v>
      </c>
      <c r="F364" s="58" t="s">
        <v>1058</v>
      </c>
      <c r="G364" s="59">
        <v>7</v>
      </c>
      <c r="H364" s="58" t="s">
        <v>420</v>
      </c>
      <c r="I364" s="60" t="s">
        <v>450</v>
      </c>
      <c r="J364" s="61">
        <v>4</v>
      </c>
    </row>
    <row r="365" spans="1:10">
      <c r="A365" s="62" t="s">
        <v>1501</v>
      </c>
      <c r="B365" s="62" t="s">
        <v>848</v>
      </c>
      <c r="C365" s="62" t="s">
        <v>423</v>
      </c>
      <c r="D365" s="62" t="s">
        <v>423</v>
      </c>
      <c r="E365" s="62" t="s">
        <v>434</v>
      </c>
      <c r="F365" s="62" t="s">
        <v>1058</v>
      </c>
      <c r="G365" s="63">
        <v>8</v>
      </c>
      <c r="H365" s="62" t="s">
        <v>420</v>
      </c>
      <c r="I365" s="64" t="s">
        <v>450</v>
      </c>
      <c r="J365" s="65">
        <v>7</v>
      </c>
    </row>
    <row r="366" spans="1:10">
      <c r="A366" s="58" t="s">
        <v>1502</v>
      </c>
      <c r="B366" s="58" t="s">
        <v>849</v>
      </c>
      <c r="C366" s="58" t="s">
        <v>423</v>
      </c>
      <c r="D366" s="58" t="s">
        <v>423</v>
      </c>
      <c r="E366" s="58" t="s">
        <v>435</v>
      </c>
      <c r="F366" s="58" t="s">
        <v>1058</v>
      </c>
      <c r="G366" s="59">
        <v>5</v>
      </c>
      <c r="H366" s="58" t="s">
        <v>2275</v>
      </c>
      <c r="I366" s="60" t="s">
        <v>450</v>
      </c>
      <c r="J366" s="61">
        <v>5</v>
      </c>
    </row>
    <row r="367" spans="1:10">
      <c r="A367" s="62" t="s">
        <v>1503</v>
      </c>
      <c r="B367" s="62" t="s">
        <v>850</v>
      </c>
      <c r="C367" s="62" t="s">
        <v>423</v>
      </c>
      <c r="D367" s="62" t="s">
        <v>423</v>
      </c>
      <c r="E367" s="62" t="s">
        <v>434</v>
      </c>
      <c r="F367" s="62" t="s">
        <v>1058</v>
      </c>
      <c r="G367" s="63">
        <v>7</v>
      </c>
      <c r="H367" s="62" t="s">
        <v>420</v>
      </c>
      <c r="I367" s="64" t="s">
        <v>450</v>
      </c>
      <c r="J367" s="65">
        <v>5</v>
      </c>
    </row>
    <row r="368" spans="1:10">
      <c r="A368" s="58" t="s">
        <v>1504</v>
      </c>
      <c r="B368" s="58" t="s">
        <v>851</v>
      </c>
      <c r="C368" s="58" t="s">
        <v>420</v>
      </c>
      <c r="D368" s="58" t="s">
        <v>420</v>
      </c>
      <c r="E368" s="58" t="s">
        <v>434</v>
      </c>
      <c r="F368" s="58" t="s">
        <v>1058</v>
      </c>
      <c r="G368" s="59">
        <v>6</v>
      </c>
      <c r="H368" s="58" t="s">
        <v>420</v>
      </c>
      <c r="I368" s="60" t="s">
        <v>2277</v>
      </c>
      <c r="J368" s="61">
        <v>8</v>
      </c>
    </row>
    <row r="369" spans="1:10">
      <c r="A369" s="62" t="s">
        <v>1505</v>
      </c>
      <c r="B369" s="62" t="s">
        <v>852</v>
      </c>
      <c r="C369" s="62" t="s">
        <v>420</v>
      </c>
      <c r="D369" s="62" t="s">
        <v>420</v>
      </c>
      <c r="E369" s="62" t="s">
        <v>435</v>
      </c>
      <c r="F369" s="62" t="s">
        <v>1058</v>
      </c>
      <c r="G369" s="63">
        <v>6</v>
      </c>
      <c r="H369" s="62" t="s">
        <v>2273</v>
      </c>
      <c r="I369" s="64" t="s">
        <v>2277</v>
      </c>
      <c r="J369" s="65">
        <v>3</v>
      </c>
    </row>
    <row r="370" spans="1:10">
      <c r="A370" s="58" t="s">
        <v>1506</v>
      </c>
      <c r="B370" s="58" t="s">
        <v>853</v>
      </c>
      <c r="C370" s="58" t="s">
        <v>420</v>
      </c>
      <c r="D370" s="58" t="s">
        <v>420</v>
      </c>
      <c r="E370" s="58" t="s">
        <v>426</v>
      </c>
      <c r="F370" s="58" t="s">
        <v>1058</v>
      </c>
      <c r="G370" s="59">
        <v>6.3008333333333297</v>
      </c>
      <c r="H370" s="58" t="s">
        <v>420</v>
      </c>
      <c r="I370" s="60" t="s">
        <v>2277</v>
      </c>
      <c r="J370" s="61">
        <v>4</v>
      </c>
    </row>
    <row r="371" spans="1:10">
      <c r="A371" s="62" t="s">
        <v>1507</v>
      </c>
      <c r="B371" s="62" t="s">
        <v>854</v>
      </c>
      <c r="C371" s="62" t="s">
        <v>420</v>
      </c>
      <c r="D371" s="62" t="s">
        <v>420</v>
      </c>
      <c r="E371" s="62" t="s">
        <v>435</v>
      </c>
      <c r="F371" s="62" t="s">
        <v>1058</v>
      </c>
      <c r="G371" s="63">
        <v>7</v>
      </c>
      <c r="H371" s="62" t="s">
        <v>420</v>
      </c>
      <c r="I371" s="64" t="s">
        <v>450</v>
      </c>
      <c r="J371" s="65">
        <v>7</v>
      </c>
    </row>
    <row r="372" spans="1:10">
      <c r="A372" s="58" t="s">
        <v>1508</v>
      </c>
      <c r="B372" s="58" t="s">
        <v>855</v>
      </c>
      <c r="C372" s="58" t="s">
        <v>420</v>
      </c>
      <c r="D372" s="58" t="s">
        <v>420</v>
      </c>
      <c r="E372" s="58" t="s">
        <v>434</v>
      </c>
      <c r="F372" s="58" t="s">
        <v>1058</v>
      </c>
      <c r="G372" s="59">
        <v>6</v>
      </c>
      <c r="H372" s="58" t="s">
        <v>2274</v>
      </c>
      <c r="I372" s="60" t="s">
        <v>450</v>
      </c>
      <c r="J372" s="61">
        <v>3</v>
      </c>
    </row>
    <row r="373" spans="1:10">
      <c r="A373" s="62" t="s">
        <v>1509</v>
      </c>
      <c r="B373" s="62" t="s">
        <v>856</v>
      </c>
      <c r="C373" s="62" t="s">
        <v>420</v>
      </c>
      <c r="D373" s="62" t="s">
        <v>420</v>
      </c>
      <c r="E373" s="62" t="s">
        <v>435</v>
      </c>
      <c r="F373" s="62" t="s">
        <v>1058</v>
      </c>
      <c r="G373" s="63">
        <v>6</v>
      </c>
      <c r="H373" s="62" t="s">
        <v>420</v>
      </c>
      <c r="I373" s="64" t="s">
        <v>450</v>
      </c>
      <c r="J373" s="65">
        <v>6</v>
      </c>
    </row>
    <row r="374" spans="1:10">
      <c r="A374" s="58" t="s">
        <v>1510</v>
      </c>
      <c r="B374" s="58" t="s">
        <v>857</v>
      </c>
      <c r="C374" s="58" t="s">
        <v>420</v>
      </c>
      <c r="D374" s="58" t="s">
        <v>420</v>
      </c>
      <c r="E374" s="58" t="s">
        <v>435</v>
      </c>
      <c r="F374" s="58" t="s">
        <v>1058</v>
      </c>
      <c r="G374" s="59">
        <v>8</v>
      </c>
      <c r="H374" s="58" t="s">
        <v>420</v>
      </c>
      <c r="I374" s="60" t="s">
        <v>2277</v>
      </c>
      <c r="J374" s="61">
        <v>5</v>
      </c>
    </row>
    <row r="375" spans="1:10">
      <c r="A375" s="62" t="s">
        <v>1511</v>
      </c>
      <c r="B375" s="62" t="s">
        <v>858</v>
      </c>
      <c r="C375" s="62" t="s">
        <v>420</v>
      </c>
      <c r="D375" s="62" t="s">
        <v>420</v>
      </c>
      <c r="E375" s="62" t="s">
        <v>435</v>
      </c>
      <c r="F375" s="62" t="s">
        <v>1058</v>
      </c>
      <c r="G375" s="63">
        <v>6</v>
      </c>
      <c r="H375" s="62" t="s">
        <v>420</v>
      </c>
      <c r="I375" s="64" t="s">
        <v>450</v>
      </c>
      <c r="J375" s="65">
        <v>6</v>
      </c>
    </row>
    <row r="376" spans="1:10">
      <c r="A376" s="58" t="s">
        <v>1512</v>
      </c>
      <c r="B376" s="58" t="s">
        <v>859</v>
      </c>
      <c r="C376" s="58" t="s">
        <v>420</v>
      </c>
      <c r="D376" s="58" t="s">
        <v>420</v>
      </c>
      <c r="E376" s="58" t="s">
        <v>435</v>
      </c>
      <c r="F376" s="58" t="s">
        <v>1058</v>
      </c>
      <c r="G376" s="59">
        <v>8</v>
      </c>
      <c r="H376" s="58" t="s">
        <v>420</v>
      </c>
      <c r="I376" s="60" t="s">
        <v>450</v>
      </c>
      <c r="J376" s="61">
        <v>6</v>
      </c>
    </row>
    <row r="377" spans="1:10">
      <c r="A377" s="62" t="s">
        <v>1513</v>
      </c>
      <c r="B377" s="62" t="s">
        <v>860</v>
      </c>
      <c r="C377" s="62" t="s">
        <v>420</v>
      </c>
      <c r="D377" s="62" t="s">
        <v>420</v>
      </c>
      <c r="E377" s="62" t="s">
        <v>435</v>
      </c>
      <c r="F377" s="62" t="s">
        <v>1057</v>
      </c>
      <c r="G377" s="63">
        <v>7</v>
      </c>
      <c r="H377" s="62" t="s">
        <v>420</v>
      </c>
      <c r="I377" s="64" t="s">
        <v>2278</v>
      </c>
      <c r="J377" s="65">
        <v>3</v>
      </c>
    </row>
    <row r="378" spans="1:10">
      <c r="A378" s="58" t="s">
        <v>1514</v>
      </c>
      <c r="B378" s="58" t="s">
        <v>861</v>
      </c>
      <c r="C378" s="58" t="s">
        <v>420</v>
      </c>
      <c r="D378" s="58" t="s">
        <v>420</v>
      </c>
      <c r="E378" s="58" t="s">
        <v>421</v>
      </c>
      <c r="F378" s="58" t="s">
        <v>1058</v>
      </c>
      <c r="G378" s="59">
        <v>8</v>
      </c>
      <c r="H378" s="58" t="s">
        <v>420</v>
      </c>
      <c r="I378" s="60" t="s">
        <v>450</v>
      </c>
      <c r="J378" s="61">
        <v>4</v>
      </c>
    </row>
    <row r="379" spans="1:10">
      <c r="A379" s="62" t="s">
        <v>1515</v>
      </c>
      <c r="B379" s="62" t="s">
        <v>862</v>
      </c>
      <c r="C379" s="62" t="s">
        <v>420</v>
      </c>
      <c r="D379" s="62" t="s">
        <v>420</v>
      </c>
      <c r="E379" s="62" t="s">
        <v>435</v>
      </c>
      <c r="F379" s="62" t="s">
        <v>1058</v>
      </c>
      <c r="G379" s="63">
        <v>6</v>
      </c>
      <c r="H379" s="62" t="s">
        <v>420</v>
      </c>
      <c r="I379" s="64" t="s">
        <v>2277</v>
      </c>
      <c r="J379" s="65">
        <v>6</v>
      </c>
    </row>
    <row r="380" spans="1:10">
      <c r="A380" s="58" t="s">
        <v>1516</v>
      </c>
      <c r="B380" s="58" t="s">
        <v>863</v>
      </c>
      <c r="C380" s="58" t="s">
        <v>420</v>
      </c>
      <c r="D380" s="58" t="s">
        <v>420</v>
      </c>
      <c r="E380" s="58" t="s">
        <v>431</v>
      </c>
      <c r="F380" s="58" t="s">
        <v>1058</v>
      </c>
      <c r="G380" s="59">
        <v>7</v>
      </c>
      <c r="H380" s="58" t="s">
        <v>420</v>
      </c>
      <c r="I380" s="60" t="s">
        <v>450</v>
      </c>
      <c r="J380" s="61">
        <v>5</v>
      </c>
    </row>
    <row r="381" spans="1:10">
      <c r="A381" s="62" t="s">
        <v>1517</v>
      </c>
      <c r="B381" s="62" t="s">
        <v>864</v>
      </c>
      <c r="C381" s="62" t="s">
        <v>423</v>
      </c>
      <c r="D381" s="62" t="s">
        <v>423</v>
      </c>
      <c r="E381" s="62" t="s">
        <v>435</v>
      </c>
      <c r="F381" s="62" t="s">
        <v>1058</v>
      </c>
      <c r="G381" s="63">
        <v>6</v>
      </c>
      <c r="H381" s="62" t="s">
        <v>420</v>
      </c>
      <c r="I381" s="64" t="s">
        <v>2277</v>
      </c>
      <c r="J381" s="65">
        <v>6</v>
      </c>
    </row>
    <row r="382" spans="1:10">
      <c r="A382" s="58" t="s">
        <v>1518</v>
      </c>
      <c r="B382" s="58" t="s">
        <v>865</v>
      </c>
      <c r="C382" s="58" t="s">
        <v>420</v>
      </c>
      <c r="D382" s="58" t="s">
        <v>420</v>
      </c>
      <c r="E382" s="58" t="s">
        <v>431</v>
      </c>
      <c r="F382" s="58" t="s">
        <v>1058</v>
      </c>
      <c r="G382" s="59">
        <v>6</v>
      </c>
      <c r="H382" s="58" t="s">
        <v>420</v>
      </c>
      <c r="I382" s="60" t="s">
        <v>2277</v>
      </c>
      <c r="J382" s="61">
        <v>5</v>
      </c>
    </row>
    <row r="383" spans="1:10">
      <c r="A383" s="62" t="s">
        <v>1519</v>
      </c>
      <c r="B383" s="62" t="s">
        <v>866</v>
      </c>
      <c r="C383" s="62" t="s">
        <v>420</v>
      </c>
      <c r="D383" s="62" t="s">
        <v>420</v>
      </c>
      <c r="E383" s="62" t="s">
        <v>421</v>
      </c>
      <c r="F383" s="62" t="s">
        <v>1058</v>
      </c>
      <c r="G383" s="63">
        <v>8</v>
      </c>
      <c r="H383" s="62" t="s">
        <v>420</v>
      </c>
      <c r="I383" s="64" t="s">
        <v>450</v>
      </c>
      <c r="J383" s="65">
        <v>4</v>
      </c>
    </row>
    <row r="384" spans="1:10">
      <c r="A384" s="58" t="s">
        <v>1520</v>
      </c>
      <c r="B384" s="58" t="s">
        <v>867</v>
      </c>
      <c r="C384" s="58" t="s">
        <v>420</v>
      </c>
      <c r="D384" s="58" t="s">
        <v>420</v>
      </c>
      <c r="E384" s="58" t="s">
        <v>435</v>
      </c>
      <c r="F384" s="58" t="s">
        <v>1058</v>
      </c>
      <c r="G384" s="59">
        <v>8</v>
      </c>
      <c r="H384" s="58" t="s">
        <v>420</v>
      </c>
      <c r="I384" s="60" t="s">
        <v>2277</v>
      </c>
      <c r="J384" s="61">
        <v>5</v>
      </c>
    </row>
    <row r="385" spans="1:10">
      <c r="A385" s="62" t="s">
        <v>1521</v>
      </c>
      <c r="B385" s="62" t="s">
        <v>868</v>
      </c>
      <c r="C385" s="62" t="s">
        <v>420</v>
      </c>
      <c r="D385" s="62" t="s">
        <v>420</v>
      </c>
      <c r="E385" s="62" t="s">
        <v>434</v>
      </c>
      <c r="F385" s="62" t="s">
        <v>1058</v>
      </c>
      <c r="G385" s="63">
        <v>7</v>
      </c>
      <c r="H385" s="62" t="s">
        <v>2272</v>
      </c>
      <c r="I385" s="64" t="s">
        <v>450</v>
      </c>
      <c r="J385" s="65">
        <v>5</v>
      </c>
    </row>
    <row r="386" spans="1:10">
      <c r="A386" s="58" t="s">
        <v>1522</v>
      </c>
      <c r="B386" s="58" t="s">
        <v>869</v>
      </c>
      <c r="C386" s="58" t="s">
        <v>420</v>
      </c>
      <c r="D386" s="58" t="s">
        <v>420</v>
      </c>
      <c r="E386" s="58" t="s">
        <v>434</v>
      </c>
      <c r="F386" s="58" t="s">
        <v>1058</v>
      </c>
      <c r="G386" s="59">
        <v>6</v>
      </c>
      <c r="H386" s="58" t="s">
        <v>420</v>
      </c>
      <c r="I386" s="60" t="s">
        <v>2277</v>
      </c>
      <c r="J386" s="61">
        <v>4</v>
      </c>
    </row>
    <row r="387" spans="1:10">
      <c r="A387" s="62" t="s">
        <v>1523</v>
      </c>
      <c r="B387" s="62" t="s">
        <v>870</v>
      </c>
      <c r="C387" s="62" t="s">
        <v>420</v>
      </c>
      <c r="D387" s="62" t="s">
        <v>420</v>
      </c>
      <c r="E387" s="62" t="s">
        <v>431</v>
      </c>
      <c r="F387" s="62" t="s">
        <v>1057</v>
      </c>
      <c r="G387" s="63">
        <v>8</v>
      </c>
      <c r="H387" s="62" t="s">
        <v>420</v>
      </c>
      <c r="I387" s="64" t="s">
        <v>450</v>
      </c>
      <c r="J387" s="65">
        <v>4</v>
      </c>
    </row>
    <row r="388" spans="1:10">
      <c r="A388" s="58" t="s">
        <v>1524</v>
      </c>
      <c r="B388" s="58" t="s">
        <v>871</v>
      </c>
      <c r="C388" s="58" t="s">
        <v>420</v>
      </c>
      <c r="D388" s="58" t="s">
        <v>420</v>
      </c>
      <c r="E388" s="58" t="s">
        <v>431</v>
      </c>
      <c r="F388" s="58" t="s">
        <v>1058</v>
      </c>
      <c r="G388" s="59">
        <v>7</v>
      </c>
      <c r="H388" s="58" t="s">
        <v>420</v>
      </c>
      <c r="I388" s="60" t="s">
        <v>450</v>
      </c>
      <c r="J388" s="61">
        <v>4</v>
      </c>
    </row>
    <row r="389" spans="1:10">
      <c r="A389" s="62" t="s">
        <v>1525</v>
      </c>
      <c r="B389" s="62" t="s">
        <v>872</v>
      </c>
      <c r="C389" s="62" t="s">
        <v>423</v>
      </c>
      <c r="D389" s="62" t="s">
        <v>423</v>
      </c>
      <c r="E389" s="62" t="s">
        <v>434</v>
      </c>
      <c r="F389" s="62" t="s">
        <v>1058</v>
      </c>
      <c r="G389" s="63">
        <v>8</v>
      </c>
      <c r="H389" s="62" t="s">
        <v>420</v>
      </c>
      <c r="I389" s="64" t="s">
        <v>450</v>
      </c>
      <c r="J389" s="65">
        <v>7</v>
      </c>
    </row>
    <row r="390" spans="1:10">
      <c r="A390" s="58" t="s">
        <v>1526</v>
      </c>
      <c r="B390" s="58" t="s">
        <v>873</v>
      </c>
      <c r="C390" s="58" t="s">
        <v>423</v>
      </c>
      <c r="D390" s="58" t="s">
        <v>423</v>
      </c>
      <c r="E390" s="58" t="s">
        <v>435</v>
      </c>
      <c r="F390" s="58" t="s">
        <v>1058</v>
      </c>
      <c r="G390" s="59">
        <v>5</v>
      </c>
      <c r="H390" s="58" t="s">
        <v>2275</v>
      </c>
      <c r="I390" s="60" t="s">
        <v>450</v>
      </c>
      <c r="J390" s="61">
        <v>5</v>
      </c>
    </row>
    <row r="391" spans="1:10">
      <c r="A391" s="62" t="s">
        <v>1527</v>
      </c>
      <c r="B391" s="62" t="s">
        <v>874</v>
      </c>
      <c r="C391" s="62" t="s">
        <v>423</v>
      </c>
      <c r="D391" s="62" t="s">
        <v>423</v>
      </c>
      <c r="E391" s="62" t="s">
        <v>434</v>
      </c>
      <c r="F391" s="62" t="s">
        <v>1058</v>
      </c>
      <c r="G391" s="63">
        <v>7</v>
      </c>
      <c r="H391" s="62" t="s">
        <v>420</v>
      </c>
      <c r="I391" s="64" t="s">
        <v>450</v>
      </c>
      <c r="J391" s="65">
        <v>5</v>
      </c>
    </row>
    <row r="392" spans="1:10">
      <c r="A392" s="58" t="s">
        <v>1528</v>
      </c>
      <c r="B392" s="58" t="s">
        <v>875</v>
      </c>
      <c r="C392" s="58" t="s">
        <v>420</v>
      </c>
      <c r="D392" s="58" t="s">
        <v>420</v>
      </c>
      <c r="E392" s="58" t="s">
        <v>434</v>
      </c>
      <c r="F392" s="58" t="s">
        <v>1058</v>
      </c>
      <c r="G392" s="59">
        <v>6</v>
      </c>
      <c r="H392" s="58" t="s">
        <v>420</v>
      </c>
      <c r="I392" s="60" t="s">
        <v>2277</v>
      </c>
      <c r="J392" s="61">
        <v>8</v>
      </c>
    </row>
    <row r="393" spans="1:10">
      <c r="A393" s="62" t="s">
        <v>1529</v>
      </c>
      <c r="B393" s="62" t="s">
        <v>876</v>
      </c>
      <c r="C393" s="62" t="s">
        <v>420</v>
      </c>
      <c r="D393" s="62" t="s">
        <v>420</v>
      </c>
      <c r="E393" s="62" t="s">
        <v>435</v>
      </c>
      <c r="F393" s="62" t="s">
        <v>1058</v>
      </c>
      <c r="G393" s="63">
        <v>6</v>
      </c>
      <c r="H393" s="62" t="s">
        <v>2273</v>
      </c>
      <c r="I393" s="64" t="s">
        <v>2277</v>
      </c>
      <c r="J393" s="65">
        <v>3</v>
      </c>
    </row>
    <row r="394" spans="1:10">
      <c r="A394" s="58" t="s">
        <v>1530</v>
      </c>
      <c r="B394" s="58" t="s">
        <v>877</v>
      </c>
      <c r="C394" s="58" t="s">
        <v>420</v>
      </c>
      <c r="D394" s="58" t="s">
        <v>420</v>
      </c>
      <c r="E394" s="58" t="s">
        <v>426</v>
      </c>
      <c r="F394" s="58" t="s">
        <v>1058</v>
      </c>
      <c r="G394" s="59">
        <v>6.3008333333333297</v>
      </c>
      <c r="H394" s="58" t="s">
        <v>420</v>
      </c>
      <c r="I394" s="60" t="s">
        <v>2277</v>
      </c>
      <c r="J394" s="61">
        <v>4</v>
      </c>
    </row>
    <row r="395" spans="1:10">
      <c r="A395" s="62" t="s">
        <v>1531</v>
      </c>
      <c r="B395" s="62" t="s">
        <v>878</v>
      </c>
      <c r="C395" s="62" t="s">
        <v>420</v>
      </c>
      <c r="D395" s="62" t="s">
        <v>420</v>
      </c>
      <c r="E395" s="62" t="s">
        <v>435</v>
      </c>
      <c r="F395" s="62" t="s">
        <v>1058</v>
      </c>
      <c r="G395" s="63">
        <v>7</v>
      </c>
      <c r="H395" s="62" t="s">
        <v>420</v>
      </c>
      <c r="I395" s="64" t="s">
        <v>450</v>
      </c>
      <c r="J395" s="65">
        <v>7</v>
      </c>
    </row>
    <row r="396" spans="1:10">
      <c r="A396" s="58" t="s">
        <v>1532</v>
      </c>
      <c r="B396" s="58" t="s">
        <v>879</v>
      </c>
      <c r="C396" s="58" t="s">
        <v>420</v>
      </c>
      <c r="D396" s="58" t="s">
        <v>420</v>
      </c>
      <c r="E396" s="58" t="s">
        <v>434</v>
      </c>
      <c r="F396" s="58" t="s">
        <v>1058</v>
      </c>
      <c r="G396" s="59">
        <v>6</v>
      </c>
      <c r="H396" s="58" t="s">
        <v>2274</v>
      </c>
      <c r="I396" s="60" t="s">
        <v>450</v>
      </c>
      <c r="J396" s="61">
        <v>3</v>
      </c>
    </row>
    <row r="397" spans="1:10">
      <c r="A397" s="62" t="s">
        <v>1533</v>
      </c>
      <c r="B397" s="62" t="s">
        <v>880</v>
      </c>
      <c r="C397" s="62" t="s">
        <v>420</v>
      </c>
      <c r="D397" s="62" t="s">
        <v>420</v>
      </c>
      <c r="E397" s="62" t="s">
        <v>435</v>
      </c>
      <c r="F397" s="62" t="s">
        <v>1058</v>
      </c>
      <c r="G397" s="63">
        <v>6</v>
      </c>
      <c r="H397" s="62" t="s">
        <v>420</v>
      </c>
      <c r="I397" s="64" t="s">
        <v>450</v>
      </c>
      <c r="J397" s="65">
        <v>6</v>
      </c>
    </row>
    <row r="398" spans="1:10">
      <c r="A398" s="58" t="s">
        <v>1534</v>
      </c>
      <c r="B398" s="58" t="s">
        <v>881</v>
      </c>
      <c r="C398" s="58" t="s">
        <v>420</v>
      </c>
      <c r="D398" s="58" t="s">
        <v>420</v>
      </c>
      <c r="E398" s="58" t="s">
        <v>435</v>
      </c>
      <c r="F398" s="58" t="s">
        <v>1058</v>
      </c>
      <c r="G398" s="59">
        <v>8</v>
      </c>
      <c r="H398" s="58" t="s">
        <v>420</v>
      </c>
      <c r="I398" s="60" t="s">
        <v>2277</v>
      </c>
      <c r="J398" s="61">
        <v>5</v>
      </c>
    </row>
    <row r="399" spans="1:10">
      <c r="A399" s="62" t="s">
        <v>1535</v>
      </c>
      <c r="B399" s="62" t="s">
        <v>882</v>
      </c>
      <c r="C399" s="62" t="s">
        <v>420</v>
      </c>
      <c r="D399" s="62" t="s">
        <v>420</v>
      </c>
      <c r="E399" s="62" t="s">
        <v>435</v>
      </c>
      <c r="F399" s="62" t="s">
        <v>1058</v>
      </c>
      <c r="G399" s="63">
        <v>6</v>
      </c>
      <c r="H399" s="62" t="s">
        <v>420</v>
      </c>
      <c r="I399" s="64" t="s">
        <v>450</v>
      </c>
      <c r="J399" s="65">
        <v>6</v>
      </c>
    </row>
    <row r="400" spans="1:10">
      <c r="A400" s="58" t="s">
        <v>1536</v>
      </c>
      <c r="B400" s="58" t="s">
        <v>883</v>
      </c>
      <c r="C400" s="58" t="s">
        <v>420</v>
      </c>
      <c r="D400" s="58" t="s">
        <v>420</v>
      </c>
      <c r="E400" s="58" t="s">
        <v>435</v>
      </c>
      <c r="F400" s="58" t="s">
        <v>1058</v>
      </c>
      <c r="G400" s="59">
        <v>8</v>
      </c>
      <c r="H400" s="58" t="s">
        <v>420</v>
      </c>
      <c r="I400" s="60" t="s">
        <v>450</v>
      </c>
      <c r="J400" s="61">
        <v>6</v>
      </c>
    </row>
    <row r="401" spans="1:10">
      <c r="A401" s="62" t="s">
        <v>1537</v>
      </c>
      <c r="B401" s="62" t="s">
        <v>884</v>
      </c>
      <c r="C401" s="62" t="s">
        <v>420</v>
      </c>
      <c r="D401" s="62" t="s">
        <v>420</v>
      </c>
      <c r="E401" s="62" t="s">
        <v>435</v>
      </c>
      <c r="F401" s="62" t="s">
        <v>1057</v>
      </c>
      <c r="G401" s="63">
        <v>7</v>
      </c>
      <c r="H401" s="62" t="s">
        <v>420</v>
      </c>
      <c r="I401" s="64" t="s">
        <v>2278</v>
      </c>
      <c r="J401" s="65">
        <v>3</v>
      </c>
    </row>
    <row r="402" spans="1:10">
      <c r="A402" s="58" t="s">
        <v>1538</v>
      </c>
      <c r="B402" s="58" t="s">
        <v>885</v>
      </c>
      <c r="C402" s="58" t="s">
        <v>420</v>
      </c>
      <c r="D402" s="58" t="s">
        <v>420</v>
      </c>
      <c r="E402" s="58" t="s">
        <v>421</v>
      </c>
      <c r="F402" s="58" t="s">
        <v>1058</v>
      </c>
      <c r="G402" s="59">
        <v>8</v>
      </c>
      <c r="H402" s="58" t="s">
        <v>420</v>
      </c>
      <c r="I402" s="60" t="s">
        <v>450</v>
      </c>
      <c r="J402" s="61">
        <v>4</v>
      </c>
    </row>
    <row r="403" spans="1:10">
      <c r="A403" s="62" t="s">
        <v>1539</v>
      </c>
      <c r="B403" s="62" t="s">
        <v>886</v>
      </c>
      <c r="C403" s="62" t="s">
        <v>420</v>
      </c>
      <c r="D403" s="62" t="s">
        <v>420</v>
      </c>
      <c r="E403" s="62" t="s">
        <v>435</v>
      </c>
      <c r="F403" s="62" t="s">
        <v>1058</v>
      </c>
      <c r="G403" s="63">
        <v>6</v>
      </c>
      <c r="H403" s="62" t="s">
        <v>420</v>
      </c>
      <c r="I403" s="64" t="s">
        <v>2277</v>
      </c>
      <c r="J403" s="65">
        <v>6</v>
      </c>
    </row>
    <row r="404" spans="1:10">
      <c r="A404" s="58" t="s">
        <v>1540</v>
      </c>
      <c r="B404" s="58" t="s">
        <v>887</v>
      </c>
      <c r="C404" s="58" t="s">
        <v>420</v>
      </c>
      <c r="D404" s="58" t="s">
        <v>420</v>
      </c>
      <c r="E404" s="58" t="s">
        <v>431</v>
      </c>
      <c r="F404" s="58" t="s">
        <v>1058</v>
      </c>
      <c r="G404" s="59">
        <v>7</v>
      </c>
      <c r="H404" s="58" t="s">
        <v>420</v>
      </c>
      <c r="I404" s="60" t="s">
        <v>450</v>
      </c>
      <c r="J404" s="61">
        <v>5</v>
      </c>
    </row>
    <row r="405" spans="1:10">
      <c r="A405" s="62" t="s">
        <v>1541</v>
      </c>
      <c r="B405" s="62" t="s">
        <v>888</v>
      </c>
      <c r="C405" s="62" t="s">
        <v>423</v>
      </c>
      <c r="D405" s="62" t="s">
        <v>423</v>
      </c>
      <c r="E405" s="62" t="s">
        <v>435</v>
      </c>
      <c r="F405" s="62" t="s">
        <v>1058</v>
      </c>
      <c r="G405" s="63">
        <v>6</v>
      </c>
      <c r="H405" s="62" t="s">
        <v>420</v>
      </c>
      <c r="I405" s="64" t="s">
        <v>2277</v>
      </c>
      <c r="J405" s="65">
        <v>6</v>
      </c>
    </row>
    <row r="406" spans="1:10">
      <c r="A406" s="58" t="s">
        <v>1542</v>
      </c>
      <c r="B406" s="58" t="s">
        <v>889</v>
      </c>
      <c r="C406" s="58" t="s">
        <v>420</v>
      </c>
      <c r="D406" s="58" t="s">
        <v>420</v>
      </c>
      <c r="E406" s="58" t="s">
        <v>431</v>
      </c>
      <c r="F406" s="58" t="s">
        <v>1058</v>
      </c>
      <c r="G406" s="59">
        <v>6</v>
      </c>
      <c r="H406" s="58" t="s">
        <v>420</v>
      </c>
      <c r="I406" s="60" t="s">
        <v>2277</v>
      </c>
      <c r="J406" s="61">
        <v>5</v>
      </c>
    </row>
    <row r="407" spans="1:10">
      <c r="A407" s="62" t="s">
        <v>1543</v>
      </c>
      <c r="B407" s="62" t="s">
        <v>890</v>
      </c>
      <c r="C407" s="62" t="s">
        <v>420</v>
      </c>
      <c r="D407" s="62" t="s">
        <v>420</v>
      </c>
      <c r="E407" s="62" t="s">
        <v>421</v>
      </c>
      <c r="F407" s="62" t="s">
        <v>1058</v>
      </c>
      <c r="G407" s="63">
        <v>8</v>
      </c>
      <c r="H407" s="62" t="s">
        <v>420</v>
      </c>
      <c r="I407" s="64" t="s">
        <v>450</v>
      </c>
      <c r="J407" s="65">
        <v>4</v>
      </c>
    </row>
    <row r="408" spans="1:10">
      <c r="A408" s="58" t="s">
        <v>1544</v>
      </c>
      <c r="B408" s="58" t="s">
        <v>891</v>
      </c>
      <c r="C408" s="58" t="s">
        <v>420</v>
      </c>
      <c r="D408" s="58" t="s">
        <v>420</v>
      </c>
      <c r="E408" s="58" t="s">
        <v>435</v>
      </c>
      <c r="F408" s="58" t="s">
        <v>1058</v>
      </c>
      <c r="G408" s="59">
        <v>8</v>
      </c>
      <c r="H408" s="58" t="s">
        <v>420</v>
      </c>
      <c r="I408" s="60" t="s">
        <v>2277</v>
      </c>
      <c r="J408" s="61">
        <v>5</v>
      </c>
    </row>
    <row r="409" spans="1:10">
      <c r="A409" s="62" t="s">
        <v>1545</v>
      </c>
      <c r="B409" s="62" t="s">
        <v>892</v>
      </c>
      <c r="C409" s="62" t="s">
        <v>420</v>
      </c>
      <c r="D409" s="62" t="s">
        <v>420</v>
      </c>
      <c r="E409" s="62" t="s">
        <v>434</v>
      </c>
      <c r="F409" s="62" t="s">
        <v>1058</v>
      </c>
      <c r="G409" s="63">
        <v>7</v>
      </c>
      <c r="H409" s="62" t="s">
        <v>2272</v>
      </c>
      <c r="I409" s="64" t="s">
        <v>450</v>
      </c>
      <c r="J409" s="65">
        <v>5</v>
      </c>
    </row>
    <row r="410" spans="1:10">
      <c r="A410" s="58" t="s">
        <v>1546</v>
      </c>
      <c r="B410" s="58" t="s">
        <v>893</v>
      </c>
      <c r="C410" s="58" t="s">
        <v>420</v>
      </c>
      <c r="D410" s="58" t="s">
        <v>420</v>
      </c>
      <c r="E410" s="58" t="s">
        <v>434</v>
      </c>
      <c r="F410" s="58" t="s">
        <v>1058</v>
      </c>
      <c r="G410" s="59">
        <v>6</v>
      </c>
      <c r="H410" s="58" t="s">
        <v>420</v>
      </c>
      <c r="I410" s="60" t="s">
        <v>2277</v>
      </c>
      <c r="J410" s="61">
        <v>4</v>
      </c>
    </row>
    <row r="411" spans="1:10">
      <c r="A411" s="62" t="s">
        <v>1547</v>
      </c>
      <c r="B411" s="62" t="s">
        <v>894</v>
      </c>
      <c r="C411" s="62" t="s">
        <v>420</v>
      </c>
      <c r="D411" s="62" t="s">
        <v>420</v>
      </c>
      <c r="E411" s="62" t="s">
        <v>431</v>
      </c>
      <c r="F411" s="62" t="s">
        <v>1057</v>
      </c>
      <c r="G411" s="63">
        <v>8</v>
      </c>
      <c r="H411" s="62" t="s">
        <v>420</v>
      </c>
      <c r="I411" s="64" t="s">
        <v>450</v>
      </c>
      <c r="J411" s="65">
        <v>4</v>
      </c>
    </row>
    <row r="412" spans="1:10">
      <c r="A412" s="58" t="s">
        <v>1548</v>
      </c>
      <c r="B412" s="58" t="s">
        <v>895</v>
      </c>
      <c r="C412" s="58" t="s">
        <v>420</v>
      </c>
      <c r="D412" s="58" t="s">
        <v>420</v>
      </c>
      <c r="E412" s="58" t="s">
        <v>431</v>
      </c>
      <c r="F412" s="58" t="s">
        <v>1058</v>
      </c>
      <c r="G412" s="59">
        <v>7</v>
      </c>
      <c r="H412" s="58" t="s">
        <v>420</v>
      </c>
      <c r="I412" s="60" t="s">
        <v>450</v>
      </c>
      <c r="J412" s="61">
        <v>4</v>
      </c>
    </row>
    <row r="413" spans="1:10">
      <c r="A413" s="62" t="s">
        <v>1549</v>
      </c>
      <c r="B413" s="62" t="s">
        <v>896</v>
      </c>
      <c r="C413" s="62" t="s">
        <v>423</v>
      </c>
      <c r="D413" s="62" t="s">
        <v>423</v>
      </c>
      <c r="E413" s="62" t="s">
        <v>434</v>
      </c>
      <c r="F413" s="62" t="s">
        <v>1058</v>
      </c>
      <c r="G413" s="63">
        <v>8</v>
      </c>
      <c r="H413" s="62" t="s">
        <v>420</v>
      </c>
      <c r="I413" s="64" t="s">
        <v>450</v>
      </c>
      <c r="J413" s="65">
        <v>7</v>
      </c>
    </row>
    <row r="414" spans="1:10">
      <c r="A414" s="58" t="s">
        <v>1550</v>
      </c>
      <c r="B414" s="58" t="s">
        <v>897</v>
      </c>
      <c r="C414" s="58" t="s">
        <v>423</v>
      </c>
      <c r="D414" s="58" t="s">
        <v>423</v>
      </c>
      <c r="E414" s="58" t="s">
        <v>435</v>
      </c>
      <c r="F414" s="58" t="s">
        <v>1058</v>
      </c>
      <c r="G414" s="59">
        <v>5</v>
      </c>
      <c r="H414" s="58" t="s">
        <v>2275</v>
      </c>
      <c r="I414" s="60" t="s">
        <v>450</v>
      </c>
      <c r="J414" s="61">
        <v>5</v>
      </c>
    </row>
    <row r="415" spans="1:10">
      <c r="A415" s="62" t="s">
        <v>1551</v>
      </c>
      <c r="B415" s="62" t="s">
        <v>898</v>
      </c>
      <c r="C415" s="62" t="s">
        <v>423</v>
      </c>
      <c r="D415" s="62" t="s">
        <v>423</v>
      </c>
      <c r="E415" s="62" t="s">
        <v>434</v>
      </c>
      <c r="F415" s="62" t="s">
        <v>1058</v>
      </c>
      <c r="G415" s="63">
        <v>7</v>
      </c>
      <c r="H415" s="62" t="s">
        <v>420</v>
      </c>
      <c r="I415" s="64" t="s">
        <v>450</v>
      </c>
      <c r="J415" s="65">
        <v>5</v>
      </c>
    </row>
    <row r="416" spans="1:10">
      <c r="A416" s="58" t="s">
        <v>1552</v>
      </c>
      <c r="B416" s="58" t="s">
        <v>899</v>
      </c>
      <c r="C416" s="58" t="s">
        <v>420</v>
      </c>
      <c r="D416" s="58" t="s">
        <v>420</v>
      </c>
      <c r="E416" s="58" t="s">
        <v>434</v>
      </c>
      <c r="F416" s="58" t="s">
        <v>1058</v>
      </c>
      <c r="G416" s="59">
        <v>6</v>
      </c>
      <c r="H416" s="58" t="s">
        <v>420</v>
      </c>
      <c r="I416" s="60" t="s">
        <v>2277</v>
      </c>
      <c r="J416" s="61">
        <v>8</v>
      </c>
    </row>
    <row r="417" spans="1:10">
      <c r="A417" s="62" t="s">
        <v>1553</v>
      </c>
      <c r="B417" s="62" t="s">
        <v>900</v>
      </c>
      <c r="C417" s="62" t="s">
        <v>420</v>
      </c>
      <c r="D417" s="62" t="s">
        <v>420</v>
      </c>
      <c r="E417" s="62" t="s">
        <v>435</v>
      </c>
      <c r="F417" s="62" t="s">
        <v>1058</v>
      </c>
      <c r="G417" s="63">
        <v>6</v>
      </c>
      <c r="H417" s="62" t="s">
        <v>2273</v>
      </c>
      <c r="I417" s="64" t="s">
        <v>2277</v>
      </c>
      <c r="J417" s="65">
        <v>3</v>
      </c>
    </row>
    <row r="418" spans="1:10">
      <c r="A418" s="58" t="s">
        <v>1554</v>
      </c>
      <c r="B418" s="58" t="s">
        <v>901</v>
      </c>
      <c r="C418" s="58" t="s">
        <v>420</v>
      </c>
      <c r="D418" s="58" t="s">
        <v>420</v>
      </c>
      <c r="E418" s="58" t="s">
        <v>426</v>
      </c>
      <c r="F418" s="58" t="s">
        <v>1058</v>
      </c>
      <c r="G418" s="59">
        <v>6.3008333333333297</v>
      </c>
      <c r="H418" s="58" t="s">
        <v>420</v>
      </c>
      <c r="I418" s="60" t="s">
        <v>2277</v>
      </c>
      <c r="J418" s="61">
        <v>4</v>
      </c>
    </row>
    <row r="419" spans="1:10">
      <c r="A419" s="62" t="s">
        <v>1555</v>
      </c>
      <c r="B419" s="62" t="s">
        <v>902</v>
      </c>
      <c r="C419" s="62" t="s">
        <v>420</v>
      </c>
      <c r="D419" s="62" t="s">
        <v>420</v>
      </c>
      <c r="E419" s="62" t="s">
        <v>435</v>
      </c>
      <c r="F419" s="62" t="s">
        <v>1058</v>
      </c>
      <c r="G419" s="63">
        <v>7</v>
      </c>
      <c r="H419" s="62" t="s">
        <v>420</v>
      </c>
      <c r="I419" s="64" t="s">
        <v>450</v>
      </c>
      <c r="J419" s="65">
        <v>7</v>
      </c>
    </row>
    <row r="420" spans="1:10">
      <c r="A420" s="58" t="s">
        <v>1556</v>
      </c>
      <c r="B420" s="58" t="s">
        <v>903</v>
      </c>
      <c r="C420" s="58" t="s">
        <v>420</v>
      </c>
      <c r="D420" s="58" t="s">
        <v>420</v>
      </c>
      <c r="E420" s="58" t="s">
        <v>434</v>
      </c>
      <c r="F420" s="58" t="s">
        <v>1058</v>
      </c>
      <c r="G420" s="59">
        <v>6</v>
      </c>
      <c r="H420" s="58" t="s">
        <v>2274</v>
      </c>
      <c r="I420" s="60" t="s">
        <v>450</v>
      </c>
      <c r="J420" s="61">
        <v>3</v>
      </c>
    </row>
    <row r="421" spans="1:10">
      <c r="A421" s="62" t="s">
        <v>1557</v>
      </c>
      <c r="B421" s="62" t="s">
        <v>904</v>
      </c>
      <c r="C421" s="62" t="s">
        <v>420</v>
      </c>
      <c r="D421" s="62" t="s">
        <v>420</v>
      </c>
      <c r="E421" s="62" t="s">
        <v>435</v>
      </c>
      <c r="F421" s="62" t="s">
        <v>1058</v>
      </c>
      <c r="G421" s="63">
        <v>6</v>
      </c>
      <c r="H421" s="62" t="s">
        <v>420</v>
      </c>
      <c r="I421" s="64" t="s">
        <v>450</v>
      </c>
      <c r="J421" s="65">
        <v>6</v>
      </c>
    </row>
    <row r="422" spans="1:10">
      <c r="A422" s="58" t="s">
        <v>1558</v>
      </c>
      <c r="B422" s="58" t="s">
        <v>905</v>
      </c>
      <c r="C422" s="58" t="s">
        <v>420</v>
      </c>
      <c r="D422" s="58" t="s">
        <v>420</v>
      </c>
      <c r="E422" s="58" t="s">
        <v>435</v>
      </c>
      <c r="F422" s="58" t="s">
        <v>1058</v>
      </c>
      <c r="G422" s="59">
        <v>8</v>
      </c>
      <c r="H422" s="58" t="s">
        <v>420</v>
      </c>
      <c r="I422" s="60" t="s">
        <v>2277</v>
      </c>
      <c r="J422" s="61">
        <v>5</v>
      </c>
    </row>
    <row r="423" spans="1:10">
      <c r="A423" s="62" t="s">
        <v>1559</v>
      </c>
      <c r="B423" s="62" t="s">
        <v>906</v>
      </c>
      <c r="C423" s="62" t="s">
        <v>420</v>
      </c>
      <c r="D423" s="62" t="s">
        <v>420</v>
      </c>
      <c r="E423" s="62" t="s">
        <v>435</v>
      </c>
      <c r="F423" s="62" t="s">
        <v>1058</v>
      </c>
      <c r="G423" s="63">
        <v>6</v>
      </c>
      <c r="H423" s="62" t="s">
        <v>420</v>
      </c>
      <c r="I423" s="64" t="s">
        <v>450</v>
      </c>
      <c r="J423" s="65">
        <v>6</v>
      </c>
    </row>
    <row r="424" spans="1:10">
      <c r="A424" s="58" t="s">
        <v>1560</v>
      </c>
      <c r="B424" s="58" t="s">
        <v>907</v>
      </c>
      <c r="C424" s="58" t="s">
        <v>420</v>
      </c>
      <c r="D424" s="58" t="s">
        <v>420</v>
      </c>
      <c r="E424" s="58" t="s">
        <v>435</v>
      </c>
      <c r="F424" s="58" t="s">
        <v>1058</v>
      </c>
      <c r="G424" s="59">
        <v>8</v>
      </c>
      <c r="H424" s="58" t="s">
        <v>420</v>
      </c>
      <c r="I424" s="60" t="s">
        <v>450</v>
      </c>
      <c r="J424" s="61">
        <v>6</v>
      </c>
    </row>
    <row r="425" spans="1:10">
      <c r="A425" s="62" t="s">
        <v>1561</v>
      </c>
      <c r="B425" s="62" t="s">
        <v>908</v>
      </c>
      <c r="C425" s="62" t="s">
        <v>420</v>
      </c>
      <c r="D425" s="62" t="s">
        <v>420</v>
      </c>
      <c r="E425" s="62" t="s">
        <v>435</v>
      </c>
      <c r="F425" s="62" t="s">
        <v>1057</v>
      </c>
      <c r="G425" s="63">
        <v>7</v>
      </c>
      <c r="H425" s="62" t="s">
        <v>420</v>
      </c>
      <c r="I425" s="64" t="s">
        <v>2278</v>
      </c>
      <c r="J425" s="65">
        <v>3</v>
      </c>
    </row>
    <row r="426" spans="1:10">
      <c r="A426" s="58" t="s">
        <v>1562</v>
      </c>
      <c r="B426" s="58" t="s">
        <v>909</v>
      </c>
      <c r="C426" s="58" t="s">
        <v>420</v>
      </c>
      <c r="D426" s="58" t="s">
        <v>420</v>
      </c>
      <c r="E426" s="58" t="s">
        <v>421</v>
      </c>
      <c r="F426" s="58" t="s">
        <v>1058</v>
      </c>
      <c r="G426" s="59">
        <v>8</v>
      </c>
      <c r="H426" s="58" t="s">
        <v>420</v>
      </c>
      <c r="I426" s="60" t="s">
        <v>450</v>
      </c>
      <c r="J426" s="61">
        <v>4</v>
      </c>
    </row>
    <row r="427" spans="1:10">
      <c r="A427" s="62" t="s">
        <v>1563</v>
      </c>
      <c r="B427" s="62" t="s">
        <v>910</v>
      </c>
      <c r="C427" s="62" t="s">
        <v>420</v>
      </c>
      <c r="D427" s="62" t="s">
        <v>420</v>
      </c>
      <c r="E427" s="62" t="s">
        <v>435</v>
      </c>
      <c r="F427" s="62" t="s">
        <v>1058</v>
      </c>
      <c r="G427" s="63">
        <v>6</v>
      </c>
      <c r="H427" s="62" t="s">
        <v>420</v>
      </c>
      <c r="I427" s="64" t="s">
        <v>2277</v>
      </c>
      <c r="J427" s="65">
        <v>6</v>
      </c>
    </row>
    <row r="428" spans="1:10">
      <c r="A428" s="58" t="s">
        <v>1564</v>
      </c>
      <c r="B428" s="58" t="s">
        <v>911</v>
      </c>
      <c r="C428" s="58" t="s">
        <v>420</v>
      </c>
      <c r="D428" s="58" t="s">
        <v>420</v>
      </c>
      <c r="E428" s="58" t="s">
        <v>431</v>
      </c>
      <c r="F428" s="58" t="s">
        <v>1058</v>
      </c>
      <c r="G428" s="59">
        <v>7</v>
      </c>
      <c r="H428" s="58" t="s">
        <v>420</v>
      </c>
      <c r="I428" s="60" t="s">
        <v>450</v>
      </c>
      <c r="J428" s="61">
        <v>5</v>
      </c>
    </row>
    <row r="429" spans="1:10">
      <c r="A429" s="62" t="s">
        <v>1565</v>
      </c>
      <c r="B429" s="62" t="s">
        <v>912</v>
      </c>
      <c r="C429" s="62" t="s">
        <v>423</v>
      </c>
      <c r="D429" s="62" t="s">
        <v>423</v>
      </c>
      <c r="E429" s="62" t="s">
        <v>435</v>
      </c>
      <c r="F429" s="62" t="s">
        <v>1058</v>
      </c>
      <c r="G429" s="63">
        <v>6</v>
      </c>
      <c r="H429" s="62" t="s">
        <v>420</v>
      </c>
      <c r="I429" s="64" t="s">
        <v>2277</v>
      </c>
      <c r="J429" s="65">
        <v>6</v>
      </c>
    </row>
    <row r="430" spans="1:10">
      <c r="A430" s="58" t="s">
        <v>1566</v>
      </c>
      <c r="B430" s="58" t="s">
        <v>913</v>
      </c>
      <c r="C430" s="58" t="s">
        <v>420</v>
      </c>
      <c r="D430" s="58" t="s">
        <v>420</v>
      </c>
      <c r="E430" s="58" t="s">
        <v>431</v>
      </c>
      <c r="F430" s="58" t="s">
        <v>1058</v>
      </c>
      <c r="G430" s="59">
        <v>6</v>
      </c>
      <c r="H430" s="58" t="s">
        <v>420</v>
      </c>
      <c r="I430" s="60" t="s">
        <v>2277</v>
      </c>
      <c r="J430" s="61">
        <v>5</v>
      </c>
    </row>
    <row r="431" spans="1:10">
      <c r="A431" s="62" t="s">
        <v>1567</v>
      </c>
      <c r="B431" s="62" t="s">
        <v>914</v>
      </c>
      <c r="C431" s="62" t="s">
        <v>420</v>
      </c>
      <c r="D431" s="62" t="s">
        <v>420</v>
      </c>
      <c r="E431" s="62" t="s">
        <v>421</v>
      </c>
      <c r="F431" s="62" t="s">
        <v>1058</v>
      </c>
      <c r="G431" s="63">
        <v>8</v>
      </c>
      <c r="H431" s="62" t="s">
        <v>420</v>
      </c>
      <c r="I431" s="64" t="s">
        <v>450</v>
      </c>
      <c r="J431" s="65">
        <v>4</v>
      </c>
    </row>
    <row r="432" spans="1:10">
      <c r="A432" s="58" t="s">
        <v>1568</v>
      </c>
      <c r="B432" s="58" t="s">
        <v>915</v>
      </c>
      <c r="C432" s="58" t="s">
        <v>420</v>
      </c>
      <c r="D432" s="58" t="s">
        <v>420</v>
      </c>
      <c r="E432" s="58" t="s">
        <v>435</v>
      </c>
      <c r="F432" s="58" t="s">
        <v>1058</v>
      </c>
      <c r="G432" s="59">
        <v>8</v>
      </c>
      <c r="H432" s="58" t="s">
        <v>420</v>
      </c>
      <c r="I432" s="60" t="s">
        <v>2277</v>
      </c>
      <c r="J432" s="61">
        <v>5</v>
      </c>
    </row>
    <row r="433" spans="1:10">
      <c r="A433" s="62" t="s">
        <v>1569</v>
      </c>
      <c r="B433" s="62" t="s">
        <v>916</v>
      </c>
      <c r="C433" s="62" t="s">
        <v>420</v>
      </c>
      <c r="D433" s="62" t="s">
        <v>420</v>
      </c>
      <c r="E433" s="62" t="s">
        <v>434</v>
      </c>
      <c r="F433" s="62" t="s">
        <v>1058</v>
      </c>
      <c r="G433" s="63">
        <v>7</v>
      </c>
      <c r="H433" s="62" t="s">
        <v>2272</v>
      </c>
      <c r="I433" s="64" t="s">
        <v>450</v>
      </c>
      <c r="J433" s="65">
        <v>5</v>
      </c>
    </row>
    <row r="434" spans="1:10">
      <c r="A434" s="58" t="s">
        <v>1570</v>
      </c>
      <c r="B434" s="58" t="s">
        <v>917</v>
      </c>
      <c r="C434" s="58" t="s">
        <v>420</v>
      </c>
      <c r="D434" s="58" t="s">
        <v>420</v>
      </c>
      <c r="E434" s="58" t="s">
        <v>434</v>
      </c>
      <c r="F434" s="58" t="s">
        <v>1058</v>
      </c>
      <c r="G434" s="59">
        <v>6</v>
      </c>
      <c r="H434" s="58" t="s">
        <v>420</v>
      </c>
      <c r="I434" s="60" t="s">
        <v>2277</v>
      </c>
      <c r="J434" s="61">
        <v>4</v>
      </c>
    </row>
    <row r="435" spans="1:10">
      <c r="A435" s="62" t="s">
        <v>1571</v>
      </c>
      <c r="B435" s="62" t="s">
        <v>918</v>
      </c>
      <c r="C435" s="62" t="s">
        <v>420</v>
      </c>
      <c r="D435" s="62" t="s">
        <v>420</v>
      </c>
      <c r="E435" s="62" t="s">
        <v>431</v>
      </c>
      <c r="F435" s="62" t="s">
        <v>1057</v>
      </c>
      <c r="G435" s="63">
        <v>8</v>
      </c>
      <c r="H435" s="62" t="s">
        <v>420</v>
      </c>
      <c r="I435" s="64" t="s">
        <v>450</v>
      </c>
      <c r="J435" s="65">
        <v>4</v>
      </c>
    </row>
    <row r="436" spans="1:10">
      <c r="A436" s="58" t="s">
        <v>1572</v>
      </c>
      <c r="B436" s="58" t="s">
        <v>919</v>
      </c>
      <c r="C436" s="58" t="s">
        <v>420</v>
      </c>
      <c r="D436" s="58" t="s">
        <v>420</v>
      </c>
      <c r="E436" s="58" t="s">
        <v>431</v>
      </c>
      <c r="F436" s="58" t="s">
        <v>1058</v>
      </c>
      <c r="G436" s="59">
        <v>7</v>
      </c>
      <c r="H436" s="58" t="s">
        <v>420</v>
      </c>
      <c r="I436" s="60" t="s">
        <v>450</v>
      </c>
      <c r="J436" s="61">
        <v>4</v>
      </c>
    </row>
    <row r="437" spans="1:10">
      <c r="A437" s="62" t="s">
        <v>1573</v>
      </c>
      <c r="B437" s="62" t="s">
        <v>920</v>
      </c>
      <c r="C437" s="62" t="s">
        <v>423</v>
      </c>
      <c r="D437" s="62" t="s">
        <v>423</v>
      </c>
      <c r="E437" s="62" t="s">
        <v>434</v>
      </c>
      <c r="F437" s="62" t="s">
        <v>1058</v>
      </c>
      <c r="G437" s="63">
        <v>8</v>
      </c>
      <c r="H437" s="62" t="s">
        <v>420</v>
      </c>
      <c r="I437" s="64" t="s">
        <v>450</v>
      </c>
      <c r="J437" s="65">
        <v>7</v>
      </c>
    </row>
    <row r="438" spans="1:10">
      <c r="A438" s="58" t="s">
        <v>1574</v>
      </c>
      <c r="B438" s="58" t="s">
        <v>921</v>
      </c>
      <c r="C438" s="58" t="s">
        <v>423</v>
      </c>
      <c r="D438" s="58" t="s">
        <v>423</v>
      </c>
      <c r="E438" s="58" t="s">
        <v>435</v>
      </c>
      <c r="F438" s="58" t="s">
        <v>1058</v>
      </c>
      <c r="G438" s="59">
        <v>5</v>
      </c>
      <c r="H438" s="58" t="s">
        <v>2275</v>
      </c>
      <c r="I438" s="60" t="s">
        <v>450</v>
      </c>
      <c r="J438" s="61">
        <v>5</v>
      </c>
    </row>
    <row r="439" spans="1:10">
      <c r="A439" s="62" t="s">
        <v>1575</v>
      </c>
      <c r="B439" s="62" t="s">
        <v>922</v>
      </c>
      <c r="C439" s="62" t="s">
        <v>423</v>
      </c>
      <c r="D439" s="62" t="s">
        <v>423</v>
      </c>
      <c r="E439" s="62" t="s">
        <v>434</v>
      </c>
      <c r="F439" s="62" t="s">
        <v>1058</v>
      </c>
      <c r="G439" s="63">
        <v>7</v>
      </c>
      <c r="H439" s="62" t="s">
        <v>420</v>
      </c>
      <c r="I439" s="64" t="s">
        <v>450</v>
      </c>
      <c r="J439" s="65">
        <v>5</v>
      </c>
    </row>
    <row r="440" spans="1:10">
      <c r="A440" s="58" t="s">
        <v>1576</v>
      </c>
      <c r="B440" s="58" t="s">
        <v>923</v>
      </c>
      <c r="C440" s="58" t="s">
        <v>420</v>
      </c>
      <c r="D440" s="58" t="s">
        <v>420</v>
      </c>
      <c r="E440" s="58" t="s">
        <v>434</v>
      </c>
      <c r="F440" s="58" t="s">
        <v>1058</v>
      </c>
      <c r="G440" s="59">
        <v>6</v>
      </c>
      <c r="H440" s="58" t="s">
        <v>420</v>
      </c>
      <c r="I440" s="60" t="s">
        <v>2277</v>
      </c>
      <c r="J440" s="61">
        <v>8</v>
      </c>
    </row>
    <row r="441" spans="1:10">
      <c r="A441" s="62" t="s">
        <v>1577</v>
      </c>
      <c r="B441" s="62" t="s">
        <v>924</v>
      </c>
      <c r="C441" s="62" t="s">
        <v>420</v>
      </c>
      <c r="D441" s="62" t="s">
        <v>420</v>
      </c>
      <c r="E441" s="62" t="s">
        <v>435</v>
      </c>
      <c r="F441" s="62" t="s">
        <v>1058</v>
      </c>
      <c r="G441" s="63">
        <v>6</v>
      </c>
      <c r="H441" s="62" t="s">
        <v>2273</v>
      </c>
      <c r="I441" s="64" t="s">
        <v>2277</v>
      </c>
      <c r="J441" s="65">
        <v>3</v>
      </c>
    </row>
    <row r="442" spans="1:10">
      <c r="A442" s="58" t="s">
        <v>1578</v>
      </c>
      <c r="B442" s="58" t="s">
        <v>925</v>
      </c>
      <c r="C442" s="58" t="s">
        <v>420</v>
      </c>
      <c r="D442" s="58" t="s">
        <v>420</v>
      </c>
      <c r="E442" s="58" t="s">
        <v>426</v>
      </c>
      <c r="F442" s="58" t="s">
        <v>1058</v>
      </c>
      <c r="G442" s="59">
        <v>6.3008333333333297</v>
      </c>
      <c r="H442" s="58" t="s">
        <v>420</v>
      </c>
      <c r="I442" s="60" t="s">
        <v>2277</v>
      </c>
      <c r="J442" s="61">
        <v>4</v>
      </c>
    </row>
    <row r="443" spans="1:10">
      <c r="A443" s="62" t="s">
        <v>1579</v>
      </c>
      <c r="B443" s="62" t="s">
        <v>926</v>
      </c>
      <c r="C443" s="62" t="s">
        <v>420</v>
      </c>
      <c r="D443" s="62" t="s">
        <v>420</v>
      </c>
      <c r="E443" s="62" t="s">
        <v>435</v>
      </c>
      <c r="F443" s="62" t="s">
        <v>1058</v>
      </c>
      <c r="G443" s="63">
        <v>7</v>
      </c>
      <c r="H443" s="62" t="s">
        <v>420</v>
      </c>
      <c r="I443" s="64" t="s">
        <v>450</v>
      </c>
      <c r="J443" s="65">
        <v>7</v>
      </c>
    </row>
    <row r="444" spans="1:10">
      <c r="A444" s="58" t="s">
        <v>1580</v>
      </c>
      <c r="B444" s="58" t="s">
        <v>927</v>
      </c>
      <c r="C444" s="58" t="s">
        <v>420</v>
      </c>
      <c r="D444" s="58" t="s">
        <v>420</v>
      </c>
      <c r="E444" s="58" t="s">
        <v>434</v>
      </c>
      <c r="F444" s="58" t="s">
        <v>1058</v>
      </c>
      <c r="G444" s="59">
        <v>6</v>
      </c>
      <c r="H444" s="58" t="s">
        <v>2274</v>
      </c>
      <c r="I444" s="60" t="s">
        <v>450</v>
      </c>
      <c r="J444" s="61">
        <v>3</v>
      </c>
    </row>
    <row r="445" spans="1:10">
      <c r="A445" s="62" t="s">
        <v>1581</v>
      </c>
      <c r="B445" s="62" t="s">
        <v>928</v>
      </c>
      <c r="C445" s="62" t="s">
        <v>420</v>
      </c>
      <c r="D445" s="62" t="s">
        <v>420</v>
      </c>
      <c r="E445" s="62" t="s">
        <v>435</v>
      </c>
      <c r="F445" s="62" t="s">
        <v>1058</v>
      </c>
      <c r="G445" s="63">
        <v>6</v>
      </c>
      <c r="H445" s="62" t="s">
        <v>420</v>
      </c>
      <c r="I445" s="64" t="s">
        <v>450</v>
      </c>
      <c r="J445" s="65">
        <v>6</v>
      </c>
    </row>
    <row r="446" spans="1:10">
      <c r="A446" s="58" t="s">
        <v>1582</v>
      </c>
      <c r="B446" s="58" t="s">
        <v>929</v>
      </c>
      <c r="C446" s="58" t="s">
        <v>420</v>
      </c>
      <c r="D446" s="58" t="s">
        <v>420</v>
      </c>
      <c r="E446" s="58" t="s">
        <v>435</v>
      </c>
      <c r="F446" s="58" t="s">
        <v>1058</v>
      </c>
      <c r="G446" s="59">
        <v>8</v>
      </c>
      <c r="H446" s="58" t="s">
        <v>420</v>
      </c>
      <c r="I446" s="60" t="s">
        <v>2277</v>
      </c>
      <c r="J446" s="61">
        <v>5</v>
      </c>
    </row>
    <row r="447" spans="1:10">
      <c r="A447" s="62" t="s">
        <v>1583</v>
      </c>
      <c r="B447" s="62" t="s">
        <v>930</v>
      </c>
      <c r="C447" s="62" t="s">
        <v>420</v>
      </c>
      <c r="D447" s="62" t="s">
        <v>420</v>
      </c>
      <c r="E447" s="62" t="s">
        <v>435</v>
      </c>
      <c r="F447" s="62" t="s">
        <v>1058</v>
      </c>
      <c r="G447" s="63">
        <v>6</v>
      </c>
      <c r="H447" s="62" t="s">
        <v>420</v>
      </c>
      <c r="I447" s="64" t="s">
        <v>450</v>
      </c>
      <c r="J447" s="65">
        <v>6</v>
      </c>
    </row>
    <row r="448" spans="1:10">
      <c r="A448" s="58" t="s">
        <v>1584</v>
      </c>
      <c r="B448" s="58" t="s">
        <v>931</v>
      </c>
      <c r="C448" s="58" t="s">
        <v>420</v>
      </c>
      <c r="D448" s="58" t="s">
        <v>420</v>
      </c>
      <c r="E448" s="58" t="s">
        <v>435</v>
      </c>
      <c r="F448" s="58" t="s">
        <v>1058</v>
      </c>
      <c r="G448" s="59">
        <v>8</v>
      </c>
      <c r="H448" s="58" t="s">
        <v>420</v>
      </c>
      <c r="I448" s="60" t="s">
        <v>450</v>
      </c>
      <c r="J448" s="61">
        <v>6</v>
      </c>
    </row>
    <row r="449" spans="1:10">
      <c r="A449" s="62" t="s">
        <v>1585</v>
      </c>
      <c r="B449" s="62" t="s">
        <v>932</v>
      </c>
      <c r="C449" s="62" t="s">
        <v>420</v>
      </c>
      <c r="D449" s="62" t="s">
        <v>420</v>
      </c>
      <c r="E449" s="62" t="s">
        <v>435</v>
      </c>
      <c r="F449" s="62" t="s">
        <v>1057</v>
      </c>
      <c r="G449" s="63">
        <v>7</v>
      </c>
      <c r="H449" s="62" t="s">
        <v>420</v>
      </c>
      <c r="I449" s="64" t="s">
        <v>2278</v>
      </c>
      <c r="J449" s="65">
        <v>3</v>
      </c>
    </row>
    <row r="450" spans="1:10">
      <c r="A450" s="58" t="s">
        <v>1586</v>
      </c>
      <c r="B450" s="58" t="s">
        <v>933</v>
      </c>
      <c r="C450" s="58" t="s">
        <v>420</v>
      </c>
      <c r="D450" s="58" t="s">
        <v>420</v>
      </c>
      <c r="E450" s="58" t="s">
        <v>421</v>
      </c>
      <c r="F450" s="58" t="s">
        <v>1058</v>
      </c>
      <c r="G450" s="59">
        <v>8</v>
      </c>
      <c r="H450" s="58" t="s">
        <v>420</v>
      </c>
      <c r="I450" s="60" t="s">
        <v>450</v>
      </c>
      <c r="J450" s="61">
        <v>4</v>
      </c>
    </row>
    <row r="451" spans="1:10">
      <c r="A451" s="62" t="s">
        <v>1587</v>
      </c>
      <c r="B451" s="62" t="s">
        <v>934</v>
      </c>
      <c r="C451" s="62" t="s">
        <v>420</v>
      </c>
      <c r="D451" s="62" t="s">
        <v>420</v>
      </c>
      <c r="E451" s="62" t="s">
        <v>435</v>
      </c>
      <c r="F451" s="62" t="s">
        <v>1058</v>
      </c>
      <c r="G451" s="63">
        <v>6</v>
      </c>
      <c r="H451" s="62" t="s">
        <v>420</v>
      </c>
      <c r="I451" s="64" t="s">
        <v>2277</v>
      </c>
      <c r="J451" s="65">
        <v>6</v>
      </c>
    </row>
    <row r="452" spans="1:10">
      <c r="A452" s="58" t="s">
        <v>1588</v>
      </c>
      <c r="B452" s="58" t="s">
        <v>935</v>
      </c>
      <c r="C452" s="58" t="s">
        <v>420</v>
      </c>
      <c r="D452" s="58" t="s">
        <v>420</v>
      </c>
      <c r="E452" s="58" t="s">
        <v>431</v>
      </c>
      <c r="F452" s="58" t="s">
        <v>1058</v>
      </c>
      <c r="G452" s="59">
        <v>7</v>
      </c>
      <c r="H452" s="58" t="s">
        <v>420</v>
      </c>
      <c r="I452" s="60" t="s">
        <v>450</v>
      </c>
      <c r="J452" s="61">
        <v>5</v>
      </c>
    </row>
    <row r="453" spans="1:10">
      <c r="A453" s="62" t="s">
        <v>1589</v>
      </c>
      <c r="B453" s="62" t="s">
        <v>936</v>
      </c>
      <c r="C453" s="62" t="s">
        <v>423</v>
      </c>
      <c r="D453" s="62" t="s">
        <v>423</v>
      </c>
      <c r="E453" s="62" t="s">
        <v>435</v>
      </c>
      <c r="F453" s="62" t="s">
        <v>1058</v>
      </c>
      <c r="G453" s="63">
        <v>6</v>
      </c>
      <c r="H453" s="62" t="s">
        <v>420</v>
      </c>
      <c r="I453" s="64" t="s">
        <v>2277</v>
      </c>
      <c r="J453" s="65">
        <v>6</v>
      </c>
    </row>
    <row r="454" spans="1:10">
      <c r="A454" s="58" t="s">
        <v>1590</v>
      </c>
      <c r="B454" s="58" t="s">
        <v>937</v>
      </c>
      <c r="C454" s="58" t="s">
        <v>420</v>
      </c>
      <c r="D454" s="58" t="s">
        <v>420</v>
      </c>
      <c r="E454" s="58" t="s">
        <v>431</v>
      </c>
      <c r="F454" s="58" t="s">
        <v>1058</v>
      </c>
      <c r="G454" s="59">
        <v>6</v>
      </c>
      <c r="H454" s="58" t="s">
        <v>420</v>
      </c>
      <c r="I454" s="60" t="s">
        <v>2277</v>
      </c>
      <c r="J454" s="61">
        <v>5</v>
      </c>
    </row>
    <row r="455" spans="1:10">
      <c r="A455" s="62" t="s">
        <v>1591</v>
      </c>
      <c r="B455" s="62" t="s">
        <v>938</v>
      </c>
      <c r="C455" s="62" t="s">
        <v>420</v>
      </c>
      <c r="D455" s="62" t="s">
        <v>420</v>
      </c>
      <c r="E455" s="62" t="s">
        <v>421</v>
      </c>
      <c r="F455" s="62" t="s">
        <v>1058</v>
      </c>
      <c r="G455" s="63">
        <v>8</v>
      </c>
      <c r="H455" s="62" t="s">
        <v>420</v>
      </c>
      <c r="I455" s="64" t="s">
        <v>450</v>
      </c>
      <c r="J455" s="65">
        <v>4</v>
      </c>
    </row>
    <row r="456" spans="1:10">
      <c r="A456" s="58" t="s">
        <v>1592</v>
      </c>
      <c r="B456" s="58" t="s">
        <v>939</v>
      </c>
      <c r="C456" s="58" t="s">
        <v>420</v>
      </c>
      <c r="D456" s="58" t="s">
        <v>420</v>
      </c>
      <c r="E456" s="58" t="s">
        <v>435</v>
      </c>
      <c r="F456" s="58" t="s">
        <v>1058</v>
      </c>
      <c r="G456" s="59">
        <v>8</v>
      </c>
      <c r="H456" s="58" t="s">
        <v>420</v>
      </c>
      <c r="I456" s="60" t="s">
        <v>2277</v>
      </c>
      <c r="J456" s="61">
        <v>5</v>
      </c>
    </row>
    <row r="457" spans="1:10">
      <c r="A457" s="62" t="s">
        <v>1593</v>
      </c>
      <c r="B457" s="62" t="s">
        <v>940</v>
      </c>
      <c r="C457" s="62" t="s">
        <v>420</v>
      </c>
      <c r="D457" s="62" t="s">
        <v>420</v>
      </c>
      <c r="E457" s="62" t="s">
        <v>434</v>
      </c>
      <c r="F457" s="62" t="s">
        <v>1058</v>
      </c>
      <c r="G457" s="63">
        <v>7</v>
      </c>
      <c r="H457" s="62" t="s">
        <v>2272</v>
      </c>
      <c r="I457" s="64" t="s">
        <v>450</v>
      </c>
      <c r="J457" s="65">
        <v>5</v>
      </c>
    </row>
    <row r="458" spans="1:10">
      <c r="A458" s="58" t="s">
        <v>1594</v>
      </c>
      <c r="B458" s="58" t="s">
        <v>941</v>
      </c>
      <c r="C458" s="58" t="s">
        <v>420</v>
      </c>
      <c r="D458" s="58" t="s">
        <v>420</v>
      </c>
      <c r="E458" s="58" t="s">
        <v>434</v>
      </c>
      <c r="F458" s="58" t="s">
        <v>1058</v>
      </c>
      <c r="G458" s="59">
        <v>6</v>
      </c>
      <c r="H458" s="58" t="s">
        <v>420</v>
      </c>
      <c r="I458" s="60" t="s">
        <v>2277</v>
      </c>
      <c r="J458" s="61">
        <v>4</v>
      </c>
    </row>
    <row r="459" spans="1:10">
      <c r="A459" s="62" t="s">
        <v>1595</v>
      </c>
      <c r="B459" s="62" t="s">
        <v>942</v>
      </c>
      <c r="C459" s="62" t="s">
        <v>420</v>
      </c>
      <c r="D459" s="62" t="s">
        <v>420</v>
      </c>
      <c r="E459" s="62" t="s">
        <v>431</v>
      </c>
      <c r="F459" s="62" t="s">
        <v>1057</v>
      </c>
      <c r="G459" s="63">
        <v>8</v>
      </c>
      <c r="H459" s="62" t="s">
        <v>420</v>
      </c>
      <c r="I459" s="64" t="s">
        <v>450</v>
      </c>
      <c r="J459" s="65">
        <v>4</v>
      </c>
    </row>
    <row r="460" spans="1:10">
      <c r="A460" s="58" t="s">
        <v>1596</v>
      </c>
      <c r="B460" s="58" t="s">
        <v>943</v>
      </c>
      <c r="C460" s="58" t="s">
        <v>420</v>
      </c>
      <c r="D460" s="58" t="s">
        <v>420</v>
      </c>
      <c r="E460" s="58" t="s">
        <v>431</v>
      </c>
      <c r="F460" s="58" t="s">
        <v>1058</v>
      </c>
      <c r="G460" s="59">
        <v>7</v>
      </c>
      <c r="H460" s="58" t="s">
        <v>420</v>
      </c>
      <c r="I460" s="60" t="s">
        <v>450</v>
      </c>
      <c r="J460" s="61">
        <v>4</v>
      </c>
    </row>
    <row r="461" spans="1:10">
      <c r="A461" s="62" t="s">
        <v>1597</v>
      </c>
      <c r="B461" s="62" t="s">
        <v>944</v>
      </c>
      <c r="C461" s="62" t="s">
        <v>423</v>
      </c>
      <c r="D461" s="62" t="s">
        <v>423</v>
      </c>
      <c r="E461" s="62" t="s">
        <v>434</v>
      </c>
      <c r="F461" s="62" t="s">
        <v>1058</v>
      </c>
      <c r="G461" s="63">
        <v>8</v>
      </c>
      <c r="H461" s="62" t="s">
        <v>420</v>
      </c>
      <c r="I461" s="64" t="s">
        <v>450</v>
      </c>
      <c r="J461" s="65">
        <v>7</v>
      </c>
    </row>
    <row r="462" spans="1:10">
      <c r="A462" s="58" t="s">
        <v>1598</v>
      </c>
      <c r="B462" s="58" t="s">
        <v>945</v>
      </c>
      <c r="C462" s="58" t="s">
        <v>423</v>
      </c>
      <c r="D462" s="58" t="s">
        <v>423</v>
      </c>
      <c r="E462" s="58" t="s">
        <v>435</v>
      </c>
      <c r="F462" s="58" t="s">
        <v>1058</v>
      </c>
      <c r="G462" s="59">
        <v>5</v>
      </c>
      <c r="H462" s="58" t="s">
        <v>2275</v>
      </c>
      <c r="I462" s="60" t="s">
        <v>450</v>
      </c>
      <c r="J462" s="61">
        <v>5</v>
      </c>
    </row>
    <row r="463" spans="1:10">
      <c r="A463" s="62" t="s">
        <v>1599</v>
      </c>
      <c r="B463" s="62" t="s">
        <v>946</v>
      </c>
      <c r="C463" s="62" t="s">
        <v>423</v>
      </c>
      <c r="D463" s="62" t="s">
        <v>423</v>
      </c>
      <c r="E463" s="62" t="s">
        <v>434</v>
      </c>
      <c r="F463" s="62" t="s">
        <v>1058</v>
      </c>
      <c r="G463" s="63">
        <v>7</v>
      </c>
      <c r="H463" s="62" t="s">
        <v>420</v>
      </c>
      <c r="I463" s="64" t="s">
        <v>450</v>
      </c>
      <c r="J463" s="65">
        <v>5</v>
      </c>
    </row>
    <row r="464" spans="1:10">
      <c r="A464" s="58" t="s">
        <v>1600</v>
      </c>
      <c r="B464" s="58" t="s">
        <v>947</v>
      </c>
      <c r="C464" s="58" t="s">
        <v>420</v>
      </c>
      <c r="D464" s="58" t="s">
        <v>420</v>
      </c>
      <c r="E464" s="58" t="s">
        <v>435</v>
      </c>
      <c r="F464" s="58" t="s">
        <v>1058</v>
      </c>
      <c r="G464" s="59">
        <v>6</v>
      </c>
      <c r="H464" s="58" t="s">
        <v>2273</v>
      </c>
      <c r="I464" s="60" t="s">
        <v>2277</v>
      </c>
      <c r="J464" s="61">
        <v>3</v>
      </c>
    </row>
    <row r="465" spans="1:10">
      <c r="A465" s="62" t="s">
        <v>1601</v>
      </c>
      <c r="B465" s="62" t="s">
        <v>948</v>
      </c>
      <c r="C465" s="62" t="s">
        <v>420</v>
      </c>
      <c r="D465" s="62" t="s">
        <v>420</v>
      </c>
      <c r="E465" s="62" t="s">
        <v>426</v>
      </c>
      <c r="F465" s="62" t="s">
        <v>1058</v>
      </c>
      <c r="G465" s="63">
        <v>6.3008333333333297</v>
      </c>
      <c r="H465" s="62" t="s">
        <v>420</v>
      </c>
      <c r="I465" s="64" t="s">
        <v>2277</v>
      </c>
      <c r="J465" s="65">
        <v>4</v>
      </c>
    </row>
    <row r="466" spans="1:10">
      <c r="A466" s="58" t="s">
        <v>1602</v>
      </c>
      <c r="B466" s="58" t="s">
        <v>949</v>
      </c>
      <c r="C466" s="58" t="s">
        <v>420</v>
      </c>
      <c r="D466" s="58" t="s">
        <v>420</v>
      </c>
      <c r="E466" s="58" t="s">
        <v>435</v>
      </c>
      <c r="F466" s="58" t="s">
        <v>1058</v>
      </c>
      <c r="G466" s="59">
        <v>7</v>
      </c>
      <c r="H466" s="58" t="s">
        <v>420</v>
      </c>
      <c r="I466" s="60" t="s">
        <v>450</v>
      </c>
      <c r="J466" s="61">
        <v>7</v>
      </c>
    </row>
    <row r="467" spans="1:10">
      <c r="A467" s="62" t="s">
        <v>1603</v>
      </c>
      <c r="B467" s="62" t="s">
        <v>950</v>
      </c>
      <c r="C467" s="62" t="s">
        <v>420</v>
      </c>
      <c r="D467" s="62" t="s">
        <v>420</v>
      </c>
      <c r="E467" s="62" t="s">
        <v>434</v>
      </c>
      <c r="F467" s="62" t="s">
        <v>1058</v>
      </c>
      <c r="G467" s="63">
        <v>6</v>
      </c>
      <c r="H467" s="62" t="s">
        <v>2274</v>
      </c>
      <c r="I467" s="64" t="s">
        <v>450</v>
      </c>
      <c r="J467" s="65">
        <v>3</v>
      </c>
    </row>
    <row r="468" spans="1:10">
      <c r="A468" s="58" t="s">
        <v>1604</v>
      </c>
      <c r="B468" s="58" t="s">
        <v>951</v>
      </c>
      <c r="C468" s="58" t="s">
        <v>420</v>
      </c>
      <c r="D468" s="58" t="s">
        <v>420</v>
      </c>
      <c r="E468" s="58" t="s">
        <v>435</v>
      </c>
      <c r="F468" s="58" t="s">
        <v>1058</v>
      </c>
      <c r="G468" s="59">
        <v>6</v>
      </c>
      <c r="H468" s="58" t="s">
        <v>420</v>
      </c>
      <c r="I468" s="60" t="s">
        <v>450</v>
      </c>
      <c r="J468" s="61">
        <v>6</v>
      </c>
    </row>
    <row r="469" spans="1:10">
      <c r="A469" s="62" t="s">
        <v>1605</v>
      </c>
      <c r="B469" s="62" t="s">
        <v>952</v>
      </c>
      <c r="C469" s="62" t="s">
        <v>420</v>
      </c>
      <c r="D469" s="62" t="s">
        <v>420</v>
      </c>
      <c r="E469" s="62" t="s">
        <v>435</v>
      </c>
      <c r="F469" s="62" t="s">
        <v>1058</v>
      </c>
      <c r="G469" s="63">
        <v>8</v>
      </c>
      <c r="H469" s="62" t="s">
        <v>420</v>
      </c>
      <c r="I469" s="64" t="s">
        <v>2277</v>
      </c>
      <c r="J469" s="65">
        <v>5</v>
      </c>
    </row>
    <row r="470" spans="1:10">
      <c r="A470" s="58" t="s">
        <v>1606</v>
      </c>
      <c r="B470" s="58" t="s">
        <v>953</v>
      </c>
      <c r="C470" s="58" t="s">
        <v>420</v>
      </c>
      <c r="D470" s="58" t="s">
        <v>420</v>
      </c>
      <c r="E470" s="58" t="s">
        <v>435</v>
      </c>
      <c r="F470" s="58" t="s">
        <v>1058</v>
      </c>
      <c r="G470" s="59">
        <v>6</v>
      </c>
      <c r="H470" s="58" t="s">
        <v>420</v>
      </c>
      <c r="I470" s="60" t="s">
        <v>450</v>
      </c>
      <c r="J470" s="61">
        <v>6</v>
      </c>
    </row>
    <row r="471" spans="1:10">
      <c r="A471" s="62" t="s">
        <v>1607</v>
      </c>
      <c r="B471" s="62" t="s">
        <v>954</v>
      </c>
      <c r="C471" s="62" t="s">
        <v>420</v>
      </c>
      <c r="D471" s="62" t="s">
        <v>420</v>
      </c>
      <c r="E471" s="62" t="s">
        <v>435</v>
      </c>
      <c r="F471" s="62" t="s">
        <v>1058</v>
      </c>
      <c r="G471" s="63">
        <v>8</v>
      </c>
      <c r="H471" s="62" t="s">
        <v>420</v>
      </c>
      <c r="I471" s="64" t="s">
        <v>450</v>
      </c>
      <c r="J471" s="65">
        <v>6</v>
      </c>
    </row>
    <row r="472" spans="1:10">
      <c r="A472" s="58" t="s">
        <v>1608</v>
      </c>
      <c r="B472" s="58" t="s">
        <v>955</v>
      </c>
      <c r="C472" s="58" t="s">
        <v>420</v>
      </c>
      <c r="D472" s="58" t="s">
        <v>420</v>
      </c>
      <c r="E472" s="58" t="s">
        <v>435</v>
      </c>
      <c r="F472" s="58" t="s">
        <v>1057</v>
      </c>
      <c r="G472" s="59">
        <v>7</v>
      </c>
      <c r="H472" s="58" t="s">
        <v>420</v>
      </c>
      <c r="I472" s="60" t="s">
        <v>2278</v>
      </c>
      <c r="J472" s="61">
        <v>3</v>
      </c>
    </row>
    <row r="473" spans="1:10">
      <c r="A473" s="62" t="s">
        <v>1609</v>
      </c>
      <c r="B473" s="62" t="s">
        <v>956</v>
      </c>
      <c r="C473" s="62" t="s">
        <v>420</v>
      </c>
      <c r="D473" s="62" t="s">
        <v>420</v>
      </c>
      <c r="E473" s="62" t="s">
        <v>421</v>
      </c>
      <c r="F473" s="62" t="s">
        <v>1058</v>
      </c>
      <c r="G473" s="63">
        <v>8</v>
      </c>
      <c r="H473" s="62" t="s">
        <v>420</v>
      </c>
      <c r="I473" s="64" t="s">
        <v>450</v>
      </c>
      <c r="J473" s="65">
        <v>4</v>
      </c>
    </row>
    <row r="474" spans="1:10">
      <c r="A474" s="58" t="s">
        <v>1610</v>
      </c>
      <c r="B474" s="58" t="s">
        <v>957</v>
      </c>
      <c r="C474" s="58" t="s">
        <v>420</v>
      </c>
      <c r="D474" s="58" t="s">
        <v>420</v>
      </c>
      <c r="E474" s="58" t="s">
        <v>435</v>
      </c>
      <c r="F474" s="58" t="s">
        <v>1058</v>
      </c>
      <c r="G474" s="59">
        <v>6</v>
      </c>
      <c r="H474" s="58" t="s">
        <v>420</v>
      </c>
      <c r="I474" s="60" t="s">
        <v>2277</v>
      </c>
      <c r="J474" s="61">
        <v>6</v>
      </c>
    </row>
    <row r="475" spans="1:10">
      <c r="A475" s="62" t="s">
        <v>1611</v>
      </c>
      <c r="B475" s="62" t="s">
        <v>958</v>
      </c>
      <c r="C475" s="62" t="s">
        <v>420</v>
      </c>
      <c r="D475" s="62" t="s">
        <v>420</v>
      </c>
      <c r="E475" s="62" t="s">
        <v>431</v>
      </c>
      <c r="F475" s="62" t="s">
        <v>1058</v>
      </c>
      <c r="G475" s="63">
        <v>7</v>
      </c>
      <c r="H475" s="62" t="s">
        <v>420</v>
      </c>
      <c r="I475" s="64" t="s">
        <v>450</v>
      </c>
      <c r="J475" s="65">
        <v>5</v>
      </c>
    </row>
    <row r="476" spans="1:10">
      <c r="A476" s="58" t="s">
        <v>1612</v>
      </c>
      <c r="B476" s="58" t="s">
        <v>959</v>
      </c>
      <c r="C476" s="58" t="s">
        <v>423</v>
      </c>
      <c r="D476" s="58" t="s">
        <v>423</v>
      </c>
      <c r="E476" s="58" t="s">
        <v>435</v>
      </c>
      <c r="F476" s="58" t="s">
        <v>1058</v>
      </c>
      <c r="G476" s="59">
        <v>6</v>
      </c>
      <c r="H476" s="58" t="s">
        <v>420</v>
      </c>
      <c r="I476" s="60" t="s">
        <v>2277</v>
      </c>
      <c r="J476" s="61">
        <v>6</v>
      </c>
    </row>
    <row r="477" spans="1:10">
      <c r="A477" s="62" t="s">
        <v>1613</v>
      </c>
      <c r="B477" s="62" t="s">
        <v>960</v>
      </c>
      <c r="C477" s="62" t="s">
        <v>420</v>
      </c>
      <c r="D477" s="62" t="s">
        <v>420</v>
      </c>
      <c r="E477" s="62" t="s">
        <v>431</v>
      </c>
      <c r="F477" s="62" t="s">
        <v>1058</v>
      </c>
      <c r="G477" s="63">
        <v>6</v>
      </c>
      <c r="H477" s="62" t="s">
        <v>420</v>
      </c>
      <c r="I477" s="64" t="s">
        <v>2277</v>
      </c>
      <c r="J477" s="65">
        <v>5</v>
      </c>
    </row>
    <row r="478" spans="1:10">
      <c r="A478" s="58" t="s">
        <v>1614</v>
      </c>
      <c r="B478" s="58" t="s">
        <v>961</v>
      </c>
      <c r="C478" s="58" t="s">
        <v>420</v>
      </c>
      <c r="D478" s="58" t="s">
        <v>420</v>
      </c>
      <c r="E478" s="58" t="s">
        <v>421</v>
      </c>
      <c r="F478" s="58" t="s">
        <v>1058</v>
      </c>
      <c r="G478" s="59">
        <v>8</v>
      </c>
      <c r="H478" s="58" t="s">
        <v>420</v>
      </c>
      <c r="I478" s="60" t="s">
        <v>450</v>
      </c>
      <c r="J478" s="61">
        <v>4</v>
      </c>
    </row>
    <row r="479" spans="1:10">
      <c r="A479" s="62" t="s">
        <v>1615</v>
      </c>
      <c r="B479" s="62" t="s">
        <v>962</v>
      </c>
      <c r="C479" s="62" t="s">
        <v>420</v>
      </c>
      <c r="D479" s="62" t="s">
        <v>420</v>
      </c>
      <c r="E479" s="62" t="s">
        <v>435</v>
      </c>
      <c r="F479" s="62" t="s">
        <v>1058</v>
      </c>
      <c r="G479" s="63">
        <v>8</v>
      </c>
      <c r="H479" s="62" t="s">
        <v>420</v>
      </c>
      <c r="I479" s="64" t="s">
        <v>2277</v>
      </c>
      <c r="J479" s="65">
        <v>5</v>
      </c>
    </row>
    <row r="480" spans="1:10">
      <c r="A480" s="58" t="s">
        <v>1616</v>
      </c>
      <c r="B480" s="58" t="s">
        <v>963</v>
      </c>
      <c r="C480" s="58" t="s">
        <v>420</v>
      </c>
      <c r="D480" s="58" t="s">
        <v>420</v>
      </c>
      <c r="E480" s="58" t="s">
        <v>434</v>
      </c>
      <c r="F480" s="58" t="s">
        <v>1058</v>
      </c>
      <c r="G480" s="59">
        <v>7</v>
      </c>
      <c r="H480" s="58" t="s">
        <v>2272</v>
      </c>
      <c r="I480" s="60" t="s">
        <v>450</v>
      </c>
      <c r="J480" s="61">
        <v>5</v>
      </c>
    </row>
    <row r="481" spans="1:10">
      <c r="A481" s="62" t="s">
        <v>1617</v>
      </c>
      <c r="B481" s="62" t="s">
        <v>964</v>
      </c>
      <c r="C481" s="62" t="s">
        <v>420</v>
      </c>
      <c r="D481" s="62" t="s">
        <v>420</v>
      </c>
      <c r="E481" s="62" t="s">
        <v>434</v>
      </c>
      <c r="F481" s="62" t="s">
        <v>1058</v>
      </c>
      <c r="G481" s="63">
        <v>6</v>
      </c>
      <c r="H481" s="62" t="s">
        <v>420</v>
      </c>
      <c r="I481" s="64" t="s">
        <v>2277</v>
      </c>
      <c r="J481" s="65">
        <v>4</v>
      </c>
    </row>
    <row r="482" spans="1:10">
      <c r="A482" s="58" t="s">
        <v>1618</v>
      </c>
      <c r="B482" s="58" t="s">
        <v>965</v>
      </c>
      <c r="C482" s="58" t="s">
        <v>420</v>
      </c>
      <c r="D482" s="58" t="s">
        <v>420</v>
      </c>
      <c r="E482" s="58" t="s">
        <v>431</v>
      </c>
      <c r="F482" s="58" t="s">
        <v>1057</v>
      </c>
      <c r="G482" s="59">
        <v>8</v>
      </c>
      <c r="H482" s="58" t="s">
        <v>420</v>
      </c>
      <c r="I482" s="60" t="s">
        <v>450</v>
      </c>
      <c r="J482" s="61">
        <v>4</v>
      </c>
    </row>
    <row r="483" spans="1:10">
      <c r="A483" s="62" t="s">
        <v>1619</v>
      </c>
      <c r="B483" s="62" t="s">
        <v>966</v>
      </c>
      <c r="C483" s="62" t="s">
        <v>420</v>
      </c>
      <c r="D483" s="62" t="s">
        <v>420</v>
      </c>
      <c r="E483" s="62" t="s">
        <v>431</v>
      </c>
      <c r="F483" s="62" t="s">
        <v>1058</v>
      </c>
      <c r="G483" s="63">
        <v>7</v>
      </c>
      <c r="H483" s="62" t="s">
        <v>420</v>
      </c>
      <c r="I483" s="64" t="s">
        <v>450</v>
      </c>
      <c r="J483" s="65">
        <v>4</v>
      </c>
    </row>
    <row r="484" spans="1:10">
      <c r="A484" s="58" t="s">
        <v>1620</v>
      </c>
      <c r="B484" s="58" t="s">
        <v>967</v>
      </c>
      <c r="C484" s="58" t="s">
        <v>423</v>
      </c>
      <c r="D484" s="58" t="s">
        <v>423</v>
      </c>
      <c r="E484" s="58" t="s">
        <v>434</v>
      </c>
      <c r="F484" s="58" t="s">
        <v>1058</v>
      </c>
      <c r="G484" s="59">
        <v>8</v>
      </c>
      <c r="H484" s="58" t="s">
        <v>420</v>
      </c>
      <c r="I484" s="60" t="s">
        <v>450</v>
      </c>
      <c r="J484" s="61">
        <v>7</v>
      </c>
    </row>
    <row r="485" spans="1:10">
      <c r="A485" s="62" t="s">
        <v>1621</v>
      </c>
      <c r="B485" s="62" t="s">
        <v>968</v>
      </c>
      <c r="C485" s="62" t="s">
        <v>423</v>
      </c>
      <c r="D485" s="62" t="s">
        <v>423</v>
      </c>
      <c r="E485" s="62" t="s">
        <v>435</v>
      </c>
      <c r="F485" s="62" t="s">
        <v>1058</v>
      </c>
      <c r="G485" s="63">
        <v>5</v>
      </c>
      <c r="H485" s="62" t="s">
        <v>2275</v>
      </c>
      <c r="I485" s="64" t="s">
        <v>450</v>
      </c>
      <c r="J485" s="65">
        <v>5</v>
      </c>
    </row>
    <row r="486" spans="1:10">
      <c r="A486" s="58" t="s">
        <v>1622</v>
      </c>
      <c r="B486" s="58" t="s">
        <v>969</v>
      </c>
      <c r="C486" s="58" t="s">
        <v>423</v>
      </c>
      <c r="D486" s="58" t="s">
        <v>423</v>
      </c>
      <c r="E486" s="58" t="s">
        <v>434</v>
      </c>
      <c r="F486" s="58" t="s">
        <v>1058</v>
      </c>
      <c r="G486" s="59">
        <v>7</v>
      </c>
      <c r="H486" s="58" t="s">
        <v>420</v>
      </c>
      <c r="I486" s="60" t="s">
        <v>450</v>
      </c>
      <c r="J486" s="61">
        <v>5</v>
      </c>
    </row>
    <row r="487" spans="1:10">
      <c r="A487" s="62" t="s">
        <v>1623</v>
      </c>
      <c r="B487" s="62" t="s">
        <v>970</v>
      </c>
      <c r="C487" s="62" t="s">
        <v>420</v>
      </c>
      <c r="D487" s="62" t="s">
        <v>420</v>
      </c>
      <c r="E487" s="62" t="s">
        <v>434</v>
      </c>
      <c r="F487" s="62" t="s">
        <v>1058</v>
      </c>
      <c r="G487" s="63">
        <v>6</v>
      </c>
      <c r="H487" s="62" t="s">
        <v>420</v>
      </c>
      <c r="I487" s="64" t="s">
        <v>2277</v>
      </c>
      <c r="J487" s="65">
        <v>8</v>
      </c>
    </row>
    <row r="488" spans="1:10">
      <c r="A488" s="58" t="s">
        <v>1624</v>
      </c>
      <c r="B488" s="58" t="s">
        <v>971</v>
      </c>
      <c r="C488" s="58" t="s">
        <v>420</v>
      </c>
      <c r="D488" s="58" t="s">
        <v>420</v>
      </c>
      <c r="E488" s="58" t="s">
        <v>435</v>
      </c>
      <c r="F488" s="58" t="s">
        <v>1058</v>
      </c>
      <c r="G488" s="59">
        <v>6</v>
      </c>
      <c r="H488" s="58" t="s">
        <v>2273</v>
      </c>
      <c r="I488" s="60" t="s">
        <v>2277</v>
      </c>
      <c r="J488" s="61">
        <v>3</v>
      </c>
    </row>
    <row r="489" spans="1:10">
      <c r="A489" s="62" t="s">
        <v>1625</v>
      </c>
      <c r="B489" s="62" t="s">
        <v>972</v>
      </c>
      <c r="C489" s="62" t="s">
        <v>420</v>
      </c>
      <c r="D489" s="62" t="s">
        <v>420</v>
      </c>
      <c r="E489" s="62" t="s">
        <v>426</v>
      </c>
      <c r="F489" s="62" t="s">
        <v>1058</v>
      </c>
      <c r="G489" s="63">
        <v>6.3008333333333297</v>
      </c>
      <c r="H489" s="62" t="s">
        <v>420</v>
      </c>
      <c r="I489" s="64" t="s">
        <v>2277</v>
      </c>
      <c r="J489" s="65">
        <v>4</v>
      </c>
    </row>
    <row r="490" spans="1:10">
      <c r="A490" s="58" t="s">
        <v>1626</v>
      </c>
      <c r="B490" s="58" t="s">
        <v>973</v>
      </c>
      <c r="C490" s="58" t="s">
        <v>420</v>
      </c>
      <c r="D490" s="58" t="s">
        <v>420</v>
      </c>
      <c r="E490" s="58" t="s">
        <v>435</v>
      </c>
      <c r="F490" s="58" t="s">
        <v>1058</v>
      </c>
      <c r="G490" s="59">
        <v>7</v>
      </c>
      <c r="H490" s="58" t="s">
        <v>420</v>
      </c>
      <c r="I490" s="60" t="s">
        <v>450</v>
      </c>
      <c r="J490" s="61">
        <v>7</v>
      </c>
    </row>
    <row r="491" spans="1:10">
      <c r="A491" s="62" t="s">
        <v>1627</v>
      </c>
      <c r="B491" s="62" t="s">
        <v>974</v>
      </c>
      <c r="C491" s="62" t="s">
        <v>420</v>
      </c>
      <c r="D491" s="62" t="s">
        <v>420</v>
      </c>
      <c r="E491" s="62" t="s">
        <v>434</v>
      </c>
      <c r="F491" s="62" t="s">
        <v>1058</v>
      </c>
      <c r="G491" s="63">
        <v>6</v>
      </c>
      <c r="H491" s="62" t="s">
        <v>2274</v>
      </c>
      <c r="I491" s="64" t="s">
        <v>450</v>
      </c>
      <c r="J491" s="65">
        <v>3</v>
      </c>
    </row>
    <row r="492" spans="1:10">
      <c r="A492" s="58" t="s">
        <v>1628</v>
      </c>
      <c r="B492" s="58" t="s">
        <v>975</v>
      </c>
      <c r="C492" s="58" t="s">
        <v>420</v>
      </c>
      <c r="D492" s="58" t="s">
        <v>420</v>
      </c>
      <c r="E492" s="58" t="s">
        <v>435</v>
      </c>
      <c r="F492" s="58" t="s">
        <v>1058</v>
      </c>
      <c r="G492" s="59">
        <v>6</v>
      </c>
      <c r="H492" s="58" t="s">
        <v>420</v>
      </c>
      <c r="I492" s="60" t="s">
        <v>450</v>
      </c>
      <c r="J492" s="61">
        <v>6</v>
      </c>
    </row>
    <row r="493" spans="1:10">
      <c r="A493" s="62" t="s">
        <v>1629</v>
      </c>
      <c r="B493" s="62" t="s">
        <v>976</v>
      </c>
      <c r="C493" s="62" t="s">
        <v>420</v>
      </c>
      <c r="D493" s="62" t="s">
        <v>420</v>
      </c>
      <c r="E493" s="62" t="s">
        <v>435</v>
      </c>
      <c r="F493" s="62" t="s">
        <v>1058</v>
      </c>
      <c r="G493" s="63">
        <v>8</v>
      </c>
      <c r="H493" s="62" t="s">
        <v>420</v>
      </c>
      <c r="I493" s="64" t="s">
        <v>2277</v>
      </c>
      <c r="J493" s="65">
        <v>5</v>
      </c>
    </row>
    <row r="494" spans="1:10">
      <c r="A494" s="58" t="s">
        <v>1630</v>
      </c>
      <c r="B494" s="58" t="s">
        <v>977</v>
      </c>
      <c r="C494" s="58" t="s">
        <v>420</v>
      </c>
      <c r="D494" s="58" t="s">
        <v>420</v>
      </c>
      <c r="E494" s="58" t="s">
        <v>435</v>
      </c>
      <c r="F494" s="58" t="s">
        <v>1058</v>
      </c>
      <c r="G494" s="59">
        <v>6</v>
      </c>
      <c r="H494" s="58" t="s">
        <v>420</v>
      </c>
      <c r="I494" s="60" t="s">
        <v>450</v>
      </c>
      <c r="J494" s="61">
        <v>6</v>
      </c>
    </row>
    <row r="495" spans="1:10">
      <c r="A495" s="62" t="s">
        <v>1631</v>
      </c>
      <c r="B495" s="62" t="s">
        <v>978</v>
      </c>
      <c r="C495" s="62" t="s">
        <v>420</v>
      </c>
      <c r="D495" s="62" t="s">
        <v>420</v>
      </c>
      <c r="E495" s="62" t="s">
        <v>435</v>
      </c>
      <c r="F495" s="62" t="s">
        <v>1058</v>
      </c>
      <c r="G495" s="63">
        <v>8</v>
      </c>
      <c r="H495" s="62" t="s">
        <v>420</v>
      </c>
      <c r="I495" s="64" t="s">
        <v>450</v>
      </c>
      <c r="J495" s="65">
        <v>6</v>
      </c>
    </row>
    <row r="496" spans="1:10">
      <c r="A496" s="58" t="s">
        <v>1632</v>
      </c>
      <c r="B496" s="58" t="s">
        <v>979</v>
      </c>
      <c r="C496" s="58" t="s">
        <v>420</v>
      </c>
      <c r="D496" s="58" t="s">
        <v>420</v>
      </c>
      <c r="E496" s="58" t="s">
        <v>435</v>
      </c>
      <c r="F496" s="58" t="s">
        <v>1057</v>
      </c>
      <c r="G496" s="59">
        <v>7</v>
      </c>
      <c r="H496" s="58" t="s">
        <v>420</v>
      </c>
      <c r="I496" s="60" t="s">
        <v>2278</v>
      </c>
      <c r="J496" s="61">
        <v>3</v>
      </c>
    </row>
    <row r="497" spans="1:10">
      <c r="A497" s="62" t="s">
        <v>1633</v>
      </c>
      <c r="B497" s="62" t="s">
        <v>980</v>
      </c>
      <c r="C497" s="62" t="s">
        <v>420</v>
      </c>
      <c r="D497" s="62" t="s">
        <v>420</v>
      </c>
      <c r="E497" s="62" t="s">
        <v>421</v>
      </c>
      <c r="F497" s="62" t="s">
        <v>1058</v>
      </c>
      <c r="G497" s="63">
        <v>8</v>
      </c>
      <c r="H497" s="62" t="s">
        <v>420</v>
      </c>
      <c r="I497" s="64" t="s">
        <v>450</v>
      </c>
      <c r="J497" s="65">
        <v>4</v>
      </c>
    </row>
    <row r="498" spans="1:10">
      <c r="A498" s="58" t="s">
        <v>1634</v>
      </c>
      <c r="B498" s="58" t="s">
        <v>981</v>
      </c>
      <c r="C498" s="58" t="s">
        <v>420</v>
      </c>
      <c r="D498" s="58" t="s">
        <v>420</v>
      </c>
      <c r="E498" s="58" t="s">
        <v>435</v>
      </c>
      <c r="F498" s="58" t="s">
        <v>1058</v>
      </c>
      <c r="G498" s="59">
        <v>6</v>
      </c>
      <c r="H498" s="58" t="s">
        <v>420</v>
      </c>
      <c r="I498" s="60" t="s">
        <v>2277</v>
      </c>
      <c r="J498" s="61">
        <v>6</v>
      </c>
    </row>
    <row r="499" spans="1:10">
      <c r="A499" s="62" t="s">
        <v>1635</v>
      </c>
      <c r="B499" s="62" t="s">
        <v>982</v>
      </c>
      <c r="C499" s="62" t="s">
        <v>420</v>
      </c>
      <c r="D499" s="62" t="s">
        <v>420</v>
      </c>
      <c r="E499" s="62" t="s">
        <v>431</v>
      </c>
      <c r="F499" s="62" t="s">
        <v>1058</v>
      </c>
      <c r="G499" s="63">
        <v>7</v>
      </c>
      <c r="H499" s="62" t="s">
        <v>420</v>
      </c>
      <c r="I499" s="64" t="s">
        <v>450</v>
      </c>
      <c r="J499" s="65">
        <v>5</v>
      </c>
    </row>
    <row r="500" spans="1:10">
      <c r="A500" s="58" t="s">
        <v>1636</v>
      </c>
      <c r="B500" s="58" t="s">
        <v>983</v>
      </c>
      <c r="C500" s="58" t="s">
        <v>423</v>
      </c>
      <c r="D500" s="58" t="s">
        <v>423</v>
      </c>
      <c r="E500" s="58" t="s">
        <v>435</v>
      </c>
      <c r="F500" s="58" t="s">
        <v>1058</v>
      </c>
      <c r="G500" s="59">
        <v>6</v>
      </c>
      <c r="H500" s="58" t="s">
        <v>420</v>
      </c>
      <c r="I500" s="60" t="s">
        <v>2277</v>
      </c>
      <c r="J500" s="61">
        <v>6</v>
      </c>
    </row>
    <row r="501" spans="1:10">
      <c r="A501" s="62" t="s">
        <v>1637</v>
      </c>
      <c r="B501" s="62" t="s">
        <v>984</v>
      </c>
      <c r="C501" s="62" t="s">
        <v>420</v>
      </c>
      <c r="D501" s="62" t="s">
        <v>420</v>
      </c>
      <c r="E501" s="62" t="s">
        <v>431</v>
      </c>
      <c r="F501" s="62" t="s">
        <v>1058</v>
      </c>
      <c r="G501" s="63">
        <v>6</v>
      </c>
      <c r="H501" s="62" t="s">
        <v>420</v>
      </c>
      <c r="I501" s="64" t="s">
        <v>2277</v>
      </c>
      <c r="J501" s="65">
        <v>5</v>
      </c>
    </row>
    <row r="502" spans="1:10">
      <c r="A502" s="58" t="s">
        <v>1638</v>
      </c>
      <c r="B502" s="58" t="s">
        <v>985</v>
      </c>
      <c r="C502" s="58" t="s">
        <v>420</v>
      </c>
      <c r="D502" s="58" t="s">
        <v>420</v>
      </c>
      <c r="E502" s="58" t="s">
        <v>421</v>
      </c>
      <c r="F502" s="58" t="s">
        <v>1058</v>
      </c>
      <c r="G502" s="59">
        <v>8</v>
      </c>
      <c r="H502" s="58" t="s">
        <v>420</v>
      </c>
      <c r="I502" s="60" t="s">
        <v>450</v>
      </c>
      <c r="J502" s="61">
        <v>4</v>
      </c>
    </row>
    <row r="503" spans="1:10">
      <c r="A503" s="62" t="s">
        <v>1639</v>
      </c>
      <c r="B503" s="62" t="s">
        <v>986</v>
      </c>
      <c r="C503" s="62" t="s">
        <v>420</v>
      </c>
      <c r="D503" s="62" t="s">
        <v>420</v>
      </c>
      <c r="E503" s="62" t="s">
        <v>435</v>
      </c>
      <c r="F503" s="62" t="s">
        <v>1058</v>
      </c>
      <c r="G503" s="63">
        <v>8</v>
      </c>
      <c r="H503" s="62" t="s">
        <v>420</v>
      </c>
      <c r="I503" s="64" t="s">
        <v>2277</v>
      </c>
      <c r="J503" s="65">
        <v>5</v>
      </c>
    </row>
    <row r="504" spans="1:10">
      <c r="A504" s="58" t="s">
        <v>1640</v>
      </c>
      <c r="B504" s="58" t="s">
        <v>987</v>
      </c>
      <c r="C504" s="58" t="s">
        <v>420</v>
      </c>
      <c r="D504" s="58" t="s">
        <v>420</v>
      </c>
      <c r="E504" s="58" t="s">
        <v>434</v>
      </c>
      <c r="F504" s="58" t="s">
        <v>1058</v>
      </c>
      <c r="G504" s="59">
        <v>7</v>
      </c>
      <c r="H504" s="58" t="s">
        <v>2272</v>
      </c>
      <c r="I504" s="60" t="s">
        <v>450</v>
      </c>
      <c r="J504" s="61">
        <v>5</v>
      </c>
    </row>
    <row r="505" spans="1:10">
      <c r="A505" s="62" t="s">
        <v>1641</v>
      </c>
      <c r="B505" s="62" t="s">
        <v>988</v>
      </c>
      <c r="C505" s="62" t="s">
        <v>420</v>
      </c>
      <c r="D505" s="62" t="s">
        <v>420</v>
      </c>
      <c r="E505" s="62" t="s">
        <v>434</v>
      </c>
      <c r="F505" s="62" t="s">
        <v>1058</v>
      </c>
      <c r="G505" s="63">
        <v>6</v>
      </c>
      <c r="H505" s="62" t="s">
        <v>420</v>
      </c>
      <c r="I505" s="64" t="s">
        <v>2277</v>
      </c>
      <c r="J505" s="65">
        <v>4</v>
      </c>
    </row>
    <row r="506" spans="1:10">
      <c r="A506" s="58" t="s">
        <v>1642</v>
      </c>
      <c r="B506" s="58" t="s">
        <v>989</v>
      </c>
      <c r="C506" s="58" t="s">
        <v>420</v>
      </c>
      <c r="D506" s="58" t="s">
        <v>420</v>
      </c>
      <c r="E506" s="58" t="s">
        <v>431</v>
      </c>
      <c r="F506" s="58" t="s">
        <v>1057</v>
      </c>
      <c r="G506" s="59">
        <v>8</v>
      </c>
      <c r="H506" s="58" t="s">
        <v>420</v>
      </c>
      <c r="I506" s="60" t="s">
        <v>450</v>
      </c>
      <c r="J506" s="61">
        <v>4</v>
      </c>
    </row>
    <row r="507" spans="1:10">
      <c r="A507" s="62" t="s">
        <v>1643</v>
      </c>
      <c r="B507" s="62" t="s">
        <v>990</v>
      </c>
      <c r="C507" s="62" t="s">
        <v>420</v>
      </c>
      <c r="D507" s="62" t="s">
        <v>420</v>
      </c>
      <c r="E507" s="62" t="s">
        <v>431</v>
      </c>
      <c r="F507" s="62" t="s">
        <v>1058</v>
      </c>
      <c r="G507" s="63">
        <v>7</v>
      </c>
      <c r="H507" s="62" t="s">
        <v>420</v>
      </c>
      <c r="I507" s="64" t="s">
        <v>450</v>
      </c>
      <c r="J507" s="65">
        <v>4</v>
      </c>
    </row>
    <row r="508" spans="1:10">
      <c r="A508" s="58" t="s">
        <v>1644</v>
      </c>
      <c r="B508" s="58" t="s">
        <v>991</v>
      </c>
      <c r="C508" s="58" t="s">
        <v>423</v>
      </c>
      <c r="D508" s="58" t="s">
        <v>423</v>
      </c>
      <c r="E508" s="58" t="s">
        <v>434</v>
      </c>
      <c r="F508" s="58" t="s">
        <v>1058</v>
      </c>
      <c r="G508" s="59">
        <v>8</v>
      </c>
      <c r="H508" s="58" t="s">
        <v>420</v>
      </c>
      <c r="I508" s="60" t="s">
        <v>450</v>
      </c>
      <c r="J508" s="61">
        <v>7</v>
      </c>
    </row>
    <row r="509" spans="1:10">
      <c r="A509" s="62" t="s">
        <v>1645</v>
      </c>
      <c r="B509" s="62" t="s">
        <v>992</v>
      </c>
      <c r="C509" s="62" t="s">
        <v>423</v>
      </c>
      <c r="D509" s="62" t="s">
        <v>423</v>
      </c>
      <c r="E509" s="62" t="s">
        <v>435</v>
      </c>
      <c r="F509" s="62" t="s">
        <v>1058</v>
      </c>
      <c r="G509" s="63">
        <v>5</v>
      </c>
      <c r="H509" s="62" t="s">
        <v>2275</v>
      </c>
      <c r="I509" s="64" t="s">
        <v>450</v>
      </c>
      <c r="J509" s="65">
        <v>5</v>
      </c>
    </row>
    <row r="510" spans="1:10">
      <c r="A510" s="58" t="s">
        <v>1646</v>
      </c>
      <c r="B510" s="58" t="s">
        <v>993</v>
      </c>
      <c r="C510" s="58" t="s">
        <v>423</v>
      </c>
      <c r="D510" s="58" t="s">
        <v>423</v>
      </c>
      <c r="E510" s="58" t="s">
        <v>434</v>
      </c>
      <c r="F510" s="58" t="s">
        <v>1058</v>
      </c>
      <c r="G510" s="59">
        <v>7</v>
      </c>
      <c r="H510" s="58" t="s">
        <v>420</v>
      </c>
      <c r="I510" s="60" t="s">
        <v>450</v>
      </c>
      <c r="J510" s="61">
        <v>5</v>
      </c>
    </row>
    <row r="511" spans="1:10">
      <c r="A511" s="62" t="s">
        <v>1647</v>
      </c>
      <c r="B511" s="62" t="s">
        <v>994</v>
      </c>
      <c r="C511" s="62" t="s">
        <v>420</v>
      </c>
      <c r="D511" s="62" t="s">
        <v>420</v>
      </c>
      <c r="E511" s="62" t="s">
        <v>434</v>
      </c>
      <c r="F511" s="62" t="s">
        <v>1058</v>
      </c>
      <c r="G511" s="63">
        <v>6</v>
      </c>
      <c r="H511" s="62" t="s">
        <v>420</v>
      </c>
      <c r="I511" s="64" t="s">
        <v>2277</v>
      </c>
      <c r="J511" s="65">
        <v>8</v>
      </c>
    </row>
    <row r="512" spans="1:10">
      <c r="A512" s="58" t="s">
        <v>1648</v>
      </c>
      <c r="B512" s="58" t="s">
        <v>995</v>
      </c>
      <c r="C512" s="58" t="s">
        <v>420</v>
      </c>
      <c r="D512" s="58" t="s">
        <v>420</v>
      </c>
      <c r="E512" s="58" t="s">
        <v>435</v>
      </c>
      <c r="F512" s="58" t="s">
        <v>1058</v>
      </c>
      <c r="G512" s="59">
        <v>6</v>
      </c>
      <c r="H512" s="58" t="s">
        <v>2273</v>
      </c>
      <c r="I512" s="60" t="s">
        <v>2277</v>
      </c>
      <c r="J512" s="61">
        <v>3</v>
      </c>
    </row>
    <row r="513" spans="1:10">
      <c r="A513" s="62" t="s">
        <v>1649</v>
      </c>
      <c r="B513" s="62" t="s">
        <v>996</v>
      </c>
      <c r="C513" s="62" t="s">
        <v>420</v>
      </c>
      <c r="D513" s="62" t="s">
        <v>420</v>
      </c>
      <c r="E513" s="62" t="s">
        <v>435</v>
      </c>
      <c r="F513" s="62" t="s">
        <v>1058</v>
      </c>
      <c r="G513" s="63">
        <v>7</v>
      </c>
      <c r="H513" s="62" t="s">
        <v>420</v>
      </c>
      <c r="I513" s="64" t="s">
        <v>450</v>
      </c>
      <c r="J513" s="65">
        <v>7</v>
      </c>
    </row>
    <row r="514" spans="1:10">
      <c r="A514" s="58" t="s">
        <v>1650</v>
      </c>
      <c r="B514" s="58" t="s">
        <v>997</v>
      </c>
      <c r="C514" s="58" t="s">
        <v>420</v>
      </c>
      <c r="D514" s="58" t="s">
        <v>420</v>
      </c>
      <c r="E514" s="58" t="s">
        <v>434</v>
      </c>
      <c r="F514" s="58" t="s">
        <v>1058</v>
      </c>
      <c r="G514" s="59">
        <v>6</v>
      </c>
      <c r="H514" s="58" t="s">
        <v>2274</v>
      </c>
      <c r="I514" s="60" t="s">
        <v>450</v>
      </c>
      <c r="J514" s="61">
        <v>3</v>
      </c>
    </row>
    <row r="515" spans="1:10">
      <c r="A515" s="62" t="s">
        <v>1651</v>
      </c>
      <c r="B515" s="62" t="s">
        <v>998</v>
      </c>
      <c r="C515" s="62" t="s">
        <v>420</v>
      </c>
      <c r="D515" s="62" t="s">
        <v>420</v>
      </c>
      <c r="E515" s="62" t="s">
        <v>435</v>
      </c>
      <c r="F515" s="62" t="s">
        <v>1058</v>
      </c>
      <c r="G515" s="63">
        <v>6</v>
      </c>
      <c r="H515" s="62" t="s">
        <v>420</v>
      </c>
      <c r="I515" s="64" t="s">
        <v>450</v>
      </c>
      <c r="J515" s="65">
        <v>6</v>
      </c>
    </row>
    <row r="516" spans="1:10">
      <c r="A516" s="58" t="s">
        <v>1652</v>
      </c>
      <c r="B516" s="58" t="s">
        <v>999</v>
      </c>
      <c r="C516" s="58" t="s">
        <v>420</v>
      </c>
      <c r="D516" s="58" t="s">
        <v>420</v>
      </c>
      <c r="E516" s="58" t="s">
        <v>435</v>
      </c>
      <c r="F516" s="58" t="s">
        <v>1058</v>
      </c>
      <c r="G516" s="59">
        <v>8</v>
      </c>
      <c r="H516" s="58" t="s">
        <v>420</v>
      </c>
      <c r="I516" s="60" t="s">
        <v>2277</v>
      </c>
      <c r="J516" s="61">
        <v>5</v>
      </c>
    </row>
    <row r="517" spans="1:10">
      <c r="A517" s="62" t="s">
        <v>1653</v>
      </c>
      <c r="B517" s="62" t="s">
        <v>1000</v>
      </c>
      <c r="C517" s="62" t="s">
        <v>420</v>
      </c>
      <c r="D517" s="62" t="s">
        <v>420</v>
      </c>
      <c r="E517" s="62" t="s">
        <v>435</v>
      </c>
      <c r="F517" s="62" t="s">
        <v>1058</v>
      </c>
      <c r="G517" s="63">
        <v>6</v>
      </c>
      <c r="H517" s="62" t="s">
        <v>420</v>
      </c>
      <c r="I517" s="64" t="s">
        <v>450</v>
      </c>
      <c r="J517" s="65">
        <v>6</v>
      </c>
    </row>
    <row r="518" spans="1:10">
      <c r="A518" s="58" t="s">
        <v>1654</v>
      </c>
      <c r="B518" s="58" t="s">
        <v>1001</v>
      </c>
      <c r="C518" s="58" t="s">
        <v>420</v>
      </c>
      <c r="D518" s="58" t="s">
        <v>420</v>
      </c>
      <c r="E518" s="58" t="s">
        <v>435</v>
      </c>
      <c r="F518" s="58" t="s">
        <v>1058</v>
      </c>
      <c r="G518" s="59">
        <v>8</v>
      </c>
      <c r="H518" s="58" t="s">
        <v>420</v>
      </c>
      <c r="I518" s="60" t="s">
        <v>450</v>
      </c>
      <c r="J518" s="61">
        <v>6</v>
      </c>
    </row>
    <row r="519" spans="1:10">
      <c r="A519" s="62" t="s">
        <v>1655</v>
      </c>
      <c r="B519" s="62" t="s">
        <v>1002</v>
      </c>
      <c r="C519" s="62" t="s">
        <v>420</v>
      </c>
      <c r="D519" s="62" t="s">
        <v>420</v>
      </c>
      <c r="E519" s="62" t="s">
        <v>435</v>
      </c>
      <c r="F519" s="62" t="s">
        <v>1057</v>
      </c>
      <c r="G519" s="63">
        <v>7</v>
      </c>
      <c r="H519" s="62" t="s">
        <v>420</v>
      </c>
      <c r="I519" s="64" t="s">
        <v>2278</v>
      </c>
      <c r="J519" s="65">
        <v>3</v>
      </c>
    </row>
    <row r="520" spans="1:10">
      <c r="A520" s="58" t="s">
        <v>1656</v>
      </c>
      <c r="B520" s="58" t="s">
        <v>1003</v>
      </c>
      <c r="C520" s="58" t="s">
        <v>420</v>
      </c>
      <c r="D520" s="58" t="s">
        <v>420</v>
      </c>
      <c r="E520" s="58" t="s">
        <v>421</v>
      </c>
      <c r="F520" s="58" t="s">
        <v>1058</v>
      </c>
      <c r="G520" s="59">
        <v>8</v>
      </c>
      <c r="H520" s="58" t="s">
        <v>420</v>
      </c>
      <c r="I520" s="60" t="s">
        <v>450</v>
      </c>
      <c r="J520" s="61">
        <v>4</v>
      </c>
    </row>
    <row r="521" spans="1:10">
      <c r="A521" s="62" t="s">
        <v>1657</v>
      </c>
      <c r="B521" s="62" t="s">
        <v>1004</v>
      </c>
      <c r="C521" s="62" t="s">
        <v>420</v>
      </c>
      <c r="D521" s="62" t="s">
        <v>420</v>
      </c>
      <c r="E521" s="62" t="s">
        <v>435</v>
      </c>
      <c r="F521" s="62" t="s">
        <v>1058</v>
      </c>
      <c r="G521" s="63">
        <v>6</v>
      </c>
      <c r="H521" s="62" t="s">
        <v>420</v>
      </c>
      <c r="I521" s="64" t="s">
        <v>2277</v>
      </c>
      <c r="J521" s="65">
        <v>6</v>
      </c>
    </row>
    <row r="522" spans="1:10">
      <c r="A522" s="58" t="s">
        <v>1658</v>
      </c>
      <c r="B522" s="58" t="s">
        <v>1005</v>
      </c>
      <c r="C522" s="58" t="s">
        <v>420</v>
      </c>
      <c r="D522" s="58" t="s">
        <v>420</v>
      </c>
      <c r="E522" s="58" t="s">
        <v>431</v>
      </c>
      <c r="F522" s="58" t="s">
        <v>1058</v>
      </c>
      <c r="G522" s="59">
        <v>7</v>
      </c>
      <c r="H522" s="58" t="s">
        <v>420</v>
      </c>
      <c r="I522" s="60" t="s">
        <v>450</v>
      </c>
      <c r="J522" s="61">
        <v>5</v>
      </c>
    </row>
    <row r="523" spans="1:10">
      <c r="A523" s="62" t="s">
        <v>1659</v>
      </c>
      <c r="B523" s="62" t="s">
        <v>1006</v>
      </c>
      <c r="C523" s="62" t="s">
        <v>423</v>
      </c>
      <c r="D523" s="62" t="s">
        <v>423</v>
      </c>
      <c r="E523" s="62" t="s">
        <v>435</v>
      </c>
      <c r="F523" s="62" t="s">
        <v>1058</v>
      </c>
      <c r="G523" s="63">
        <v>6</v>
      </c>
      <c r="H523" s="62" t="s">
        <v>420</v>
      </c>
      <c r="I523" s="64" t="s">
        <v>2277</v>
      </c>
      <c r="J523" s="65">
        <v>6</v>
      </c>
    </row>
    <row r="524" spans="1:10">
      <c r="A524" s="58" t="s">
        <v>1660</v>
      </c>
      <c r="B524" s="58" t="s">
        <v>1007</v>
      </c>
      <c r="C524" s="58" t="s">
        <v>420</v>
      </c>
      <c r="D524" s="58" t="s">
        <v>420</v>
      </c>
      <c r="E524" s="58" t="s">
        <v>431</v>
      </c>
      <c r="F524" s="58" t="s">
        <v>1058</v>
      </c>
      <c r="G524" s="59">
        <v>6</v>
      </c>
      <c r="H524" s="58" t="s">
        <v>420</v>
      </c>
      <c r="I524" s="60" t="s">
        <v>2277</v>
      </c>
      <c r="J524" s="61">
        <v>5</v>
      </c>
    </row>
    <row r="525" spans="1:10">
      <c r="A525" s="62" t="s">
        <v>1661</v>
      </c>
      <c r="B525" s="62" t="s">
        <v>1008</v>
      </c>
      <c r="C525" s="62" t="s">
        <v>420</v>
      </c>
      <c r="D525" s="62" t="s">
        <v>420</v>
      </c>
      <c r="E525" s="62" t="s">
        <v>421</v>
      </c>
      <c r="F525" s="62" t="s">
        <v>1058</v>
      </c>
      <c r="G525" s="63">
        <v>8</v>
      </c>
      <c r="H525" s="62" t="s">
        <v>420</v>
      </c>
      <c r="I525" s="64" t="s">
        <v>450</v>
      </c>
      <c r="J525" s="65">
        <v>4</v>
      </c>
    </row>
    <row r="526" spans="1:10">
      <c r="A526" s="58" t="s">
        <v>1662</v>
      </c>
      <c r="B526" s="58" t="s">
        <v>1009</v>
      </c>
      <c r="C526" s="58" t="s">
        <v>420</v>
      </c>
      <c r="D526" s="58" t="s">
        <v>420</v>
      </c>
      <c r="E526" s="58" t="s">
        <v>435</v>
      </c>
      <c r="F526" s="58" t="s">
        <v>1058</v>
      </c>
      <c r="G526" s="59">
        <v>8</v>
      </c>
      <c r="H526" s="58" t="s">
        <v>420</v>
      </c>
      <c r="I526" s="60" t="s">
        <v>2277</v>
      </c>
      <c r="J526" s="61">
        <v>5</v>
      </c>
    </row>
    <row r="527" spans="1:10">
      <c r="A527" s="62" t="s">
        <v>1663</v>
      </c>
      <c r="B527" s="62" t="s">
        <v>1010</v>
      </c>
      <c r="C527" s="62" t="s">
        <v>420</v>
      </c>
      <c r="D527" s="62" t="s">
        <v>420</v>
      </c>
      <c r="E527" s="62" t="s">
        <v>434</v>
      </c>
      <c r="F527" s="62" t="s">
        <v>1058</v>
      </c>
      <c r="G527" s="63">
        <v>7</v>
      </c>
      <c r="H527" s="62" t="s">
        <v>2272</v>
      </c>
      <c r="I527" s="64" t="s">
        <v>450</v>
      </c>
      <c r="J527" s="65">
        <v>5</v>
      </c>
    </row>
    <row r="528" spans="1:10">
      <c r="A528" s="58" t="s">
        <v>1664</v>
      </c>
      <c r="B528" s="58" t="s">
        <v>1011</v>
      </c>
      <c r="C528" s="58" t="s">
        <v>420</v>
      </c>
      <c r="D528" s="58" t="s">
        <v>420</v>
      </c>
      <c r="E528" s="58" t="s">
        <v>434</v>
      </c>
      <c r="F528" s="58" t="s">
        <v>1058</v>
      </c>
      <c r="G528" s="59">
        <v>6</v>
      </c>
      <c r="H528" s="58" t="s">
        <v>420</v>
      </c>
      <c r="I528" s="60" t="s">
        <v>2277</v>
      </c>
      <c r="J528" s="61">
        <v>4</v>
      </c>
    </row>
    <row r="529" spans="1:10">
      <c r="A529" s="62" t="s">
        <v>1665</v>
      </c>
      <c r="B529" s="62" t="s">
        <v>1012</v>
      </c>
      <c r="C529" s="62" t="s">
        <v>420</v>
      </c>
      <c r="D529" s="62" t="s">
        <v>420</v>
      </c>
      <c r="E529" s="62" t="s">
        <v>431</v>
      </c>
      <c r="F529" s="62" t="s">
        <v>1057</v>
      </c>
      <c r="G529" s="63">
        <v>8</v>
      </c>
      <c r="H529" s="62" t="s">
        <v>420</v>
      </c>
      <c r="I529" s="64" t="s">
        <v>450</v>
      </c>
      <c r="J529" s="65">
        <v>4</v>
      </c>
    </row>
    <row r="530" spans="1:10">
      <c r="A530" s="58" t="s">
        <v>1666</v>
      </c>
      <c r="B530" s="58" t="s">
        <v>1013</v>
      </c>
      <c r="C530" s="58" t="s">
        <v>420</v>
      </c>
      <c r="D530" s="58" t="s">
        <v>420</v>
      </c>
      <c r="E530" s="58" t="s">
        <v>431</v>
      </c>
      <c r="F530" s="58" t="s">
        <v>1058</v>
      </c>
      <c r="G530" s="59">
        <v>7</v>
      </c>
      <c r="H530" s="58" t="s">
        <v>420</v>
      </c>
      <c r="I530" s="60" t="s">
        <v>450</v>
      </c>
      <c r="J530" s="61">
        <v>4</v>
      </c>
    </row>
    <row r="531" spans="1:10">
      <c r="A531" s="62" t="s">
        <v>1667</v>
      </c>
      <c r="B531" s="62" t="s">
        <v>1014</v>
      </c>
      <c r="C531" s="62" t="s">
        <v>423</v>
      </c>
      <c r="D531" s="62" t="s">
        <v>423</v>
      </c>
      <c r="E531" s="62" t="s">
        <v>434</v>
      </c>
      <c r="F531" s="62" t="s">
        <v>1058</v>
      </c>
      <c r="G531" s="63">
        <v>8</v>
      </c>
      <c r="H531" s="62" t="s">
        <v>420</v>
      </c>
      <c r="I531" s="64" t="s">
        <v>450</v>
      </c>
      <c r="J531" s="65">
        <v>7</v>
      </c>
    </row>
    <row r="532" spans="1:10">
      <c r="A532" s="58" t="s">
        <v>1668</v>
      </c>
      <c r="B532" s="58" t="s">
        <v>1015</v>
      </c>
      <c r="C532" s="58" t="s">
        <v>423</v>
      </c>
      <c r="D532" s="58" t="s">
        <v>423</v>
      </c>
      <c r="E532" s="58" t="s">
        <v>435</v>
      </c>
      <c r="F532" s="58" t="s">
        <v>1058</v>
      </c>
      <c r="G532" s="59">
        <v>5</v>
      </c>
      <c r="H532" s="58" t="s">
        <v>2275</v>
      </c>
      <c r="I532" s="60" t="s">
        <v>450</v>
      </c>
      <c r="J532" s="61">
        <v>5</v>
      </c>
    </row>
    <row r="533" spans="1:10">
      <c r="A533" s="62" t="s">
        <v>1669</v>
      </c>
      <c r="B533" s="62" t="s">
        <v>1016</v>
      </c>
      <c r="C533" s="62" t="s">
        <v>423</v>
      </c>
      <c r="D533" s="62" t="s">
        <v>423</v>
      </c>
      <c r="E533" s="62" t="s">
        <v>434</v>
      </c>
      <c r="F533" s="62" t="s">
        <v>1058</v>
      </c>
      <c r="G533" s="63">
        <v>7</v>
      </c>
      <c r="H533" s="62" t="s">
        <v>420</v>
      </c>
      <c r="I533" s="64" t="s">
        <v>450</v>
      </c>
      <c r="J533" s="65">
        <v>5</v>
      </c>
    </row>
    <row r="534" spans="1:10">
      <c r="A534" s="58" t="s">
        <v>1670</v>
      </c>
      <c r="B534" s="58" t="s">
        <v>1017</v>
      </c>
      <c r="C534" s="58" t="s">
        <v>420</v>
      </c>
      <c r="D534" s="58" t="s">
        <v>420</v>
      </c>
      <c r="E534" s="58" t="s">
        <v>434</v>
      </c>
      <c r="F534" s="58" t="s">
        <v>1058</v>
      </c>
      <c r="G534" s="59">
        <v>6</v>
      </c>
      <c r="H534" s="58" t="s">
        <v>420</v>
      </c>
      <c r="I534" s="60" t="s">
        <v>2277</v>
      </c>
      <c r="J534" s="61">
        <v>8</v>
      </c>
    </row>
    <row r="535" spans="1:10">
      <c r="A535" s="62" t="s">
        <v>1671</v>
      </c>
      <c r="B535" s="62" t="s">
        <v>1018</v>
      </c>
      <c r="C535" s="62" t="s">
        <v>420</v>
      </c>
      <c r="D535" s="62" t="s">
        <v>420</v>
      </c>
      <c r="E535" s="62" t="s">
        <v>435</v>
      </c>
      <c r="F535" s="62" t="s">
        <v>1058</v>
      </c>
      <c r="G535" s="63">
        <v>6</v>
      </c>
      <c r="H535" s="62" t="s">
        <v>2273</v>
      </c>
      <c r="I535" s="64" t="s">
        <v>2277</v>
      </c>
      <c r="J535" s="65">
        <v>3</v>
      </c>
    </row>
    <row r="536" spans="1:10">
      <c r="A536" s="58" t="s">
        <v>1672</v>
      </c>
      <c r="B536" s="58" t="s">
        <v>1019</v>
      </c>
      <c r="C536" s="58" t="s">
        <v>420</v>
      </c>
      <c r="D536" s="58" t="s">
        <v>420</v>
      </c>
      <c r="E536" s="58" t="s">
        <v>426</v>
      </c>
      <c r="F536" s="58" t="s">
        <v>1058</v>
      </c>
      <c r="G536" s="59">
        <v>6.3008333333333297</v>
      </c>
      <c r="H536" s="58" t="s">
        <v>420</v>
      </c>
      <c r="I536" s="60" t="s">
        <v>2277</v>
      </c>
      <c r="J536" s="61">
        <v>4</v>
      </c>
    </row>
    <row r="537" spans="1:10">
      <c r="A537" s="62" t="s">
        <v>1673</v>
      </c>
      <c r="B537" s="62" t="s">
        <v>1020</v>
      </c>
      <c r="C537" s="62" t="s">
        <v>420</v>
      </c>
      <c r="D537" s="62" t="s">
        <v>420</v>
      </c>
      <c r="E537" s="62" t="s">
        <v>435</v>
      </c>
      <c r="F537" s="62" t="s">
        <v>1058</v>
      </c>
      <c r="G537" s="63">
        <v>7</v>
      </c>
      <c r="H537" s="62" t="s">
        <v>420</v>
      </c>
      <c r="I537" s="64" t="s">
        <v>450</v>
      </c>
      <c r="J537" s="65">
        <v>7</v>
      </c>
    </row>
    <row r="538" spans="1:10">
      <c r="A538" s="58" t="s">
        <v>1674</v>
      </c>
      <c r="B538" s="58" t="s">
        <v>1021</v>
      </c>
      <c r="C538" s="58" t="s">
        <v>420</v>
      </c>
      <c r="D538" s="58" t="s">
        <v>420</v>
      </c>
      <c r="E538" s="58" t="s">
        <v>434</v>
      </c>
      <c r="F538" s="58" t="s">
        <v>1058</v>
      </c>
      <c r="G538" s="59">
        <v>6</v>
      </c>
      <c r="H538" s="58" t="s">
        <v>2274</v>
      </c>
      <c r="I538" s="60" t="s">
        <v>450</v>
      </c>
      <c r="J538" s="61">
        <v>3</v>
      </c>
    </row>
    <row r="539" spans="1:10">
      <c r="A539" s="62" t="s">
        <v>1675</v>
      </c>
      <c r="B539" s="62" t="s">
        <v>1022</v>
      </c>
      <c r="C539" s="62" t="s">
        <v>420</v>
      </c>
      <c r="D539" s="62" t="s">
        <v>420</v>
      </c>
      <c r="E539" s="62" t="s">
        <v>435</v>
      </c>
      <c r="F539" s="62" t="s">
        <v>1058</v>
      </c>
      <c r="G539" s="63">
        <v>6</v>
      </c>
      <c r="H539" s="62" t="s">
        <v>420</v>
      </c>
      <c r="I539" s="64" t="s">
        <v>450</v>
      </c>
      <c r="J539" s="65">
        <v>6</v>
      </c>
    </row>
    <row r="540" spans="1:10">
      <c r="A540" s="58" t="s">
        <v>1676</v>
      </c>
      <c r="B540" s="58" t="s">
        <v>1023</v>
      </c>
      <c r="C540" s="58" t="s">
        <v>420</v>
      </c>
      <c r="D540" s="58" t="s">
        <v>420</v>
      </c>
      <c r="E540" s="58" t="s">
        <v>435</v>
      </c>
      <c r="F540" s="58" t="s">
        <v>1058</v>
      </c>
      <c r="G540" s="59">
        <v>8</v>
      </c>
      <c r="H540" s="58" t="s">
        <v>420</v>
      </c>
      <c r="I540" s="60" t="s">
        <v>2277</v>
      </c>
      <c r="J540" s="61">
        <v>5</v>
      </c>
    </row>
    <row r="541" spans="1:10">
      <c r="A541" s="62" t="s">
        <v>1677</v>
      </c>
      <c r="B541" s="62" t="s">
        <v>1024</v>
      </c>
      <c r="C541" s="62" t="s">
        <v>420</v>
      </c>
      <c r="D541" s="62" t="s">
        <v>420</v>
      </c>
      <c r="E541" s="62" t="s">
        <v>435</v>
      </c>
      <c r="F541" s="62" t="s">
        <v>1058</v>
      </c>
      <c r="G541" s="63">
        <v>6</v>
      </c>
      <c r="H541" s="62" t="s">
        <v>420</v>
      </c>
      <c r="I541" s="64" t="s">
        <v>450</v>
      </c>
      <c r="J541" s="65">
        <v>6</v>
      </c>
    </row>
    <row r="542" spans="1:10">
      <c r="A542" s="58" t="s">
        <v>1678</v>
      </c>
      <c r="B542" s="58" t="s">
        <v>1025</v>
      </c>
      <c r="C542" s="58" t="s">
        <v>420</v>
      </c>
      <c r="D542" s="58" t="s">
        <v>420</v>
      </c>
      <c r="E542" s="58" t="s">
        <v>435</v>
      </c>
      <c r="F542" s="58" t="s">
        <v>1058</v>
      </c>
      <c r="G542" s="59">
        <v>8</v>
      </c>
      <c r="H542" s="58" t="s">
        <v>420</v>
      </c>
      <c r="I542" s="60" t="s">
        <v>450</v>
      </c>
      <c r="J542" s="61">
        <v>6</v>
      </c>
    </row>
    <row r="543" spans="1:10">
      <c r="A543" s="62" t="s">
        <v>1679</v>
      </c>
      <c r="B543" s="62" t="s">
        <v>1026</v>
      </c>
      <c r="C543" s="62" t="s">
        <v>420</v>
      </c>
      <c r="D543" s="62" t="s">
        <v>420</v>
      </c>
      <c r="E543" s="62" t="s">
        <v>435</v>
      </c>
      <c r="F543" s="62" t="s">
        <v>1057</v>
      </c>
      <c r="G543" s="63">
        <v>7</v>
      </c>
      <c r="H543" s="62" t="s">
        <v>420</v>
      </c>
      <c r="I543" s="64" t="s">
        <v>2278</v>
      </c>
      <c r="J543" s="65">
        <v>3</v>
      </c>
    </row>
    <row r="544" spans="1:10">
      <c r="A544" s="58" t="s">
        <v>1680</v>
      </c>
      <c r="B544" s="58" t="s">
        <v>1027</v>
      </c>
      <c r="C544" s="58" t="s">
        <v>420</v>
      </c>
      <c r="D544" s="58" t="s">
        <v>420</v>
      </c>
      <c r="E544" s="58" t="s">
        <v>421</v>
      </c>
      <c r="F544" s="58" t="s">
        <v>1058</v>
      </c>
      <c r="G544" s="59">
        <v>8</v>
      </c>
      <c r="H544" s="58" t="s">
        <v>420</v>
      </c>
      <c r="I544" s="60" t="s">
        <v>450</v>
      </c>
      <c r="J544" s="61">
        <v>4</v>
      </c>
    </row>
    <row r="545" spans="1:10">
      <c r="A545" s="62" t="s">
        <v>1681</v>
      </c>
      <c r="B545" s="62" t="s">
        <v>1028</v>
      </c>
      <c r="C545" s="62" t="s">
        <v>420</v>
      </c>
      <c r="D545" s="62" t="s">
        <v>420</v>
      </c>
      <c r="E545" s="62" t="s">
        <v>435</v>
      </c>
      <c r="F545" s="62" t="s">
        <v>1058</v>
      </c>
      <c r="G545" s="63">
        <v>6</v>
      </c>
      <c r="H545" s="62" t="s">
        <v>420</v>
      </c>
      <c r="I545" s="64" t="s">
        <v>2277</v>
      </c>
      <c r="J545" s="65">
        <v>6</v>
      </c>
    </row>
    <row r="546" spans="1:10">
      <c r="A546" s="58" t="s">
        <v>1682</v>
      </c>
      <c r="B546" s="58" t="s">
        <v>1029</v>
      </c>
      <c r="C546" s="58" t="s">
        <v>420</v>
      </c>
      <c r="D546" s="58" t="s">
        <v>420</v>
      </c>
      <c r="E546" s="58" t="s">
        <v>431</v>
      </c>
      <c r="F546" s="58" t="s">
        <v>1058</v>
      </c>
      <c r="G546" s="59">
        <v>7</v>
      </c>
      <c r="H546" s="58" t="s">
        <v>420</v>
      </c>
      <c r="I546" s="60" t="s">
        <v>450</v>
      </c>
      <c r="J546" s="61">
        <v>5</v>
      </c>
    </row>
    <row r="547" spans="1:10">
      <c r="A547" s="62" t="s">
        <v>1683</v>
      </c>
      <c r="B547" s="62" t="s">
        <v>1030</v>
      </c>
      <c r="C547" s="62" t="s">
        <v>423</v>
      </c>
      <c r="D547" s="62" t="s">
        <v>423</v>
      </c>
      <c r="E547" s="62" t="s">
        <v>435</v>
      </c>
      <c r="F547" s="62" t="s">
        <v>1058</v>
      </c>
      <c r="G547" s="63">
        <v>6</v>
      </c>
      <c r="H547" s="62" t="s">
        <v>420</v>
      </c>
      <c r="I547" s="64" t="s">
        <v>2277</v>
      </c>
      <c r="J547" s="65">
        <v>6</v>
      </c>
    </row>
    <row r="548" spans="1:10">
      <c r="A548" s="58" t="s">
        <v>1684</v>
      </c>
      <c r="B548" s="58" t="s">
        <v>1031</v>
      </c>
      <c r="C548" s="58" t="s">
        <v>420</v>
      </c>
      <c r="D548" s="58" t="s">
        <v>420</v>
      </c>
      <c r="E548" s="58" t="s">
        <v>431</v>
      </c>
      <c r="F548" s="58" t="s">
        <v>1058</v>
      </c>
      <c r="G548" s="59">
        <v>6</v>
      </c>
      <c r="H548" s="58" t="s">
        <v>420</v>
      </c>
      <c r="I548" s="60" t="s">
        <v>2277</v>
      </c>
      <c r="J548" s="61">
        <v>5</v>
      </c>
    </row>
    <row r="549" spans="1:10">
      <c r="A549" s="62" t="s">
        <v>1685</v>
      </c>
      <c r="B549" s="62" t="s">
        <v>1032</v>
      </c>
      <c r="C549" s="62" t="s">
        <v>420</v>
      </c>
      <c r="D549" s="62" t="s">
        <v>420</v>
      </c>
      <c r="E549" s="62" t="s">
        <v>421</v>
      </c>
      <c r="F549" s="62" t="s">
        <v>1058</v>
      </c>
      <c r="G549" s="63">
        <v>8</v>
      </c>
      <c r="H549" s="62" t="s">
        <v>420</v>
      </c>
      <c r="I549" s="64" t="s">
        <v>450</v>
      </c>
      <c r="J549" s="65">
        <v>4</v>
      </c>
    </row>
    <row r="550" spans="1:10">
      <c r="A550" s="58" t="s">
        <v>1686</v>
      </c>
      <c r="B550" s="58" t="s">
        <v>1033</v>
      </c>
      <c r="C550" s="58" t="s">
        <v>420</v>
      </c>
      <c r="D550" s="58" t="s">
        <v>420</v>
      </c>
      <c r="E550" s="58" t="s">
        <v>435</v>
      </c>
      <c r="F550" s="58" t="s">
        <v>1058</v>
      </c>
      <c r="G550" s="59">
        <v>8</v>
      </c>
      <c r="H550" s="58" t="s">
        <v>420</v>
      </c>
      <c r="I550" s="60" t="s">
        <v>2277</v>
      </c>
      <c r="J550" s="61">
        <v>5</v>
      </c>
    </row>
    <row r="551" spans="1:10">
      <c r="A551" s="62" t="s">
        <v>1687</v>
      </c>
      <c r="B551" s="62" t="s">
        <v>1034</v>
      </c>
      <c r="C551" s="62" t="s">
        <v>420</v>
      </c>
      <c r="D551" s="62" t="s">
        <v>420</v>
      </c>
      <c r="E551" s="62" t="s">
        <v>434</v>
      </c>
      <c r="F551" s="62" t="s">
        <v>1058</v>
      </c>
      <c r="G551" s="63">
        <v>7</v>
      </c>
      <c r="H551" s="62" t="s">
        <v>2272</v>
      </c>
      <c r="I551" s="64" t="s">
        <v>450</v>
      </c>
      <c r="J551" s="65">
        <v>5</v>
      </c>
    </row>
    <row r="552" spans="1:10">
      <c r="A552" s="58" t="s">
        <v>1688</v>
      </c>
      <c r="B552" s="58" t="s">
        <v>1035</v>
      </c>
      <c r="C552" s="58" t="s">
        <v>420</v>
      </c>
      <c r="D552" s="58" t="s">
        <v>420</v>
      </c>
      <c r="E552" s="58" t="s">
        <v>434</v>
      </c>
      <c r="F552" s="58" t="s">
        <v>1058</v>
      </c>
      <c r="G552" s="59">
        <v>6</v>
      </c>
      <c r="H552" s="58" t="s">
        <v>420</v>
      </c>
      <c r="I552" s="60" t="s">
        <v>2277</v>
      </c>
      <c r="J552" s="61">
        <v>4</v>
      </c>
    </row>
    <row r="553" spans="1:10">
      <c r="A553" s="62" t="s">
        <v>1689</v>
      </c>
      <c r="B553" s="62" t="s">
        <v>1036</v>
      </c>
      <c r="C553" s="62" t="s">
        <v>420</v>
      </c>
      <c r="D553" s="62" t="s">
        <v>420</v>
      </c>
      <c r="E553" s="62" t="s">
        <v>431</v>
      </c>
      <c r="F553" s="62" t="s">
        <v>1057</v>
      </c>
      <c r="G553" s="63">
        <v>8</v>
      </c>
      <c r="H553" s="62" t="s">
        <v>420</v>
      </c>
      <c r="I553" s="64" t="s">
        <v>450</v>
      </c>
      <c r="J553" s="65">
        <v>4</v>
      </c>
    </row>
    <row r="554" spans="1:10">
      <c r="A554" s="58" t="s">
        <v>1690</v>
      </c>
      <c r="B554" s="58" t="s">
        <v>1037</v>
      </c>
      <c r="C554" s="58" t="s">
        <v>420</v>
      </c>
      <c r="D554" s="58" t="s">
        <v>420</v>
      </c>
      <c r="E554" s="58" t="s">
        <v>431</v>
      </c>
      <c r="F554" s="58" t="s">
        <v>1058</v>
      </c>
      <c r="G554" s="59">
        <v>7</v>
      </c>
      <c r="H554" s="58" t="s">
        <v>420</v>
      </c>
      <c r="I554" s="60" t="s">
        <v>450</v>
      </c>
      <c r="J554" s="61">
        <v>4</v>
      </c>
    </row>
    <row r="555" spans="1:10">
      <c r="A555" s="62" t="s">
        <v>1691</v>
      </c>
      <c r="B555" s="62" t="s">
        <v>1038</v>
      </c>
      <c r="C555" s="62" t="s">
        <v>423</v>
      </c>
      <c r="D555" s="62" t="s">
        <v>423</v>
      </c>
      <c r="E555" s="62" t="s">
        <v>434</v>
      </c>
      <c r="F555" s="62" t="s">
        <v>1058</v>
      </c>
      <c r="G555" s="63">
        <v>8</v>
      </c>
      <c r="H555" s="62" t="s">
        <v>420</v>
      </c>
      <c r="I555" s="64" t="s">
        <v>450</v>
      </c>
      <c r="J555" s="65">
        <v>7</v>
      </c>
    </row>
    <row r="556" spans="1:10">
      <c r="A556" s="58" t="s">
        <v>1692</v>
      </c>
      <c r="B556" s="58" t="s">
        <v>1039</v>
      </c>
      <c r="C556" s="58" t="s">
        <v>423</v>
      </c>
      <c r="D556" s="58" t="s">
        <v>423</v>
      </c>
      <c r="E556" s="58" t="s">
        <v>435</v>
      </c>
      <c r="F556" s="58" t="s">
        <v>1058</v>
      </c>
      <c r="G556" s="59">
        <v>5</v>
      </c>
      <c r="H556" s="58" t="s">
        <v>2275</v>
      </c>
      <c r="I556" s="60" t="s">
        <v>450</v>
      </c>
      <c r="J556" s="61">
        <v>5</v>
      </c>
    </row>
    <row r="557" spans="1:10">
      <c r="A557" s="62" t="s">
        <v>1693</v>
      </c>
      <c r="B557" s="62" t="s">
        <v>1040</v>
      </c>
      <c r="C557" s="62" t="s">
        <v>423</v>
      </c>
      <c r="D557" s="62" t="s">
        <v>423</v>
      </c>
      <c r="E557" s="62" t="s">
        <v>434</v>
      </c>
      <c r="F557" s="62" t="s">
        <v>1058</v>
      </c>
      <c r="G557" s="63">
        <v>7</v>
      </c>
      <c r="H557" s="62" t="s">
        <v>420</v>
      </c>
      <c r="I557" s="64" t="s">
        <v>450</v>
      </c>
      <c r="J557" s="65">
        <v>5</v>
      </c>
    </row>
    <row r="558" spans="1:10">
      <c r="A558" s="58" t="s">
        <v>1694</v>
      </c>
      <c r="B558" s="58" t="s">
        <v>1041</v>
      </c>
      <c r="C558" s="58" t="s">
        <v>420</v>
      </c>
      <c r="D558" s="58" t="s">
        <v>420</v>
      </c>
      <c r="E558" s="58" t="s">
        <v>434</v>
      </c>
      <c r="F558" s="58" t="s">
        <v>1058</v>
      </c>
      <c r="G558" s="59">
        <v>6</v>
      </c>
      <c r="H558" s="58" t="s">
        <v>420</v>
      </c>
      <c r="I558" s="60" t="s">
        <v>2277</v>
      </c>
      <c r="J558" s="61">
        <v>8</v>
      </c>
    </row>
    <row r="559" spans="1:10">
      <c r="A559" s="62" t="s">
        <v>1695</v>
      </c>
      <c r="B559" s="62" t="s">
        <v>1042</v>
      </c>
      <c r="C559" s="62" t="s">
        <v>420</v>
      </c>
      <c r="D559" s="62" t="s">
        <v>420</v>
      </c>
      <c r="E559" s="62" t="s">
        <v>435</v>
      </c>
      <c r="F559" s="62" t="s">
        <v>1058</v>
      </c>
      <c r="G559" s="63">
        <v>6</v>
      </c>
      <c r="H559" s="62" t="s">
        <v>2273</v>
      </c>
      <c r="I559" s="64" t="s">
        <v>2277</v>
      </c>
      <c r="J559" s="65">
        <v>3</v>
      </c>
    </row>
    <row r="560" spans="1:10">
      <c r="A560" s="58" t="s">
        <v>1696</v>
      </c>
      <c r="B560" s="58" t="s">
        <v>1043</v>
      </c>
      <c r="C560" s="58" t="s">
        <v>420</v>
      </c>
      <c r="D560" s="58" t="s">
        <v>420</v>
      </c>
      <c r="E560" s="58" t="s">
        <v>426</v>
      </c>
      <c r="F560" s="58" t="s">
        <v>1058</v>
      </c>
      <c r="G560" s="59">
        <v>6.3</v>
      </c>
      <c r="H560" s="58" t="s">
        <v>420</v>
      </c>
      <c r="I560" s="60" t="s">
        <v>2277</v>
      </c>
      <c r="J560" s="61">
        <v>4</v>
      </c>
    </row>
    <row r="561" spans="1:10">
      <c r="A561" s="62" t="s">
        <v>1697</v>
      </c>
      <c r="B561" s="62" t="s">
        <v>1044</v>
      </c>
      <c r="C561" s="62" t="s">
        <v>420</v>
      </c>
      <c r="D561" s="62" t="s">
        <v>420</v>
      </c>
      <c r="E561" s="62" t="s">
        <v>435</v>
      </c>
      <c r="F561" s="62" t="s">
        <v>1058</v>
      </c>
      <c r="G561" s="63">
        <v>7</v>
      </c>
      <c r="H561" s="62" t="s">
        <v>420</v>
      </c>
      <c r="I561" s="64" t="s">
        <v>450</v>
      </c>
      <c r="J561" s="65">
        <v>7</v>
      </c>
    </row>
    <row r="562" spans="1:10">
      <c r="A562" s="58" t="s">
        <v>1698</v>
      </c>
      <c r="B562" s="58" t="s">
        <v>1045</v>
      </c>
      <c r="C562" s="58" t="s">
        <v>420</v>
      </c>
      <c r="D562" s="58" t="s">
        <v>420</v>
      </c>
      <c r="E562" s="58" t="s">
        <v>434</v>
      </c>
      <c r="F562" s="58" t="s">
        <v>1058</v>
      </c>
      <c r="G562" s="59">
        <v>6</v>
      </c>
      <c r="H562" s="58" t="s">
        <v>2274</v>
      </c>
      <c r="I562" s="60" t="s">
        <v>450</v>
      </c>
      <c r="J562" s="61">
        <v>3</v>
      </c>
    </row>
    <row r="563" spans="1:10">
      <c r="A563" s="62" t="s">
        <v>1699</v>
      </c>
      <c r="B563" s="62" t="s">
        <v>1046</v>
      </c>
      <c r="C563" s="62" t="s">
        <v>420</v>
      </c>
      <c r="D563" s="62" t="s">
        <v>420</v>
      </c>
      <c r="E563" s="62" t="s">
        <v>435</v>
      </c>
      <c r="F563" s="62" t="s">
        <v>1058</v>
      </c>
      <c r="G563" s="63">
        <v>6</v>
      </c>
      <c r="H563" s="62" t="s">
        <v>420</v>
      </c>
      <c r="I563" s="64" t="s">
        <v>450</v>
      </c>
      <c r="J563" s="65">
        <v>6</v>
      </c>
    </row>
    <row r="564" spans="1:10">
      <c r="A564" s="58" t="s">
        <v>1700</v>
      </c>
      <c r="B564" s="58" t="s">
        <v>1047</v>
      </c>
      <c r="C564" s="58" t="s">
        <v>420</v>
      </c>
      <c r="D564" s="58" t="s">
        <v>420</v>
      </c>
      <c r="E564" s="58" t="s">
        <v>435</v>
      </c>
      <c r="F564" s="58" t="s">
        <v>1058</v>
      </c>
      <c r="G564" s="59">
        <v>8</v>
      </c>
      <c r="H564" s="58" t="s">
        <v>420</v>
      </c>
      <c r="I564" s="60" t="s">
        <v>2277</v>
      </c>
      <c r="J564" s="61">
        <v>5</v>
      </c>
    </row>
    <row r="565" spans="1:10">
      <c r="A565" s="62" t="s">
        <v>1701</v>
      </c>
      <c r="B565" s="62" t="s">
        <v>1048</v>
      </c>
      <c r="C565" s="62" t="s">
        <v>420</v>
      </c>
      <c r="D565" s="62" t="s">
        <v>420</v>
      </c>
      <c r="E565" s="62" t="s">
        <v>435</v>
      </c>
      <c r="F565" s="62" t="s">
        <v>1058</v>
      </c>
      <c r="G565" s="63">
        <v>6</v>
      </c>
      <c r="H565" s="62" t="s">
        <v>420</v>
      </c>
      <c r="I565" s="64" t="s">
        <v>450</v>
      </c>
      <c r="J565" s="65">
        <v>6</v>
      </c>
    </row>
    <row r="566" spans="1:10">
      <c r="A566" s="58" t="s">
        <v>1702</v>
      </c>
      <c r="B566" s="58" t="s">
        <v>1049</v>
      </c>
      <c r="C566" s="58" t="s">
        <v>420</v>
      </c>
      <c r="D566" s="58" t="s">
        <v>420</v>
      </c>
      <c r="E566" s="58" t="s">
        <v>435</v>
      </c>
      <c r="F566" s="58" t="s">
        <v>1058</v>
      </c>
      <c r="G566" s="59">
        <v>8</v>
      </c>
      <c r="H566" s="58" t="s">
        <v>420</v>
      </c>
      <c r="I566" s="60" t="s">
        <v>450</v>
      </c>
      <c r="J566" s="61">
        <v>6</v>
      </c>
    </row>
    <row r="567" spans="1:10">
      <c r="A567" s="62" t="s">
        <v>1703</v>
      </c>
      <c r="B567" s="62" t="s">
        <v>1050</v>
      </c>
      <c r="C567" s="62" t="s">
        <v>420</v>
      </c>
      <c r="D567" s="62" t="s">
        <v>420</v>
      </c>
      <c r="E567" s="62" t="s">
        <v>435</v>
      </c>
      <c r="F567" s="62" t="s">
        <v>1057</v>
      </c>
      <c r="G567" s="63">
        <v>7</v>
      </c>
      <c r="H567" s="62" t="s">
        <v>420</v>
      </c>
      <c r="I567" s="64" t="s">
        <v>2278</v>
      </c>
      <c r="J567" s="65">
        <v>3</v>
      </c>
    </row>
    <row r="568" spans="1:10">
      <c r="A568" s="58" t="s">
        <v>1704</v>
      </c>
      <c r="B568" s="58" t="s">
        <v>1051</v>
      </c>
      <c r="C568" s="58" t="s">
        <v>420</v>
      </c>
      <c r="D568" s="58" t="s">
        <v>420</v>
      </c>
      <c r="E568" s="58" t="s">
        <v>421</v>
      </c>
      <c r="F568" s="58" t="s">
        <v>1058</v>
      </c>
      <c r="G568" s="59">
        <v>8</v>
      </c>
      <c r="H568" s="58" t="s">
        <v>420</v>
      </c>
      <c r="I568" s="60" t="s">
        <v>450</v>
      </c>
      <c r="J568" s="61">
        <v>4</v>
      </c>
    </row>
    <row r="569" spans="1:10">
      <c r="A569" s="62" t="s">
        <v>1705</v>
      </c>
      <c r="B569" s="62" t="s">
        <v>1052</v>
      </c>
      <c r="C569" s="62" t="s">
        <v>420</v>
      </c>
      <c r="D569" s="62" t="s">
        <v>420</v>
      </c>
      <c r="E569" s="62" t="s">
        <v>435</v>
      </c>
      <c r="F569" s="62" t="s">
        <v>1058</v>
      </c>
      <c r="G569" s="63">
        <v>6</v>
      </c>
      <c r="H569" s="62" t="s">
        <v>420</v>
      </c>
      <c r="I569" s="64" t="s">
        <v>2277</v>
      </c>
      <c r="J569" s="65">
        <v>6</v>
      </c>
    </row>
    <row r="570" spans="1:10">
      <c r="A570" s="58" t="s">
        <v>1706</v>
      </c>
      <c r="B570" s="58" t="s">
        <v>1053</v>
      </c>
      <c r="C570" s="58" t="s">
        <v>420</v>
      </c>
      <c r="D570" s="58" t="s">
        <v>420</v>
      </c>
      <c r="E570" s="58" t="s">
        <v>431</v>
      </c>
      <c r="F570" s="58" t="s">
        <v>1058</v>
      </c>
      <c r="G570" s="59">
        <v>7</v>
      </c>
      <c r="H570" s="58" t="s">
        <v>420</v>
      </c>
      <c r="I570" s="60" t="s">
        <v>450</v>
      </c>
      <c r="J570" s="61">
        <v>5</v>
      </c>
    </row>
    <row r="571" spans="1:10">
      <c r="A571" s="66"/>
      <c r="B571" s="67"/>
      <c r="C571" s="67"/>
      <c r="D571" s="67"/>
      <c r="E571" s="67" t="s">
        <v>483</v>
      </c>
      <c r="F571" s="67"/>
      <c r="G571" s="68"/>
      <c r="H571" s="67"/>
      <c r="I571" s="69"/>
      <c r="J571" s="70"/>
    </row>
    <row r="572" spans="1:10">
      <c r="A572" s="71"/>
      <c r="B572" s="72"/>
      <c r="C572" s="72"/>
      <c r="D572" s="72"/>
      <c r="E572" s="72" t="s">
        <v>483</v>
      </c>
      <c r="F572" s="72"/>
      <c r="G572" s="73"/>
      <c r="H572" s="72"/>
      <c r="I572" s="74"/>
      <c r="J572" s="75"/>
    </row>
    <row r="573" spans="1:10">
      <c r="A573" s="76"/>
      <c r="B573" s="77"/>
      <c r="C573" s="77"/>
      <c r="D573" s="77"/>
      <c r="E573" s="77" t="s">
        <v>483</v>
      </c>
      <c r="F573" s="77"/>
      <c r="G573" s="78"/>
      <c r="H573" s="77"/>
      <c r="I573" s="79"/>
      <c r="J573" s="80"/>
    </row>
  </sheetData>
  <autoFilter ref="G1:G573" xr:uid="{189F5300-5804-4CCC-9103-A13412BBD911}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8552-FC6D-4D78-A8B1-318BB4142B59}">
  <sheetPr>
    <tabColor theme="9" tint="0.39997558519241921"/>
  </sheetPr>
  <dimension ref="A1:G573"/>
  <sheetViews>
    <sheetView workbookViewId="0">
      <selection activeCell="E1" sqref="E1:E1048576"/>
    </sheetView>
  </sheetViews>
  <sheetFormatPr defaultRowHeight="14.4"/>
  <cols>
    <col min="1" max="1" width="10.21875" customWidth="1"/>
    <col min="2" max="2" width="17" customWidth="1"/>
    <col min="3" max="3" width="24.33203125" style="2" customWidth="1"/>
    <col min="4" max="4" width="24.88671875" customWidth="1"/>
    <col min="5" max="5" width="23.44140625" style="2" customWidth="1"/>
    <col min="6" max="6" width="22.88671875" style="2" customWidth="1"/>
    <col min="7" max="7" width="31.6640625" customWidth="1"/>
  </cols>
  <sheetData>
    <row r="1" spans="1:7">
      <c r="A1" s="23" t="s">
        <v>1707</v>
      </c>
      <c r="B1" s="26" t="s">
        <v>484</v>
      </c>
      <c r="C1" s="34" t="s">
        <v>7</v>
      </c>
      <c r="D1" s="24" t="s">
        <v>12</v>
      </c>
      <c r="E1" s="24" t="s">
        <v>11</v>
      </c>
      <c r="F1" s="24" t="s">
        <v>10</v>
      </c>
      <c r="G1" s="35" t="s">
        <v>9</v>
      </c>
    </row>
    <row r="2" spans="1:7">
      <c r="A2" s="21" t="s">
        <v>1708</v>
      </c>
      <c r="B2" s="3" t="s">
        <v>485</v>
      </c>
      <c r="C2" s="17" t="s">
        <v>422</v>
      </c>
      <c r="D2" s="3" t="s">
        <v>1062</v>
      </c>
      <c r="E2" s="8" t="s">
        <v>426</v>
      </c>
      <c r="F2" s="8" t="s">
        <v>1059</v>
      </c>
      <c r="G2" s="33" t="s">
        <v>423</v>
      </c>
    </row>
    <row r="3" spans="1:7">
      <c r="A3" s="21" t="s">
        <v>1709</v>
      </c>
      <c r="B3" s="3" t="s">
        <v>486</v>
      </c>
      <c r="C3" s="17" t="s">
        <v>422</v>
      </c>
      <c r="D3" s="3" t="s">
        <v>1062</v>
      </c>
      <c r="E3" s="8" t="s">
        <v>422</v>
      </c>
      <c r="F3" s="8" t="s">
        <v>1059</v>
      </c>
      <c r="G3" s="33" t="s">
        <v>423</v>
      </c>
    </row>
    <row r="4" spans="1:7">
      <c r="A4" s="21" t="s">
        <v>1710</v>
      </c>
      <c r="B4" s="3" t="s">
        <v>487</v>
      </c>
      <c r="C4" s="17" t="s">
        <v>422</v>
      </c>
      <c r="D4" s="3" t="s">
        <v>1062</v>
      </c>
      <c r="E4" s="8" t="s">
        <v>1073</v>
      </c>
      <c r="F4" s="8" t="s">
        <v>1059</v>
      </c>
      <c r="G4" s="33" t="s">
        <v>423</v>
      </c>
    </row>
    <row r="5" spans="1:7">
      <c r="A5" s="21" t="s">
        <v>1711</v>
      </c>
      <c r="B5" s="3" t="s">
        <v>488</v>
      </c>
      <c r="C5" s="17" t="s">
        <v>422</v>
      </c>
      <c r="D5" s="3" t="s">
        <v>1062</v>
      </c>
      <c r="E5" s="8" t="s">
        <v>422</v>
      </c>
      <c r="F5" s="8" t="s">
        <v>1059</v>
      </c>
      <c r="G5" s="33" t="s">
        <v>423</v>
      </c>
    </row>
    <row r="6" spans="1:7">
      <c r="A6" s="21" t="s">
        <v>1712</v>
      </c>
      <c r="B6" s="3" t="s">
        <v>489</v>
      </c>
      <c r="C6" s="17" t="s">
        <v>422</v>
      </c>
      <c r="D6" s="3" t="s">
        <v>1062</v>
      </c>
      <c r="E6" s="8" t="s">
        <v>422</v>
      </c>
      <c r="F6" s="8" t="s">
        <v>1059</v>
      </c>
      <c r="G6" s="33" t="s">
        <v>423</v>
      </c>
    </row>
    <row r="7" spans="1:7">
      <c r="A7" s="21" t="s">
        <v>1713</v>
      </c>
      <c r="B7" s="3" t="s">
        <v>490</v>
      </c>
      <c r="C7" s="17" t="s">
        <v>426</v>
      </c>
      <c r="D7" s="3" t="s">
        <v>1062</v>
      </c>
      <c r="E7" s="8" t="s">
        <v>422</v>
      </c>
      <c r="F7" s="8" t="s">
        <v>1059</v>
      </c>
      <c r="G7" s="33" t="s">
        <v>423</v>
      </c>
    </row>
    <row r="8" spans="1:7">
      <c r="A8" s="21" t="s">
        <v>1714</v>
      </c>
      <c r="B8" s="3" t="s">
        <v>491</v>
      </c>
      <c r="C8" s="17" t="s">
        <v>422</v>
      </c>
      <c r="D8" s="3" t="s">
        <v>1062</v>
      </c>
      <c r="E8" s="8" t="s">
        <v>1061</v>
      </c>
      <c r="F8" s="8" t="s">
        <v>1059</v>
      </c>
      <c r="G8" s="33" t="s">
        <v>423</v>
      </c>
    </row>
    <row r="9" spans="1:7">
      <c r="A9" s="21" t="s">
        <v>1715</v>
      </c>
      <c r="B9" s="3" t="s">
        <v>492</v>
      </c>
      <c r="C9" s="17" t="s">
        <v>422</v>
      </c>
      <c r="D9" s="3" t="s">
        <v>1062</v>
      </c>
      <c r="E9" s="8" t="s">
        <v>422</v>
      </c>
      <c r="F9" s="8" t="s">
        <v>1059</v>
      </c>
      <c r="G9" s="33" t="s">
        <v>423</v>
      </c>
    </row>
    <row r="10" spans="1:7">
      <c r="A10" s="21" t="s">
        <v>1716</v>
      </c>
      <c r="B10" s="3" t="s">
        <v>493</v>
      </c>
      <c r="C10" s="17" t="s">
        <v>422</v>
      </c>
      <c r="D10" s="3" t="s">
        <v>1062</v>
      </c>
      <c r="E10" s="8" t="s">
        <v>422</v>
      </c>
      <c r="F10" s="8" t="s">
        <v>1059</v>
      </c>
      <c r="G10" s="33" t="s">
        <v>423</v>
      </c>
    </row>
    <row r="11" spans="1:7">
      <c r="A11" s="21" t="s">
        <v>1717</v>
      </c>
      <c r="B11" s="3" t="s">
        <v>494</v>
      </c>
      <c r="C11" s="17" t="s">
        <v>426</v>
      </c>
      <c r="D11" s="3" t="s">
        <v>426</v>
      </c>
      <c r="E11" s="8" t="s">
        <v>1061</v>
      </c>
      <c r="F11" s="8" t="s">
        <v>1059</v>
      </c>
      <c r="G11" s="33" t="s">
        <v>423</v>
      </c>
    </row>
    <row r="12" spans="1:7">
      <c r="A12" s="21" t="s">
        <v>1718</v>
      </c>
      <c r="B12" s="3" t="s">
        <v>495</v>
      </c>
      <c r="C12" s="17" t="s">
        <v>426</v>
      </c>
      <c r="D12" s="3" t="s">
        <v>1063</v>
      </c>
      <c r="E12" s="8" t="s">
        <v>422</v>
      </c>
      <c r="F12" s="8" t="s">
        <v>1059</v>
      </c>
      <c r="G12" s="33" t="s">
        <v>423</v>
      </c>
    </row>
    <row r="13" spans="1:7">
      <c r="A13" s="21" t="s">
        <v>1719</v>
      </c>
      <c r="B13" s="3" t="s">
        <v>496</v>
      </c>
      <c r="C13" s="17" t="s">
        <v>429</v>
      </c>
      <c r="D13" s="3" t="s">
        <v>1064</v>
      </c>
      <c r="E13" s="8" t="s">
        <v>426</v>
      </c>
      <c r="F13" s="8" t="s">
        <v>1059</v>
      </c>
      <c r="G13" s="33" t="s">
        <v>423</v>
      </c>
    </row>
    <row r="14" spans="1:7">
      <c r="A14" s="21" t="s">
        <v>1720</v>
      </c>
      <c r="B14" s="3" t="s">
        <v>497</v>
      </c>
      <c r="C14" s="17" t="s">
        <v>422</v>
      </c>
      <c r="D14" s="3" t="s">
        <v>1063</v>
      </c>
      <c r="E14" s="8" t="s">
        <v>422</v>
      </c>
      <c r="F14" s="8" t="s">
        <v>1059</v>
      </c>
      <c r="G14" s="33" t="s">
        <v>423</v>
      </c>
    </row>
    <row r="15" spans="1:7">
      <c r="A15" s="21" t="s">
        <v>1721</v>
      </c>
      <c r="B15" s="3" t="s">
        <v>498</v>
      </c>
      <c r="C15" s="17" t="s">
        <v>422</v>
      </c>
      <c r="D15" s="3" t="s">
        <v>1063</v>
      </c>
      <c r="E15" s="8" t="s">
        <v>422</v>
      </c>
      <c r="F15" s="8" t="s">
        <v>1059</v>
      </c>
      <c r="G15" s="33" t="s">
        <v>423</v>
      </c>
    </row>
    <row r="16" spans="1:7">
      <c r="A16" s="21" t="s">
        <v>1127</v>
      </c>
      <c r="B16" s="3" t="s">
        <v>499</v>
      </c>
      <c r="C16" s="17" t="s">
        <v>432</v>
      </c>
      <c r="D16" s="3" t="s">
        <v>1065</v>
      </c>
      <c r="E16" s="8" t="s">
        <v>1061</v>
      </c>
      <c r="F16" s="8" t="s">
        <v>422</v>
      </c>
      <c r="G16" s="33" t="s">
        <v>433</v>
      </c>
    </row>
    <row r="17" spans="1:7">
      <c r="A17" s="21" t="s">
        <v>1128</v>
      </c>
      <c r="B17" s="3" t="s">
        <v>500</v>
      </c>
      <c r="C17" s="17" t="s">
        <v>422</v>
      </c>
      <c r="D17" s="3" t="s">
        <v>1065</v>
      </c>
      <c r="E17" s="8" t="s">
        <v>420</v>
      </c>
      <c r="F17" s="8" t="s">
        <v>422</v>
      </c>
      <c r="G17" s="33" t="s">
        <v>433</v>
      </c>
    </row>
    <row r="18" spans="1:7">
      <c r="A18" s="21" t="s">
        <v>1722</v>
      </c>
      <c r="B18" s="3" t="s">
        <v>501</v>
      </c>
      <c r="C18" s="17" t="s">
        <v>436</v>
      </c>
      <c r="D18" s="3" t="s">
        <v>1065</v>
      </c>
      <c r="E18" s="8" t="s">
        <v>420</v>
      </c>
      <c r="F18" s="8" t="s">
        <v>422</v>
      </c>
      <c r="G18" s="33" t="s">
        <v>433</v>
      </c>
    </row>
    <row r="19" spans="1:7">
      <c r="A19" s="21" t="s">
        <v>1723</v>
      </c>
      <c r="B19" s="3" t="s">
        <v>502</v>
      </c>
      <c r="C19" s="17" t="s">
        <v>432</v>
      </c>
      <c r="D19" s="3" t="s">
        <v>1066</v>
      </c>
      <c r="E19" s="8" t="s">
        <v>1061</v>
      </c>
      <c r="F19" s="8" t="s">
        <v>422</v>
      </c>
      <c r="G19" s="33" t="s">
        <v>433</v>
      </c>
    </row>
    <row r="20" spans="1:7">
      <c r="A20" s="21" t="s">
        <v>1724</v>
      </c>
      <c r="B20" s="3" t="s">
        <v>503</v>
      </c>
      <c r="C20" s="17" t="s">
        <v>422</v>
      </c>
      <c r="D20" s="3" t="s">
        <v>1065</v>
      </c>
      <c r="E20" s="8" t="s">
        <v>426</v>
      </c>
      <c r="F20" s="8" t="s">
        <v>422</v>
      </c>
      <c r="G20" s="33" t="s">
        <v>433</v>
      </c>
    </row>
    <row r="21" spans="1:7">
      <c r="A21" s="21" t="s">
        <v>1725</v>
      </c>
      <c r="B21" s="3" t="s">
        <v>504</v>
      </c>
      <c r="C21" s="17" t="s">
        <v>432</v>
      </c>
      <c r="D21" s="3" t="s">
        <v>1065</v>
      </c>
      <c r="E21" s="8" t="s">
        <v>420</v>
      </c>
      <c r="F21" s="8" t="s">
        <v>422</v>
      </c>
      <c r="G21" s="33" t="s">
        <v>433</v>
      </c>
    </row>
    <row r="22" spans="1:7">
      <c r="A22" s="21" t="s">
        <v>1726</v>
      </c>
      <c r="B22" s="3" t="s">
        <v>505</v>
      </c>
      <c r="C22" s="17" t="s">
        <v>432</v>
      </c>
      <c r="D22" s="3" t="s">
        <v>1065</v>
      </c>
      <c r="E22" s="8" t="s">
        <v>420</v>
      </c>
      <c r="F22" s="8" t="s">
        <v>422</v>
      </c>
      <c r="G22" s="33" t="s">
        <v>433</v>
      </c>
    </row>
    <row r="23" spans="1:7">
      <c r="A23" s="21" t="s">
        <v>1727</v>
      </c>
      <c r="B23" s="3" t="s">
        <v>506</v>
      </c>
      <c r="C23" s="17" t="s">
        <v>432</v>
      </c>
      <c r="D23" s="3" t="s">
        <v>1067</v>
      </c>
      <c r="E23" s="8" t="s">
        <v>420</v>
      </c>
      <c r="F23" s="8" t="s">
        <v>435</v>
      </c>
      <c r="G23" s="33" t="s">
        <v>433</v>
      </c>
    </row>
    <row r="24" spans="1:7">
      <c r="A24" s="21" t="s">
        <v>1728</v>
      </c>
      <c r="B24" s="3" t="s">
        <v>507</v>
      </c>
      <c r="C24" s="17" t="s">
        <v>429</v>
      </c>
      <c r="D24" s="3" t="s">
        <v>1067</v>
      </c>
      <c r="E24" s="8" t="s">
        <v>1061</v>
      </c>
      <c r="F24" s="8" t="s">
        <v>422</v>
      </c>
      <c r="G24" s="33" t="s">
        <v>433</v>
      </c>
    </row>
    <row r="25" spans="1:7">
      <c r="A25" s="21" t="s">
        <v>1729</v>
      </c>
      <c r="B25" s="3" t="s">
        <v>508</v>
      </c>
      <c r="C25" s="17" t="s">
        <v>422</v>
      </c>
      <c r="D25" s="3" t="s">
        <v>1068</v>
      </c>
      <c r="E25" s="8" t="s">
        <v>1061</v>
      </c>
      <c r="F25" s="8" t="s">
        <v>435</v>
      </c>
      <c r="G25" s="33" t="s">
        <v>433</v>
      </c>
    </row>
    <row r="26" spans="1:7">
      <c r="A26" s="21" t="s">
        <v>1137</v>
      </c>
      <c r="B26" s="3" t="s">
        <v>509</v>
      </c>
      <c r="C26" s="17" t="s">
        <v>422</v>
      </c>
      <c r="D26" s="3" t="s">
        <v>1065</v>
      </c>
      <c r="E26" s="8" t="s">
        <v>1061</v>
      </c>
      <c r="F26" s="8" t="s">
        <v>422</v>
      </c>
      <c r="G26" s="33" t="s">
        <v>433</v>
      </c>
    </row>
    <row r="27" spans="1:7">
      <c r="A27" s="21" t="s">
        <v>1138</v>
      </c>
      <c r="B27" s="3" t="s">
        <v>510</v>
      </c>
      <c r="C27" s="17" t="s">
        <v>436</v>
      </c>
      <c r="D27" s="3" t="s">
        <v>1065</v>
      </c>
      <c r="E27" s="8" t="s">
        <v>420</v>
      </c>
      <c r="F27" s="8" t="s">
        <v>422</v>
      </c>
      <c r="G27" s="33" t="s">
        <v>433</v>
      </c>
    </row>
    <row r="28" spans="1:7">
      <c r="A28" s="21" t="s">
        <v>1139</v>
      </c>
      <c r="B28" s="3" t="s">
        <v>511</v>
      </c>
      <c r="C28" s="17" t="s">
        <v>432</v>
      </c>
      <c r="D28" s="3" t="s">
        <v>1065</v>
      </c>
      <c r="E28" s="8" t="s">
        <v>420</v>
      </c>
      <c r="F28" s="8" t="s">
        <v>422</v>
      </c>
      <c r="G28" s="33" t="s">
        <v>433</v>
      </c>
    </row>
    <row r="29" spans="1:7">
      <c r="A29" s="21" t="s">
        <v>1140</v>
      </c>
      <c r="B29" s="3" t="s">
        <v>512</v>
      </c>
      <c r="C29" s="17" t="s">
        <v>422</v>
      </c>
      <c r="D29" s="3" t="s">
        <v>1066</v>
      </c>
      <c r="E29" s="8" t="s">
        <v>1061</v>
      </c>
      <c r="F29" s="8" t="s">
        <v>422</v>
      </c>
      <c r="G29" s="33" t="s">
        <v>433</v>
      </c>
    </row>
    <row r="30" spans="1:7">
      <c r="A30" s="21" t="s">
        <v>1730</v>
      </c>
      <c r="B30" s="3" t="s">
        <v>513</v>
      </c>
      <c r="C30" s="17" t="s">
        <v>422</v>
      </c>
      <c r="D30" s="3" t="s">
        <v>1065</v>
      </c>
      <c r="E30" s="8" t="s">
        <v>426</v>
      </c>
      <c r="F30" s="8" t="s">
        <v>422</v>
      </c>
      <c r="G30" s="33" t="s">
        <v>433</v>
      </c>
    </row>
    <row r="31" spans="1:7">
      <c r="A31" s="21" t="s">
        <v>1142</v>
      </c>
      <c r="B31" s="3" t="s">
        <v>514</v>
      </c>
      <c r="C31" s="17" t="s">
        <v>422</v>
      </c>
      <c r="D31" s="3" t="s">
        <v>1065</v>
      </c>
      <c r="E31" s="8" t="s">
        <v>420</v>
      </c>
      <c r="F31" s="8" t="s">
        <v>422</v>
      </c>
      <c r="G31" s="33" t="s">
        <v>433</v>
      </c>
    </row>
    <row r="32" spans="1:7">
      <c r="A32" s="21" t="s">
        <v>1731</v>
      </c>
      <c r="B32" s="3" t="s">
        <v>515</v>
      </c>
      <c r="C32" s="17" t="s">
        <v>422</v>
      </c>
      <c r="D32" s="3" t="s">
        <v>1062</v>
      </c>
      <c r="E32" s="8" t="s">
        <v>422</v>
      </c>
      <c r="F32" s="8" t="s">
        <v>1059</v>
      </c>
      <c r="G32" s="33" t="s">
        <v>423</v>
      </c>
    </row>
    <row r="33" spans="1:7">
      <c r="A33" s="21" t="s">
        <v>1732</v>
      </c>
      <c r="B33" s="3" t="s">
        <v>516</v>
      </c>
      <c r="C33" s="17" t="s">
        <v>422</v>
      </c>
      <c r="D33" s="3" t="s">
        <v>1062</v>
      </c>
      <c r="E33" s="8" t="s">
        <v>426</v>
      </c>
      <c r="F33" s="8" t="s">
        <v>1059</v>
      </c>
      <c r="G33" s="33" t="s">
        <v>423</v>
      </c>
    </row>
    <row r="34" spans="1:7">
      <c r="A34" s="21" t="s">
        <v>1733</v>
      </c>
      <c r="B34" s="3" t="s">
        <v>517</v>
      </c>
      <c r="C34" s="17" t="s">
        <v>422</v>
      </c>
      <c r="D34" s="3" t="s">
        <v>1062</v>
      </c>
      <c r="E34" s="8" t="s">
        <v>422</v>
      </c>
      <c r="F34" s="8" t="s">
        <v>1059</v>
      </c>
      <c r="G34" s="33" t="s">
        <v>423</v>
      </c>
    </row>
    <row r="35" spans="1:7">
      <c r="A35" s="21" t="s">
        <v>1734</v>
      </c>
      <c r="B35" s="3" t="s">
        <v>518</v>
      </c>
      <c r="C35" s="17" t="s">
        <v>422</v>
      </c>
      <c r="D35" s="3" t="s">
        <v>1062</v>
      </c>
      <c r="E35" s="8" t="s">
        <v>1073</v>
      </c>
      <c r="F35" s="8" t="s">
        <v>1059</v>
      </c>
      <c r="G35" s="33" t="s">
        <v>423</v>
      </c>
    </row>
    <row r="36" spans="1:7">
      <c r="A36" s="21" t="s">
        <v>1735</v>
      </c>
      <c r="B36" s="3" t="s">
        <v>519</v>
      </c>
      <c r="C36" s="17" t="s">
        <v>422</v>
      </c>
      <c r="D36" s="3" t="s">
        <v>1062</v>
      </c>
      <c r="E36" s="8" t="s">
        <v>422</v>
      </c>
      <c r="F36" s="8" t="s">
        <v>1059</v>
      </c>
      <c r="G36" s="33" t="s">
        <v>423</v>
      </c>
    </row>
    <row r="37" spans="1:7">
      <c r="A37" s="21" t="s">
        <v>1736</v>
      </c>
      <c r="B37" s="3" t="s">
        <v>520</v>
      </c>
      <c r="C37" s="17" t="s">
        <v>422</v>
      </c>
      <c r="D37" s="3" t="s">
        <v>1062</v>
      </c>
      <c r="E37" s="8" t="s">
        <v>422</v>
      </c>
      <c r="F37" s="8" t="s">
        <v>1059</v>
      </c>
      <c r="G37" s="33" t="s">
        <v>423</v>
      </c>
    </row>
    <row r="38" spans="1:7">
      <c r="A38" s="21" t="s">
        <v>1737</v>
      </c>
      <c r="B38" s="3" t="s">
        <v>521</v>
      </c>
      <c r="C38" s="17" t="s">
        <v>426</v>
      </c>
      <c r="D38" s="3" t="s">
        <v>1062</v>
      </c>
      <c r="E38" s="8" t="s">
        <v>422</v>
      </c>
      <c r="F38" s="8" t="s">
        <v>1059</v>
      </c>
      <c r="G38" s="33" t="s">
        <v>423</v>
      </c>
    </row>
    <row r="39" spans="1:7">
      <c r="A39" s="21" t="s">
        <v>1738</v>
      </c>
      <c r="B39" s="3" t="s">
        <v>522</v>
      </c>
      <c r="C39" s="17" t="s">
        <v>422</v>
      </c>
      <c r="D39" s="3" t="s">
        <v>1062</v>
      </c>
      <c r="E39" s="8" t="s">
        <v>1061</v>
      </c>
      <c r="F39" s="8" t="s">
        <v>1059</v>
      </c>
      <c r="G39" s="33" t="s">
        <v>423</v>
      </c>
    </row>
    <row r="40" spans="1:7">
      <c r="A40" s="21" t="s">
        <v>1739</v>
      </c>
      <c r="B40" s="3" t="s">
        <v>523</v>
      </c>
      <c r="C40" s="17" t="s">
        <v>422</v>
      </c>
      <c r="D40" s="3" t="s">
        <v>1062</v>
      </c>
      <c r="E40" s="8" t="s">
        <v>422</v>
      </c>
      <c r="F40" s="8" t="s">
        <v>1059</v>
      </c>
      <c r="G40" s="33" t="s">
        <v>423</v>
      </c>
    </row>
    <row r="41" spans="1:7">
      <c r="A41" s="21" t="s">
        <v>1740</v>
      </c>
      <c r="B41" s="3" t="s">
        <v>524</v>
      </c>
      <c r="C41" s="17" t="s">
        <v>422</v>
      </c>
      <c r="D41" s="3" t="s">
        <v>1062</v>
      </c>
      <c r="E41" s="8" t="s">
        <v>422</v>
      </c>
      <c r="F41" s="8" t="s">
        <v>1059</v>
      </c>
      <c r="G41" s="33" t="s">
        <v>423</v>
      </c>
    </row>
    <row r="42" spans="1:7">
      <c r="A42" s="21" t="s">
        <v>1741</v>
      </c>
      <c r="B42" s="3" t="s">
        <v>525</v>
      </c>
      <c r="C42" s="17" t="s">
        <v>426</v>
      </c>
      <c r="D42" s="3" t="s">
        <v>426</v>
      </c>
      <c r="E42" s="8" t="s">
        <v>1061</v>
      </c>
      <c r="F42" s="8" t="s">
        <v>1059</v>
      </c>
      <c r="G42" s="33" t="s">
        <v>423</v>
      </c>
    </row>
    <row r="43" spans="1:7">
      <c r="A43" s="21" t="s">
        <v>1742</v>
      </c>
      <c r="B43" s="3" t="s">
        <v>526</v>
      </c>
      <c r="C43" s="17" t="s">
        <v>426</v>
      </c>
      <c r="D43" s="3" t="s">
        <v>1063</v>
      </c>
      <c r="E43" s="8" t="s">
        <v>422</v>
      </c>
      <c r="F43" s="8" t="s">
        <v>1059</v>
      </c>
      <c r="G43" s="33" t="s">
        <v>423</v>
      </c>
    </row>
    <row r="44" spans="1:7">
      <c r="A44" s="21" t="s">
        <v>1743</v>
      </c>
      <c r="B44" s="3" t="s">
        <v>527</v>
      </c>
      <c r="C44" s="17" t="s">
        <v>429</v>
      </c>
      <c r="D44" s="3" t="s">
        <v>1064</v>
      </c>
      <c r="E44" s="8" t="s">
        <v>426</v>
      </c>
      <c r="F44" s="8" t="s">
        <v>1059</v>
      </c>
      <c r="G44" s="33" t="s">
        <v>423</v>
      </c>
    </row>
    <row r="45" spans="1:7">
      <c r="A45" s="21" t="s">
        <v>1744</v>
      </c>
      <c r="B45" s="3" t="s">
        <v>528</v>
      </c>
      <c r="C45" s="17" t="s">
        <v>422</v>
      </c>
      <c r="D45" s="3" t="s">
        <v>1063</v>
      </c>
      <c r="E45" s="8" t="s">
        <v>422</v>
      </c>
      <c r="F45" s="8" t="s">
        <v>1059</v>
      </c>
      <c r="G45" s="33" t="s">
        <v>423</v>
      </c>
    </row>
    <row r="46" spans="1:7">
      <c r="A46" s="21" t="s">
        <v>1745</v>
      </c>
      <c r="B46" s="3" t="s">
        <v>529</v>
      </c>
      <c r="C46" s="17" t="s">
        <v>422</v>
      </c>
      <c r="D46" s="3" t="s">
        <v>1063</v>
      </c>
      <c r="E46" s="8" t="s">
        <v>422</v>
      </c>
      <c r="F46" s="8" t="s">
        <v>1059</v>
      </c>
      <c r="G46" s="33" t="s">
        <v>423</v>
      </c>
    </row>
    <row r="47" spans="1:7">
      <c r="A47" s="21" t="s">
        <v>1746</v>
      </c>
      <c r="B47" s="3" t="s">
        <v>530</v>
      </c>
      <c r="C47" s="17" t="s">
        <v>422</v>
      </c>
      <c r="D47" s="3" t="s">
        <v>1069</v>
      </c>
      <c r="E47" s="8" t="s">
        <v>422</v>
      </c>
      <c r="F47" s="8" t="s">
        <v>422</v>
      </c>
      <c r="G47" s="33" t="s">
        <v>433</v>
      </c>
    </row>
    <row r="48" spans="1:7">
      <c r="A48" s="21" t="s">
        <v>1747</v>
      </c>
      <c r="B48" s="3" t="s">
        <v>531</v>
      </c>
      <c r="C48" s="17" t="s">
        <v>422</v>
      </c>
      <c r="D48" s="3" t="s">
        <v>1062</v>
      </c>
      <c r="E48" s="8" t="s">
        <v>422</v>
      </c>
      <c r="F48" s="8" t="s">
        <v>1059</v>
      </c>
      <c r="G48" s="33" t="s">
        <v>426</v>
      </c>
    </row>
    <row r="49" spans="1:7">
      <c r="A49" s="21" t="s">
        <v>1748</v>
      </c>
      <c r="B49" s="3" t="s">
        <v>532</v>
      </c>
      <c r="C49" s="17" t="s">
        <v>436</v>
      </c>
      <c r="D49" s="3" t="s">
        <v>436</v>
      </c>
      <c r="E49" s="8" t="s">
        <v>436</v>
      </c>
      <c r="F49" s="8" t="s">
        <v>1060</v>
      </c>
      <c r="G49" s="33" t="s">
        <v>436</v>
      </c>
    </row>
    <row r="50" spans="1:7">
      <c r="A50" s="21" t="s">
        <v>1749</v>
      </c>
      <c r="B50" s="3" t="s">
        <v>533</v>
      </c>
      <c r="C50" s="17" t="s">
        <v>436</v>
      </c>
      <c r="D50" s="3" t="s">
        <v>1068</v>
      </c>
      <c r="E50" s="8" t="s">
        <v>1061</v>
      </c>
      <c r="F50" s="8" t="s">
        <v>422</v>
      </c>
      <c r="G50" s="33" t="s">
        <v>444</v>
      </c>
    </row>
    <row r="51" spans="1:7">
      <c r="A51" s="21" t="s">
        <v>1750</v>
      </c>
      <c r="B51" s="3" t="s">
        <v>534</v>
      </c>
      <c r="C51" s="17" t="s">
        <v>422</v>
      </c>
      <c r="D51" s="3" t="s">
        <v>1070</v>
      </c>
      <c r="E51" s="8" t="s">
        <v>420</v>
      </c>
      <c r="F51" s="8" t="s">
        <v>422</v>
      </c>
      <c r="G51" s="33" t="s">
        <v>433</v>
      </c>
    </row>
    <row r="52" spans="1:7">
      <c r="A52" s="21" t="s">
        <v>1751</v>
      </c>
      <c r="B52" s="3" t="s">
        <v>535</v>
      </c>
      <c r="C52" s="17" t="s">
        <v>432</v>
      </c>
      <c r="D52" s="3" t="s">
        <v>1070</v>
      </c>
      <c r="E52" s="8" t="s">
        <v>420</v>
      </c>
      <c r="F52" s="8" t="s">
        <v>422</v>
      </c>
      <c r="G52" s="33" t="s">
        <v>444</v>
      </c>
    </row>
    <row r="53" spans="1:7">
      <c r="A53" s="21" t="s">
        <v>1752</v>
      </c>
      <c r="B53" s="3" t="s">
        <v>536</v>
      </c>
      <c r="C53" s="17" t="s">
        <v>432</v>
      </c>
      <c r="D53" s="3" t="s">
        <v>107</v>
      </c>
      <c r="E53" s="8" t="s">
        <v>420</v>
      </c>
      <c r="F53" s="8" t="s">
        <v>422</v>
      </c>
      <c r="G53" s="33" t="s">
        <v>450</v>
      </c>
    </row>
    <row r="54" spans="1:7">
      <c r="A54" s="21" t="s">
        <v>1753</v>
      </c>
      <c r="B54" s="3" t="s">
        <v>537</v>
      </c>
      <c r="C54" s="17" t="s">
        <v>422</v>
      </c>
      <c r="D54" s="3" t="s">
        <v>1068</v>
      </c>
      <c r="E54" s="8" t="s">
        <v>434</v>
      </c>
      <c r="F54" s="8" t="s">
        <v>422</v>
      </c>
      <c r="G54" s="33" t="s">
        <v>433</v>
      </c>
    </row>
    <row r="55" spans="1:7">
      <c r="A55" s="21" t="s">
        <v>1754</v>
      </c>
      <c r="B55" s="3" t="s">
        <v>538</v>
      </c>
      <c r="C55" s="17" t="s">
        <v>422</v>
      </c>
      <c r="D55" s="3" t="s">
        <v>1071</v>
      </c>
      <c r="E55" s="8" t="s">
        <v>435</v>
      </c>
      <c r="F55" s="8" t="s">
        <v>422</v>
      </c>
      <c r="G55" s="33" t="s">
        <v>436</v>
      </c>
    </row>
    <row r="56" spans="1:7">
      <c r="A56" s="21" t="s">
        <v>1755</v>
      </c>
      <c r="B56" s="3" t="s">
        <v>539</v>
      </c>
      <c r="C56" s="17" t="s">
        <v>429</v>
      </c>
      <c r="D56" s="3" t="s">
        <v>1072</v>
      </c>
      <c r="E56" s="8" t="s">
        <v>420</v>
      </c>
      <c r="F56" s="8" t="s">
        <v>422</v>
      </c>
      <c r="G56" s="33" t="s">
        <v>433</v>
      </c>
    </row>
    <row r="57" spans="1:7">
      <c r="A57" s="21" t="s">
        <v>1756</v>
      </c>
      <c r="B57" s="3" t="s">
        <v>540</v>
      </c>
      <c r="C57" s="17" t="s">
        <v>432</v>
      </c>
      <c r="D57" s="3" t="s">
        <v>1065</v>
      </c>
      <c r="E57" s="8" t="s">
        <v>1061</v>
      </c>
      <c r="F57" s="8" t="s">
        <v>422</v>
      </c>
      <c r="G57" s="33" t="s">
        <v>433</v>
      </c>
    </row>
    <row r="58" spans="1:7">
      <c r="A58" s="21" t="s">
        <v>1757</v>
      </c>
      <c r="B58" s="3" t="s">
        <v>541</v>
      </c>
      <c r="C58" s="17" t="s">
        <v>429</v>
      </c>
      <c r="D58" s="3" t="s">
        <v>1068</v>
      </c>
      <c r="E58" s="8" t="s">
        <v>420</v>
      </c>
      <c r="F58" s="8" t="s">
        <v>422</v>
      </c>
      <c r="G58" s="33" t="s">
        <v>444</v>
      </c>
    </row>
    <row r="59" spans="1:7">
      <c r="A59" s="21" t="s">
        <v>1758</v>
      </c>
      <c r="B59" s="3" t="s">
        <v>542</v>
      </c>
      <c r="C59" s="17" t="s">
        <v>422</v>
      </c>
      <c r="D59" s="3" t="s">
        <v>1070</v>
      </c>
      <c r="E59" s="8" t="s">
        <v>420</v>
      </c>
      <c r="F59" s="8" t="s">
        <v>422</v>
      </c>
      <c r="G59" s="33" t="s">
        <v>444</v>
      </c>
    </row>
    <row r="60" spans="1:7">
      <c r="A60" s="21" t="s">
        <v>1759</v>
      </c>
      <c r="B60" s="3" t="s">
        <v>543</v>
      </c>
      <c r="C60" s="17" t="s">
        <v>422</v>
      </c>
      <c r="D60" s="3" t="s">
        <v>107</v>
      </c>
      <c r="E60" s="8" t="s">
        <v>420</v>
      </c>
      <c r="F60" s="8" t="s">
        <v>422</v>
      </c>
      <c r="G60" s="33" t="s">
        <v>450</v>
      </c>
    </row>
    <row r="61" spans="1:7">
      <c r="A61" s="21" t="s">
        <v>1760</v>
      </c>
      <c r="B61" s="3" t="s">
        <v>544</v>
      </c>
      <c r="C61" s="17" t="s">
        <v>436</v>
      </c>
      <c r="D61" s="3" t="s">
        <v>107</v>
      </c>
      <c r="E61" s="8" t="s">
        <v>420</v>
      </c>
      <c r="F61" s="8" t="s">
        <v>422</v>
      </c>
      <c r="G61" s="33" t="s">
        <v>450</v>
      </c>
    </row>
    <row r="62" spans="1:7">
      <c r="A62" s="21" t="s">
        <v>1761</v>
      </c>
      <c r="B62" s="3" t="s">
        <v>545</v>
      </c>
      <c r="C62" s="17" t="s">
        <v>432</v>
      </c>
      <c r="D62" s="3" t="s">
        <v>107</v>
      </c>
      <c r="E62" s="8" t="s">
        <v>420</v>
      </c>
      <c r="F62" s="8" t="s">
        <v>422</v>
      </c>
      <c r="G62" s="33" t="s">
        <v>450</v>
      </c>
    </row>
    <row r="63" spans="1:7">
      <c r="A63" s="21" t="s">
        <v>1762</v>
      </c>
      <c r="B63" s="3" t="s">
        <v>546</v>
      </c>
      <c r="C63" s="17" t="s">
        <v>422</v>
      </c>
      <c r="D63" s="3" t="s">
        <v>107</v>
      </c>
      <c r="E63" s="8" t="s">
        <v>420</v>
      </c>
      <c r="F63" s="8" t="s">
        <v>422</v>
      </c>
      <c r="G63" s="33" t="s">
        <v>450</v>
      </c>
    </row>
    <row r="64" spans="1:7">
      <c r="A64" s="21" t="s">
        <v>1763</v>
      </c>
      <c r="B64" s="3" t="s">
        <v>547</v>
      </c>
      <c r="C64" s="17" t="s">
        <v>422</v>
      </c>
      <c r="D64" s="3" t="s">
        <v>1070</v>
      </c>
      <c r="E64" s="8" t="s">
        <v>420</v>
      </c>
      <c r="F64" s="8" t="s">
        <v>422</v>
      </c>
      <c r="G64" s="33" t="s">
        <v>450</v>
      </c>
    </row>
    <row r="65" spans="1:7">
      <c r="A65" s="21" t="s">
        <v>1764</v>
      </c>
      <c r="B65" s="3" t="s">
        <v>548</v>
      </c>
      <c r="C65" s="17" t="s">
        <v>422</v>
      </c>
      <c r="D65" s="3" t="s">
        <v>1070</v>
      </c>
      <c r="E65" s="8" t="s">
        <v>420</v>
      </c>
      <c r="F65" s="8" t="s">
        <v>422</v>
      </c>
      <c r="G65" s="33" t="s">
        <v>444</v>
      </c>
    </row>
    <row r="66" spans="1:7">
      <c r="A66" s="21" t="s">
        <v>1765</v>
      </c>
      <c r="B66" s="3" t="s">
        <v>549</v>
      </c>
      <c r="C66" s="17" t="s">
        <v>422</v>
      </c>
      <c r="D66" s="3" t="s">
        <v>1065</v>
      </c>
      <c r="E66" s="8" t="s">
        <v>420</v>
      </c>
      <c r="F66" s="8" t="s">
        <v>422</v>
      </c>
      <c r="G66" s="33" t="s">
        <v>444</v>
      </c>
    </row>
    <row r="67" spans="1:7">
      <c r="A67" s="21" t="s">
        <v>1766</v>
      </c>
      <c r="B67" s="3" t="s">
        <v>550</v>
      </c>
      <c r="C67" s="17" t="s">
        <v>422</v>
      </c>
      <c r="D67" s="3" t="s">
        <v>107</v>
      </c>
      <c r="E67" s="8" t="s">
        <v>420</v>
      </c>
      <c r="F67" s="8" t="s">
        <v>422</v>
      </c>
      <c r="G67" s="33" t="s">
        <v>450</v>
      </c>
    </row>
    <row r="68" spans="1:7">
      <c r="A68" s="21" t="s">
        <v>1767</v>
      </c>
      <c r="B68" s="3" t="s">
        <v>551</v>
      </c>
      <c r="C68" s="17" t="s">
        <v>422</v>
      </c>
      <c r="D68" s="3" t="s">
        <v>107</v>
      </c>
      <c r="E68" s="8" t="s">
        <v>420</v>
      </c>
      <c r="F68" s="8" t="s">
        <v>422</v>
      </c>
      <c r="G68" s="33" t="s">
        <v>444</v>
      </c>
    </row>
    <row r="69" spans="1:7">
      <c r="A69" s="21" t="s">
        <v>1768</v>
      </c>
      <c r="B69" s="3" t="s">
        <v>552</v>
      </c>
      <c r="C69" s="17" t="s">
        <v>422</v>
      </c>
      <c r="D69" s="3" t="s">
        <v>1070</v>
      </c>
      <c r="E69" s="8" t="s">
        <v>420</v>
      </c>
      <c r="F69" s="8" t="s">
        <v>422</v>
      </c>
      <c r="G69" s="33" t="s">
        <v>444</v>
      </c>
    </row>
    <row r="70" spans="1:7">
      <c r="A70" s="21" t="s">
        <v>1769</v>
      </c>
      <c r="B70" s="3" t="s">
        <v>553</v>
      </c>
      <c r="C70" s="17" t="s">
        <v>436</v>
      </c>
      <c r="D70" s="3" t="s">
        <v>1070</v>
      </c>
      <c r="E70" s="8" t="s">
        <v>420</v>
      </c>
      <c r="F70" s="8" t="s">
        <v>422</v>
      </c>
      <c r="G70" s="33" t="s">
        <v>444</v>
      </c>
    </row>
    <row r="71" spans="1:7">
      <c r="A71" s="21" t="s">
        <v>1770</v>
      </c>
      <c r="B71" s="3" t="s">
        <v>554</v>
      </c>
      <c r="C71" s="17" t="s">
        <v>432</v>
      </c>
      <c r="D71" s="3" t="s">
        <v>107</v>
      </c>
      <c r="E71" s="8" t="s">
        <v>420</v>
      </c>
      <c r="F71" s="8" t="s">
        <v>422</v>
      </c>
      <c r="G71" s="33" t="s">
        <v>444</v>
      </c>
    </row>
    <row r="72" spans="1:7">
      <c r="A72" s="21" t="s">
        <v>1771</v>
      </c>
      <c r="B72" s="3" t="s">
        <v>555</v>
      </c>
      <c r="C72" s="17" t="s">
        <v>422</v>
      </c>
      <c r="D72" s="3" t="s">
        <v>107</v>
      </c>
      <c r="E72" s="8" t="s">
        <v>1061</v>
      </c>
      <c r="F72" s="8" t="s">
        <v>422</v>
      </c>
      <c r="G72" s="33" t="s">
        <v>444</v>
      </c>
    </row>
    <row r="73" spans="1:7">
      <c r="A73" s="21" t="s">
        <v>1772</v>
      </c>
      <c r="B73" s="3" t="s">
        <v>556</v>
      </c>
      <c r="C73" s="17" t="s">
        <v>422</v>
      </c>
      <c r="D73" s="3" t="s">
        <v>1067</v>
      </c>
      <c r="E73" s="8" t="s">
        <v>420</v>
      </c>
      <c r="F73" s="8" t="s">
        <v>435</v>
      </c>
      <c r="G73" s="33" t="s">
        <v>433</v>
      </c>
    </row>
    <row r="74" spans="1:7">
      <c r="A74" s="21" t="s">
        <v>1773</v>
      </c>
      <c r="B74" s="3" t="s">
        <v>557</v>
      </c>
      <c r="C74" s="17" t="s">
        <v>422</v>
      </c>
      <c r="D74" s="3" t="s">
        <v>1067</v>
      </c>
      <c r="E74" s="8" t="s">
        <v>1061</v>
      </c>
      <c r="F74" s="8" t="s">
        <v>422</v>
      </c>
      <c r="G74" s="33" t="s">
        <v>433</v>
      </c>
    </row>
    <row r="75" spans="1:7">
      <c r="A75" s="21" t="s">
        <v>1774</v>
      </c>
      <c r="B75" s="3" t="s">
        <v>558</v>
      </c>
      <c r="C75" s="17" t="s">
        <v>422</v>
      </c>
      <c r="D75" s="3" t="s">
        <v>1068</v>
      </c>
      <c r="E75" s="8" t="s">
        <v>1061</v>
      </c>
      <c r="F75" s="8" t="s">
        <v>435</v>
      </c>
      <c r="G75" s="33" t="s">
        <v>433</v>
      </c>
    </row>
    <row r="76" spans="1:7">
      <c r="A76" s="21" t="s">
        <v>1775</v>
      </c>
      <c r="B76" s="3" t="s">
        <v>559</v>
      </c>
      <c r="C76" s="17" t="s">
        <v>432</v>
      </c>
      <c r="D76" s="3" t="s">
        <v>1065</v>
      </c>
      <c r="E76" s="8" t="s">
        <v>1061</v>
      </c>
      <c r="F76" s="8" t="s">
        <v>422</v>
      </c>
      <c r="G76" s="33" t="s">
        <v>433</v>
      </c>
    </row>
    <row r="77" spans="1:7">
      <c r="A77" s="21" t="s">
        <v>1776</v>
      </c>
      <c r="B77" s="3" t="s">
        <v>560</v>
      </c>
      <c r="C77" s="17" t="s">
        <v>422</v>
      </c>
      <c r="D77" s="3" t="s">
        <v>1065</v>
      </c>
      <c r="E77" s="8" t="s">
        <v>420</v>
      </c>
      <c r="F77" s="8" t="s">
        <v>422</v>
      </c>
      <c r="G77" s="33" t="s">
        <v>433</v>
      </c>
    </row>
    <row r="78" spans="1:7">
      <c r="A78" s="21" t="s">
        <v>1777</v>
      </c>
      <c r="B78" s="3" t="s">
        <v>561</v>
      </c>
      <c r="C78" s="17" t="s">
        <v>436</v>
      </c>
      <c r="D78" s="3" t="s">
        <v>1065</v>
      </c>
      <c r="E78" s="8" t="s">
        <v>420</v>
      </c>
      <c r="F78" s="8" t="s">
        <v>422</v>
      </c>
      <c r="G78" s="33" t="s">
        <v>433</v>
      </c>
    </row>
    <row r="79" spans="1:7">
      <c r="A79" s="21" t="s">
        <v>1778</v>
      </c>
      <c r="B79" s="3" t="s">
        <v>562</v>
      </c>
      <c r="C79" s="17" t="s">
        <v>432</v>
      </c>
      <c r="D79" s="3" t="s">
        <v>1066</v>
      </c>
      <c r="E79" s="8" t="s">
        <v>1061</v>
      </c>
      <c r="F79" s="8" t="s">
        <v>422</v>
      </c>
      <c r="G79" s="33" t="s">
        <v>433</v>
      </c>
    </row>
    <row r="80" spans="1:7">
      <c r="A80" s="21" t="s">
        <v>1779</v>
      </c>
      <c r="B80" s="3" t="s">
        <v>563</v>
      </c>
      <c r="C80" s="17" t="s">
        <v>422</v>
      </c>
      <c r="D80" s="3" t="s">
        <v>1065</v>
      </c>
      <c r="E80" s="8" t="s">
        <v>426</v>
      </c>
      <c r="F80" s="8" t="s">
        <v>422</v>
      </c>
      <c r="G80" s="33" t="s">
        <v>433</v>
      </c>
    </row>
    <row r="81" spans="1:7">
      <c r="A81" s="21" t="s">
        <v>1780</v>
      </c>
      <c r="B81" s="3" t="s">
        <v>564</v>
      </c>
      <c r="C81" s="17" t="s">
        <v>432</v>
      </c>
      <c r="D81" s="3" t="s">
        <v>1065</v>
      </c>
      <c r="E81" s="8" t="s">
        <v>420</v>
      </c>
      <c r="F81" s="8" t="s">
        <v>422</v>
      </c>
      <c r="G81" s="33" t="s">
        <v>433</v>
      </c>
    </row>
    <row r="82" spans="1:7">
      <c r="A82" s="21" t="s">
        <v>1781</v>
      </c>
      <c r="B82" s="3" t="s">
        <v>565</v>
      </c>
      <c r="C82" s="17" t="s">
        <v>432</v>
      </c>
      <c r="D82" s="3" t="s">
        <v>1067</v>
      </c>
      <c r="E82" s="8" t="s">
        <v>420</v>
      </c>
      <c r="F82" s="8" t="s">
        <v>435</v>
      </c>
      <c r="G82" s="33" t="s">
        <v>433</v>
      </c>
    </row>
    <row r="83" spans="1:7">
      <c r="A83" s="21" t="s">
        <v>1782</v>
      </c>
      <c r="B83" s="3" t="s">
        <v>566</v>
      </c>
      <c r="C83" s="17" t="s">
        <v>429</v>
      </c>
      <c r="D83" s="3" t="s">
        <v>1067</v>
      </c>
      <c r="E83" s="8" t="s">
        <v>1061</v>
      </c>
      <c r="F83" s="8" t="s">
        <v>422</v>
      </c>
      <c r="G83" s="33" t="s">
        <v>433</v>
      </c>
    </row>
    <row r="84" spans="1:7">
      <c r="A84" s="21" t="s">
        <v>1783</v>
      </c>
      <c r="B84" s="3" t="s">
        <v>567</v>
      </c>
      <c r="C84" s="17" t="s">
        <v>422</v>
      </c>
      <c r="D84" s="3" t="s">
        <v>1068</v>
      </c>
      <c r="E84" s="8" t="s">
        <v>1061</v>
      </c>
      <c r="F84" s="8" t="s">
        <v>435</v>
      </c>
      <c r="G84" s="33" t="s">
        <v>433</v>
      </c>
    </row>
    <row r="85" spans="1:7">
      <c r="A85" s="21" t="s">
        <v>1784</v>
      </c>
      <c r="B85" s="3" t="s">
        <v>568</v>
      </c>
      <c r="C85" s="17" t="s">
        <v>422</v>
      </c>
      <c r="D85" s="3" t="s">
        <v>1065</v>
      </c>
      <c r="E85" s="8" t="s">
        <v>1061</v>
      </c>
      <c r="F85" s="8" t="s">
        <v>422</v>
      </c>
      <c r="G85" s="33" t="s">
        <v>433</v>
      </c>
    </row>
    <row r="86" spans="1:7">
      <c r="A86" s="21" t="s">
        <v>1785</v>
      </c>
      <c r="B86" s="3" t="s">
        <v>569</v>
      </c>
      <c r="C86" s="17" t="s">
        <v>436</v>
      </c>
      <c r="D86" s="3" t="s">
        <v>1065</v>
      </c>
      <c r="E86" s="8" t="s">
        <v>420</v>
      </c>
      <c r="F86" s="8" t="s">
        <v>422</v>
      </c>
      <c r="G86" s="33" t="s">
        <v>433</v>
      </c>
    </row>
    <row r="87" spans="1:7">
      <c r="A87" s="21" t="s">
        <v>1786</v>
      </c>
      <c r="B87" s="3" t="s">
        <v>570</v>
      </c>
      <c r="C87" s="17" t="s">
        <v>432</v>
      </c>
      <c r="D87" s="3" t="s">
        <v>1065</v>
      </c>
      <c r="E87" s="8" t="s">
        <v>420</v>
      </c>
      <c r="F87" s="8" t="s">
        <v>422</v>
      </c>
      <c r="G87" s="33" t="s">
        <v>433</v>
      </c>
    </row>
    <row r="88" spans="1:7">
      <c r="A88" s="21" t="s">
        <v>1787</v>
      </c>
      <c r="B88" s="3" t="s">
        <v>571</v>
      </c>
      <c r="C88" s="17" t="s">
        <v>422</v>
      </c>
      <c r="D88" s="3" t="s">
        <v>1066</v>
      </c>
      <c r="E88" s="8" t="s">
        <v>1061</v>
      </c>
      <c r="F88" s="8" t="s">
        <v>422</v>
      </c>
      <c r="G88" s="33" t="s">
        <v>433</v>
      </c>
    </row>
    <row r="89" spans="1:7">
      <c r="A89" s="21" t="s">
        <v>1788</v>
      </c>
      <c r="B89" s="3" t="s">
        <v>572</v>
      </c>
      <c r="C89" s="17" t="s">
        <v>422</v>
      </c>
      <c r="D89" s="3" t="s">
        <v>1065</v>
      </c>
      <c r="E89" s="8" t="s">
        <v>426</v>
      </c>
      <c r="F89" s="8" t="s">
        <v>422</v>
      </c>
      <c r="G89" s="33" t="s">
        <v>433</v>
      </c>
    </row>
    <row r="90" spans="1:7">
      <c r="A90" s="21" t="s">
        <v>1789</v>
      </c>
      <c r="B90" s="3" t="s">
        <v>573</v>
      </c>
      <c r="C90" s="17" t="s">
        <v>422</v>
      </c>
      <c r="D90" s="3" t="s">
        <v>1065</v>
      </c>
      <c r="E90" s="8" t="s">
        <v>420</v>
      </c>
      <c r="F90" s="8" t="s">
        <v>422</v>
      </c>
      <c r="G90" s="33" t="s">
        <v>433</v>
      </c>
    </row>
    <row r="91" spans="1:7">
      <c r="A91" s="21" t="s">
        <v>1790</v>
      </c>
      <c r="B91" s="3" t="s">
        <v>574</v>
      </c>
      <c r="C91" s="17" t="s">
        <v>422</v>
      </c>
      <c r="D91" s="3" t="s">
        <v>1067</v>
      </c>
      <c r="E91" s="8" t="s">
        <v>420</v>
      </c>
      <c r="F91" s="8" t="s">
        <v>435</v>
      </c>
      <c r="G91" s="33" t="s">
        <v>433</v>
      </c>
    </row>
    <row r="92" spans="1:7">
      <c r="A92" s="21" t="s">
        <v>1791</v>
      </c>
      <c r="B92" s="3" t="s">
        <v>575</v>
      </c>
      <c r="C92" s="17" t="s">
        <v>422</v>
      </c>
      <c r="D92" s="3" t="s">
        <v>1067</v>
      </c>
      <c r="E92" s="8" t="s">
        <v>1061</v>
      </c>
      <c r="F92" s="8" t="s">
        <v>422</v>
      </c>
      <c r="G92" s="33" t="s">
        <v>433</v>
      </c>
    </row>
    <row r="93" spans="1:7">
      <c r="A93" s="21" t="s">
        <v>1792</v>
      </c>
      <c r="B93" s="3" t="s">
        <v>576</v>
      </c>
      <c r="C93" s="17" t="s">
        <v>422</v>
      </c>
      <c r="D93" s="3" t="s">
        <v>1068</v>
      </c>
      <c r="E93" s="8" t="s">
        <v>1061</v>
      </c>
      <c r="F93" s="8" t="s">
        <v>435</v>
      </c>
      <c r="G93" s="33" t="s">
        <v>433</v>
      </c>
    </row>
    <row r="94" spans="1:7">
      <c r="A94" s="21" t="s">
        <v>1793</v>
      </c>
      <c r="B94" s="3" t="s">
        <v>577</v>
      </c>
      <c r="C94" s="17" t="s">
        <v>422</v>
      </c>
      <c r="D94" s="3" t="s">
        <v>1065</v>
      </c>
      <c r="E94" s="8" t="s">
        <v>1061</v>
      </c>
      <c r="F94" s="8" t="s">
        <v>422</v>
      </c>
      <c r="G94" s="33" t="s">
        <v>433</v>
      </c>
    </row>
    <row r="95" spans="1:7">
      <c r="A95" s="21" t="s">
        <v>1794</v>
      </c>
      <c r="B95" s="3" t="s">
        <v>578</v>
      </c>
      <c r="C95" s="17" t="s">
        <v>436</v>
      </c>
      <c r="D95" s="3" t="s">
        <v>1065</v>
      </c>
      <c r="E95" s="8" t="s">
        <v>420</v>
      </c>
      <c r="F95" s="8" t="s">
        <v>422</v>
      </c>
      <c r="G95" s="33" t="s">
        <v>433</v>
      </c>
    </row>
    <row r="96" spans="1:7">
      <c r="A96" s="21" t="s">
        <v>1795</v>
      </c>
      <c r="B96" s="3" t="s">
        <v>579</v>
      </c>
      <c r="C96" s="17" t="s">
        <v>432</v>
      </c>
      <c r="D96" s="3" t="s">
        <v>1065</v>
      </c>
      <c r="E96" s="8" t="s">
        <v>420</v>
      </c>
      <c r="F96" s="8" t="s">
        <v>422</v>
      </c>
      <c r="G96" s="33" t="s">
        <v>433</v>
      </c>
    </row>
    <row r="97" spans="1:7">
      <c r="A97" s="21" t="s">
        <v>1796</v>
      </c>
      <c r="B97" s="3" t="s">
        <v>580</v>
      </c>
      <c r="C97" s="17" t="s">
        <v>422</v>
      </c>
      <c r="D97" s="3" t="s">
        <v>1066</v>
      </c>
      <c r="E97" s="8" t="s">
        <v>1061</v>
      </c>
      <c r="F97" s="8" t="s">
        <v>422</v>
      </c>
      <c r="G97" s="33" t="s">
        <v>433</v>
      </c>
    </row>
    <row r="98" spans="1:7">
      <c r="A98" s="21" t="s">
        <v>1797</v>
      </c>
      <c r="B98" s="3" t="s">
        <v>581</v>
      </c>
      <c r="C98" s="17" t="s">
        <v>422</v>
      </c>
      <c r="D98" s="3" t="s">
        <v>1065</v>
      </c>
      <c r="E98" s="8" t="s">
        <v>426</v>
      </c>
      <c r="F98" s="8" t="s">
        <v>422</v>
      </c>
      <c r="G98" s="33" t="s">
        <v>433</v>
      </c>
    </row>
    <row r="99" spans="1:7">
      <c r="A99" s="21" t="s">
        <v>1798</v>
      </c>
      <c r="B99" s="3" t="s">
        <v>582</v>
      </c>
      <c r="C99" s="17" t="s">
        <v>422</v>
      </c>
      <c r="D99" s="3" t="s">
        <v>1065</v>
      </c>
      <c r="E99" s="8" t="s">
        <v>420</v>
      </c>
      <c r="F99" s="8" t="s">
        <v>422</v>
      </c>
      <c r="G99" s="33" t="s">
        <v>433</v>
      </c>
    </row>
    <row r="100" spans="1:7">
      <c r="A100" s="21" t="s">
        <v>1799</v>
      </c>
      <c r="B100" s="3" t="s">
        <v>583</v>
      </c>
      <c r="C100" s="17" t="s">
        <v>422</v>
      </c>
      <c r="D100" s="3" t="s">
        <v>1067</v>
      </c>
      <c r="E100" s="8" t="s">
        <v>420</v>
      </c>
      <c r="F100" s="8" t="s">
        <v>435</v>
      </c>
      <c r="G100" s="33" t="s">
        <v>433</v>
      </c>
    </row>
    <row r="101" spans="1:7">
      <c r="A101" s="21" t="s">
        <v>1800</v>
      </c>
      <c r="B101" s="3" t="s">
        <v>584</v>
      </c>
      <c r="C101" s="17" t="s">
        <v>432</v>
      </c>
      <c r="D101" s="3" t="s">
        <v>1067</v>
      </c>
      <c r="E101" s="8" t="s">
        <v>1061</v>
      </c>
      <c r="F101" s="8" t="s">
        <v>422</v>
      </c>
      <c r="G101" s="33" t="s">
        <v>433</v>
      </c>
    </row>
    <row r="102" spans="1:7">
      <c r="A102" s="21" t="s">
        <v>1801</v>
      </c>
      <c r="B102" s="3" t="s">
        <v>585</v>
      </c>
      <c r="C102" s="17" t="s">
        <v>422</v>
      </c>
      <c r="D102" s="3" t="s">
        <v>1068</v>
      </c>
      <c r="E102" s="8" t="s">
        <v>1061</v>
      </c>
      <c r="F102" s="8" t="s">
        <v>435</v>
      </c>
      <c r="G102" s="33" t="s">
        <v>433</v>
      </c>
    </row>
    <row r="103" spans="1:7">
      <c r="A103" s="21" t="s">
        <v>1802</v>
      </c>
      <c r="B103" s="3" t="s">
        <v>586</v>
      </c>
      <c r="C103" s="17" t="s">
        <v>436</v>
      </c>
      <c r="D103" s="3" t="s">
        <v>1065</v>
      </c>
      <c r="E103" s="8" t="s">
        <v>1061</v>
      </c>
      <c r="F103" s="8" t="s">
        <v>422</v>
      </c>
      <c r="G103" s="33" t="s">
        <v>433</v>
      </c>
    </row>
    <row r="104" spans="1:7">
      <c r="A104" s="21" t="s">
        <v>1803</v>
      </c>
      <c r="B104" s="3" t="s">
        <v>587</v>
      </c>
      <c r="C104" s="17" t="s">
        <v>432</v>
      </c>
      <c r="D104" s="3" t="s">
        <v>1065</v>
      </c>
      <c r="E104" s="8" t="s">
        <v>420</v>
      </c>
      <c r="F104" s="8" t="s">
        <v>422</v>
      </c>
      <c r="G104" s="33" t="s">
        <v>433</v>
      </c>
    </row>
    <row r="105" spans="1:7">
      <c r="A105" s="21" t="s">
        <v>1804</v>
      </c>
      <c r="B105" s="3" t="s">
        <v>588</v>
      </c>
      <c r="C105" s="17" t="s">
        <v>422</v>
      </c>
      <c r="D105" s="3" t="s">
        <v>1065</v>
      </c>
      <c r="E105" s="8" t="s">
        <v>420</v>
      </c>
      <c r="F105" s="8" t="s">
        <v>422</v>
      </c>
      <c r="G105" s="33" t="s">
        <v>433</v>
      </c>
    </row>
    <row r="106" spans="1:7">
      <c r="A106" s="21" t="s">
        <v>1805</v>
      </c>
      <c r="B106" s="3" t="s">
        <v>589</v>
      </c>
      <c r="C106" s="17" t="s">
        <v>432</v>
      </c>
      <c r="D106" s="3" t="s">
        <v>1066</v>
      </c>
      <c r="E106" s="8" t="s">
        <v>1061</v>
      </c>
      <c r="F106" s="8" t="s">
        <v>422</v>
      </c>
      <c r="G106" s="33" t="s">
        <v>433</v>
      </c>
    </row>
    <row r="107" spans="1:7">
      <c r="A107" s="21" t="s">
        <v>1806</v>
      </c>
      <c r="B107" s="3" t="s">
        <v>590</v>
      </c>
      <c r="C107" s="17" t="s">
        <v>436</v>
      </c>
      <c r="D107" s="3" t="s">
        <v>1065</v>
      </c>
      <c r="E107" s="8" t="s">
        <v>426</v>
      </c>
      <c r="F107" s="8" t="s">
        <v>422</v>
      </c>
      <c r="G107" s="33" t="s">
        <v>433</v>
      </c>
    </row>
    <row r="108" spans="1:7">
      <c r="A108" s="21" t="s">
        <v>1807</v>
      </c>
      <c r="B108" s="3" t="s">
        <v>591</v>
      </c>
      <c r="C108" s="17" t="s">
        <v>432</v>
      </c>
      <c r="D108" s="3" t="s">
        <v>1065</v>
      </c>
      <c r="E108" s="8" t="s">
        <v>420</v>
      </c>
      <c r="F108" s="8" t="s">
        <v>422</v>
      </c>
      <c r="G108" s="33" t="s">
        <v>433</v>
      </c>
    </row>
    <row r="109" spans="1:7">
      <c r="A109" s="21" t="s">
        <v>1808</v>
      </c>
      <c r="B109" s="3" t="s">
        <v>592</v>
      </c>
      <c r="C109" s="17" t="s">
        <v>422</v>
      </c>
      <c r="D109" s="3" t="s">
        <v>1068</v>
      </c>
      <c r="E109" s="8" t="s">
        <v>1061</v>
      </c>
      <c r="F109" s="8" t="s">
        <v>435</v>
      </c>
      <c r="G109" s="33" t="s">
        <v>433</v>
      </c>
    </row>
    <row r="110" spans="1:7">
      <c r="A110" s="21" t="s">
        <v>1809</v>
      </c>
      <c r="B110" s="3" t="s">
        <v>593</v>
      </c>
      <c r="C110" s="17" t="s">
        <v>422</v>
      </c>
      <c r="D110" s="3" t="s">
        <v>1065</v>
      </c>
      <c r="E110" s="8" t="s">
        <v>1061</v>
      </c>
      <c r="F110" s="8" t="s">
        <v>422</v>
      </c>
      <c r="G110" s="33" t="s">
        <v>433</v>
      </c>
    </row>
    <row r="111" spans="1:7">
      <c r="A111" s="21" t="s">
        <v>1810</v>
      </c>
      <c r="B111" s="3" t="s">
        <v>594</v>
      </c>
      <c r="C111" s="17" t="s">
        <v>422</v>
      </c>
      <c r="D111" s="3" t="s">
        <v>1065</v>
      </c>
      <c r="E111" s="8" t="s">
        <v>420</v>
      </c>
      <c r="F111" s="8" t="s">
        <v>422</v>
      </c>
      <c r="G111" s="33" t="s">
        <v>433</v>
      </c>
    </row>
    <row r="112" spans="1:7">
      <c r="A112" s="21" t="s">
        <v>1811</v>
      </c>
      <c r="B112" s="3" t="s">
        <v>595</v>
      </c>
      <c r="C112" s="17" t="s">
        <v>422</v>
      </c>
      <c r="D112" s="3" t="s">
        <v>1068</v>
      </c>
      <c r="E112" s="8" t="s">
        <v>1061</v>
      </c>
      <c r="F112" s="8" t="s">
        <v>435</v>
      </c>
      <c r="G112" s="33" t="s">
        <v>433</v>
      </c>
    </row>
    <row r="113" spans="1:7">
      <c r="A113" s="21" t="s">
        <v>1812</v>
      </c>
      <c r="B113" s="3" t="s">
        <v>596</v>
      </c>
      <c r="C113" s="17" t="s">
        <v>422</v>
      </c>
      <c r="D113" s="3" t="s">
        <v>1062</v>
      </c>
      <c r="E113" s="8" t="s">
        <v>422</v>
      </c>
      <c r="F113" s="8" t="s">
        <v>1059</v>
      </c>
      <c r="G113" s="33" t="s">
        <v>423</v>
      </c>
    </row>
    <row r="114" spans="1:7">
      <c r="A114" s="21" t="s">
        <v>1813</v>
      </c>
      <c r="B114" s="3" t="s">
        <v>597</v>
      </c>
      <c r="C114" s="17" t="s">
        <v>422</v>
      </c>
      <c r="D114" s="3" t="s">
        <v>1065</v>
      </c>
      <c r="E114" s="8" t="s">
        <v>420</v>
      </c>
      <c r="F114" s="8" t="s">
        <v>422</v>
      </c>
      <c r="G114" s="33" t="s">
        <v>450</v>
      </c>
    </row>
    <row r="115" spans="1:7">
      <c r="A115" s="21" t="s">
        <v>1814</v>
      </c>
      <c r="B115" s="3" t="s">
        <v>598</v>
      </c>
      <c r="C115" s="17" t="s">
        <v>436</v>
      </c>
      <c r="D115" s="3" t="s">
        <v>1068</v>
      </c>
      <c r="E115" s="8" t="s">
        <v>1061</v>
      </c>
      <c r="F115" s="8" t="s">
        <v>422</v>
      </c>
      <c r="G115" s="33" t="s">
        <v>444</v>
      </c>
    </row>
    <row r="116" spans="1:7">
      <c r="A116" s="21" t="s">
        <v>1815</v>
      </c>
      <c r="B116" s="3" t="s">
        <v>599</v>
      </c>
      <c r="C116" s="17" t="s">
        <v>422</v>
      </c>
      <c r="D116" s="3" t="s">
        <v>107</v>
      </c>
      <c r="E116" s="8" t="s">
        <v>420</v>
      </c>
      <c r="F116" s="8" t="s">
        <v>422</v>
      </c>
      <c r="G116" s="33" t="s">
        <v>450</v>
      </c>
    </row>
    <row r="117" spans="1:7">
      <c r="A117" s="21" t="s">
        <v>1816</v>
      </c>
      <c r="B117" s="3" t="s">
        <v>600</v>
      </c>
      <c r="C117" s="17" t="s">
        <v>422</v>
      </c>
      <c r="D117" s="3" t="s">
        <v>107</v>
      </c>
      <c r="E117" s="8" t="s">
        <v>1061</v>
      </c>
      <c r="F117" s="8" t="s">
        <v>422</v>
      </c>
      <c r="G117" s="33" t="s">
        <v>444</v>
      </c>
    </row>
    <row r="118" spans="1:7">
      <c r="A118" s="21" t="s">
        <v>1817</v>
      </c>
      <c r="B118" s="3" t="s">
        <v>601</v>
      </c>
      <c r="C118" s="17" t="s">
        <v>422</v>
      </c>
      <c r="D118" s="3" t="s">
        <v>1070</v>
      </c>
      <c r="E118" s="8" t="s">
        <v>420</v>
      </c>
      <c r="F118" s="8" t="s">
        <v>422</v>
      </c>
      <c r="G118" s="33" t="s">
        <v>444</v>
      </c>
    </row>
    <row r="119" spans="1:7">
      <c r="A119" s="21" t="s">
        <v>1818</v>
      </c>
      <c r="B119" s="3" t="s">
        <v>602</v>
      </c>
      <c r="C119" s="17" t="s">
        <v>422</v>
      </c>
      <c r="D119" s="3" t="s">
        <v>1070</v>
      </c>
      <c r="E119" s="8" t="s">
        <v>420</v>
      </c>
      <c r="F119" s="8" t="s">
        <v>422</v>
      </c>
      <c r="G119" s="33" t="s">
        <v>444</v>
      </c>
    </row>
    <row r="120" spans="1:7">
      <c r="A120" s="21" t="s">
        <v>1819</v>
      </c>
      <c r="B120" s="3" t="s">
        <v>603</v>
      </c>
      <c r="C120" s="17" t="s">
        <v>432</v>
      </c>
      <c r="D120" s="3" t="s">
        <v>1065</v>
      </c>
      <c r="E120" s="8" t="s">
        <v>1061</v>
      </c>
      <c r="F120" s="8" t="s">
        <v>422</v>
      </c>
      <c r="G120" s="33" t="s">
        <v>433</v>
      </c>
    </row>
    <row r="121" spans="1:7">
      <c r="A121" s="21" t="s">
        <v>1820</v>
      </c>
      <c r="B121" s="3" t="s">
        <v>604</v>
      </c>
      <c r="C121" s="17" t="s">
        <v>422</v>
      </c>
      <c r="D121" s="3" t="s">
        <v>1068</v>
      </c>
      <c r="E121" s="8" t="s">
        <v>434</v>
      </c>
      <c r="F121" s="8" t="s">
        <v>422</v>
      </c>
      <c r="G121" s="33" t="s">
        <v>433</v>
      </c>
    </row>
    <row r="122" spans="1:7">
      <c r="A122" s="21" t="s">
        <v>1821</v>
      </c>
      <c r="B122" s="3" t="s">
        <v>605</v>
      </c>
      <c r="C122" s="17" t="s">
        <v>422</v>
      </c>
      <c r="D122" s="3" t="s">
        <v>1070</v>
      </c>
      <c r="E122" s="8" t="s">
        <v>420</v>
      </c>
      <c r="F122" s="8" t="s">
        <v>422</v>
      </c>
      <c r="G122" s="33" t="s">
        <v>444</v>
      </c>
    </row>
    <row r="123" spans="1:7">
      <c r="A123" s="21" t="s">
        <v>1822</v>
      </c>
      <c r="B123" s="3" t="s">
        <v>606</v>
      </c>
      <c r="C123" s="17" t="s">
        <v>432</v>
      </c>
      <c r="D123" s="3" t="s">
        <v>1070</v>
      </c>
      <c r="E123" s="8" t="s">
        <v>420</v>
      </c>
      <c r="F123" s="8" t="s">
        <v>422</v>
      </c>
      <c r="G123" s="33" t="s">
        <v>444</v>
      </c>
    </row>
    <row r="124" spans="1:7">
      <c r="A124" s="21" t="s">
        <v>1823</v>
      </c>
      <c r="B124" s="3" t="s">
        <v>607</v>
      </c>
      <c r="C124" s="17" t="s">
        <v>432</v>
      </c>
      <c r="D124" s="3" t="s">
        <v>107</v>
      </c>
      <c r="E124" s="8" t="s">
        <v>420</v>
      </c>
      <c r="F124" s="8" t="s">
        <v>422</v>
      </c>
      <c r="G124" s="33" t="s">
        <v>450</v>
      </c>
    </row>
    <row r="125" spans="1:7">
      <c r="A125" s="21" t="s">
        <v>1824</v>
      </c>
      <c r="B125" s="3" t="s">
        <v>608</v>
      </c>
      <c r="C125" s="17" t="s">
        <v>422</v>
      </c>
      <c r="D125" s="3" t="s">
        <v>1065</v>
      </c>
      <c r="E125" s="8" t="s">
        <v>420</v>
      </c>
      <c r="F125" s="8" t="s">
        <v>422</v>
      </c>
      <c r="G125" s="33" t="s">
        <v>444</v>
      </c>
    </row>
    <row r="126" spans="1:7">
      <c r="A126" s="21" t="s">
        <v>1825</v>
      </c>
      <c r="B126" s="3" t="s">
        <v>609</v>
      </c>
      <c r="C126" s="17" t="s">
        <v>436</v>
      </c>
      <c r="D126" s="3" t="s">
        <v>107</v>
      </c>
      <c r="E126" s="8" t="s">
        <v>420</v>
      </c>
      <c r="F126" s="8" t="s">
        <v>422</v>
      </c>
      <c r="G126" s="33" t="s">
        <v>450</v>
      </c>
    </row>
    <row r="127" spans="1:7">
      <c r="A127" s="21" t="s">
        <v>1826</v>
      </c>
      <c r="B127" s="3" t="s">
        <v>610</v>
      </c>
      <c r="C127" s="17" t="s">
        <v>432</v>
      </c>
      <c r="D127" s="3" t="s">
        <v>107</v>
      </c>
      <c r="E127" s="8" t="s">
        <v>420</v>
      </c>
      <c r="F127" s="8" t="s">
        <v>422</v>
      </c>
      <c r="G127" s="33" t="s">
        <v>444</v>
      </c>
    </row>
    <row r="128" spans="1:7">
      <c r="A128" s="21" t="s">
        <v>1827</v>
      </c>
      <c r="B128" s="3" t="s">
        <v>611</v>
      </c>
      <c r="C128" s="17" t="s">
        <v>422</v>
      </c>
      <c r="D128" s="3" t="s">
        <v>1071</v>
      </c>
      <c r="E128" s="8" t="s">
        <v>435</v>
      </c>
      <c r="F128" s="8" t="s">
        <v>422</v>
      </c>
      <c r="G128" s="33" t="s">
        <v>436</v>
      </c>
    </row>
    <row r="129" spans="1:7">
      <c r="A129" s="21" t="s">
        <v>1828</v>
      </c>
      <c r="B129" s="3" t="s">
        <v>612</v>
      </c>
      <c r="C129" s="17" t="s">
        <v>429</v>
      </c>
      <c r="D129" s="3" t="s">
        <v>1072</v>
      </c>
      <c r="E129" s="8" t="s">
        <v>420</v>
      </c>
      <c r="F129" s="8" t="s">
        <v>422</v>
      </c>
      <c r="G129" s="33" t="s">
        <v>433</v>
      </c>
    </row>
    <row r="130" spans="1:7">
      <c r="A130" s="21" t="s">
        <v>1829</v>
      </c>
      <c r="B130" s="3" t="s">
        <v>613</v>
      </c>
      <c r="C130" s="17" t="s">
        <v>422</v>
      </c>
      <c r="D130" s="3" t="s">
        <v>1062</v>
      </c>
      <c r="E130" s="8" t="s">
        <v>422</v>
      </c>
      <c r="F130" s="8" t="s">
        <v>1059</v>
      </c>
      <c r="G130" s="33" t="s">
        <v>426</v>
      </c>
    </row>
    <row r="131" spans="1:7">
      <c r="A131" s="21" t="s">
        <v>1830</v>
      </c>
      <c r="B131" s="3" t="s">
        <v>614</v>
      </c>
      <c r="C131" s="17" t="s">
        <v>422</v>
      </c>
      <c r="D131" s="3" t="s">
        <v>107</v>
      </c>
      <c r="E131" s="8" t="s">
        <v>420</v>
      </c>
      <c r="F131" s="8" t="s">
        <v>422</v>
      </c>
      <c r="G131" s="33" t="s">
        <v>450</v>
      </c>
    </row>
    <row r="132" spans="1:7">
      <c r="A132" s="21" t="s">
        <v>1831</v>
      </c>
      <c r="B132" s="3" t="s">
        <v>615</v>
      </c>
      <c r="C132" s="17" t="s">
        <v>432</v>
      </c>
      <c r="D132" s="3" t="s">
        <v>1065</v>
      </c>
      <c r="E132" s="8" t="s">
        <v>1061</v>
      </c>
      <c r="F132" s="8" t="s">
        <v>422</v>
      </c>
      <c r="G132" s="33" t="s">
        <v>433</v>
      </c>
    </row>
    <row r="133" spans="1:7">
      <c r="A133" s="21" t="s">
        <v>1832</v>
      </c>
      <c r="B133" s="3" t="s">
        <v>616</v>
      </c>
      <c r="C133" s="17" t="s">
        <v>422</v>
      </c>
      <c r="D133" s="3" t="s">
        <v>1067</v>
      </c>
      <c r="E133" s="8" t="s">
        <v>420</v>
      </c>
      <c r="F133" s="8" t="s">
        <v>435</v>
      </c>
      <c r="G133" s="33" t="s">
        <v>433</v>
      </c>
    </row>
    <row r="134" spans="1:7">
      <c r="A134" s="21" t="s">
        <v>1833</v>
      </c>
      <c r="B134" s="3" t="s">
        <v>617</v>
      </c>
      <c r="C134" s="17" t="s">
        <v>422</v>
      </c>
      <c r="D134" s="3" t="s">
        <v>1070</v>
      </c>
      <c r="E134" s="8" t="s">
        <v>420</v>
      </c>
      <c r="F134" s="8" t="s">
        <v>422</v>
      </c>
      <c r="G134" s="33" t="s">
        <v>433</v>
      </c>
    </row>
    <row r="135" spans="1:7">
      <c r="A135" s="21" t="s">
        <v>1834</v>
      </c>
      <c r="B135" s="3" t="s">
        <v>618</v>
      </c>
      <c r="C135" s="17" t="s">
        <v>422</v>
      </c>
      <c r="D135" s="3" t="s">
        <v>1067</v>
      </c>
      <c r="E135" s="8" t="s">
        <v>1061</v>
      </c>
      <c r="F135" s="8" t="s">
        <v>422</v>
      </c>
      <c r="G135" s="33" t="s">
        <v>433</v>
      </c>
    </row>
    <row r="136" spans="1:7">
      <c r="A136" s="21" t="s">
        <v>1835</v>
      </c>
      <c r="B136" s="3" t="s">
        <v>619</v>
      </c>
      <c r="C136" s="17" t="s">
        <v>422</v>
      </c>
      <c r="D136" s="3" t="s">
        <v>1068</v>
      </c>
      <c r="E136" s="8" t="s">
        <v>1061</v>
      </c>
      <c r="F136" s="8" t="s">
        <v>435</v>
      </c>
      <c r="G136" s="33" t="s">
        <v>433</v>
      </c>
    </row>
    <row r="137" spans="1:7">
      <c r="A137" s="21" t="s">
        <v>1836</v>
      </c>
      <c r="B137" s="3" t="s">
        <v>620</v>
      </c>
      <c r="C137" s="17" t="s">
        <v>422</v>
      </c>
      <c r="D137" s="3" t="s">
        <v>1062</v>
      </c>
      <c r="E137" s="8" t="s">
        <v>422</v>
      </c>
      <c r="F137" s="8" t="s">
        <v>1059</v>
      </c>
      <c r="G137" s="33" t="s">
        <v>423</v>
      </c>
    </row>
    <row r="138" spans="1:7">
      <c r="A138" s="21" t="s">
        <v>1837</v>
      </c>
      <c r="B138" s="3" t="s">
        <v>621</v>
      </c>
      <c r="C138" s="17" t="s">
        <v>422</v>
      </c>
      <c r="D138" s="3" t="s">
        <v>1065</v>
      </c>
      <c r="E138" s="8" t="s">
        <v>420</v>
      </c>
      <c r="F138" s="8" t="s">
        <v>422</v>
      </c>
      <c r="G138" s="33" t="s">
        <v>450</v>
      </c>
    </row>
    <row r="139" spans="1:7">
      <c r="A139" s="21" t="s">
        <v>1838</v>
      </c>
      <c r="B139" s="3" t="s">
        <v>622</v>
      </c>
      <c r="C139" s="17" t="s">
        <v>436</v>
      </c>
      <c r="D139" s="3" t="s">
        <v>1068</v>
      </c>
      <c r="E139" s="8" t="s">
        <v>1061</v>
      </c>
      <c r="F139" s="8" t="s">
        <v>422</v>
      </c>
      <c r="G139" s="33" t="s">
        <v>444</v>
      </c>
    </row>
    <row r="140" spans="1:7">
      <c r="A140" s="21" t="s">
        <v>1839</v>
      </c>
      <c r="B140" s="3" t="s">
        <v>623</v>
      </c>
      <c r="C140" s="17" t="s">
        <v>422</v>
      </c>
      <c r="D140" s="3" t="s">
        <v>107</v>
      </c>
      <c r="E140" s="8" t="s">
        <v>420</v>
      </c>
      <c r="F140" s="8" t="s">
        <v>422</v>
      </c>
      <c r="G140" s="33" t="s">
        <v>450</v>
      </c>
    </row>
    <row r="141" spans="1:7">
      <c r="A141" s="21" t="s">
        <v>1840</v>
      </c>
      <c r="B141" s="3" t="s">
        <v>624</v>
      </c>
      <c r="C141" s="17" t="s">
        <v>422</v>
      </c>
      <c r="D141" s="3" t="s">
        <v>107</v>
      </c>
      <c r="E141" s="8" t="s">
        <v>1061</v>
      </c>
      <c r="F141" s="8" t="s">
        <v>422</v>
      </c>
      <c r="G141" s="33" t="s">
        <v>444</v>
      </c>
    </row>
    <row r="142" spans="1:7">
      <c r="A142" s="21" t="s">
        <v>1841</v>
      </c>
      <c r="B142" s="3" t="s">
        <v>625</v>
      </c>
      <c r="C142" s="17" t="s">
        <v>422</v>
      </c>
      <c r="D142" s="3" t="s">
        <v>1070</v>
      </c>
      <c r="E142" s="8" t="s">
        <v>420</v>
      </c>
      <c r="F142" s="8" t="s">
        <v>422</v>
      </c>
      <c r="G142" s="33" t="s">
        <v>444</v>
      </c>
    </row>
    <row r="143" spans="1:7">
      <c r="A143" s="21" t="s">
        <v>1842</v>
      </c>
      <c r="B143" s="3" t="s">
        <v>626</v>
      </c>
      <c r="C143" s="17" t="s">
        <v>422</v>
      </c>
      <c r="D143" s="3" t="s">
        <v>1070</v>
      </c>
      <c r="E143" s="8" t="s">
        <v>420</v>
      </c>
      <c r="F143" s="8" t="s">
        <v>422</v>
      </c>
      <c r="G143" s="33" t="s">
        <v>444</v>
      </c>
    </row>
    <row r="144" spans="1:7">
      <c r="A144" s="21" t="s">
        <v>1843</v>
      </c>
      <c r="B144" s="3" t="s">
        <v>627</v>
      </c>
      <c r="C144" s="17" t="s">
        <v>432</v>
      </c>
      <c r="D144" s="3" t="s">
        <v>1065</v>
      </c>
      <c r="E144" s="8" t="s">
        <v>1061</v>
      </c>
      <c r="F144" s="8" t="s">
        <v>422</v>
      </c>
      <c r="G144" s="33" t="s">
        <v>433</v>
      </c>
    </row>
    <row r="145" spans="1:7">
      <c r="A145" s="21" t="s">
        <v>1844</v>
      </c>
      <c r="B145" s="3" t="s">
        <v>628</v>
      </c>
      <c r="C145" s="17" t="s">
        <v>422</v>
      </c>
      <c r="D145" s="3" t="s">
        <v>1068</v>
      </c>
      <c r="E145" s="8" t="s">
        <v>434</v>
      </c>
      <c r="F145" s="8" t="s">
        <v>422</v>
      </c>
      <c r="G145" s="33" t="s">
        <v>433</v>
      </c>
    </row>
    <row r="146" spans="1:7">
      <c r="A146" s="21" t="s">
        <v>1845</v>
      </c>
      <c r="B146" s="3" t="s">
        <v>629</v>
      </c>
      <c r="C146" s="17" t="s">
        <v>422</v>
      </c>
      <c r="D146" s="3" t="s">
        <v>1070</v>
      </c>
      <c r="E146" s="8" t="s">
        <v>420</v>
      </c>
      <c r="F146" s="8" t="s">
        <v>422</v>
      </c>
      <c r="G146" s="33" t="s">
        <v>444</v>
      </c>
    </row>
    <row r="147" spans="1:7">
      <c r="A147" s="21" t="s">
        <v>1846</v>
      </c>
      <c r="B147" s="3" t="s">
        <v>630</v>
      </c>
      <c r="C147" s="17" t="s">
        <v>432</v>
      </c>
      <c r="D147" s="3" t="s">
        <v>1070</v>
      </c>
      <c r="E147" s="8" t="s">
        <v>420</v>
      </c>
      <c r="F147" s="8" t="s">
        <v>422</v>
      </c>
      <c r="G147" s="33" t="s">
        <v>444</v>
      </c>
    </row>
    <row r="148" spans="1:7">
      <c r="A148" s="21" t="s">
        <v>1847</v>
      </c>
      <c r="B148" s="3" t="s">
        <v>631</v>
      </c>
      <c r="C148" s="17" t="s">
        <v>432</v>
      </c>
      <c r="D148" s="3" t="s">
        <v>107</v>
      </c>
      <c r="E148" s="8" t="s">
        <v>420</v>
      </c>
      <c r="F148" s="8" t="s">
        <v>422</v>
      </c>
      <c r="G148" s="33" t="s">
        <v>450</v>
      </c>
    </row>
    <row r="149" spans="1:7">
      <c r="A149" s="21" t="s">
        <v>1848</v>
      </c>
      <c r="B149" s="3" t="s">
        <v>632</v>
      </c>
      <c r="C149" s="17" t="s">
        <v>422</v>
      </c>
      <c r="D149" s="3" t="s">
        <v>1065</v>
      </c>
      <c r="E149" s="8" t="s">
        <v>420</v>
      </c>
      <c r="F149" s="8" t="s">
        <v>422</v>
      </c>
      <c r="G149" s="33" t="s">
        <v>444</v>
      </c>
    </row>
    <row r="150" spans="1:7">
      <c r="A150" s="21" t="s">
        <v>1849</v>
      </c>
      <c r="B150" s="3" t="s">
        <v>633</v>
      </c>
      <c r="C150" s="17" t="s">
        <v>436</v>
      </c>
      <c r="D150" s="3" t="s">
        <v>107</v>
      </c>
      <c r="E150" s="8" t="s">
        <v>420</v>
      </c>
      <c r="F150" s="8" t="s">
        <v>422</v>
      </c>
      <c r="G150" s="33" t="s">
        <v>450</v>
      </c>
    </row>
    <row r="151" spans="1:7">
      <c r="A151" s="21" t="s">
        <v>1850</v>
      </c>
      <c r="B151" s="3" t="s">
        <v>634</v>
      </c>
      <c r="C151" s="17" t="s">
        <v>432</v>
      </c>
      <c r="D151" s="3" t="s">
        <v>107</v>
      </c>
      <c r="E151" s="8" t="s">
        <v>420</v>
      </c>
      <c r="F151" s="8" t="s">
        <v>422</v>
      </c>
      <c r="G151" s="33" t="s">
        <v>444</v>
      </c>
    </row>
    <row r="152" spans="1:7">
      <c r="A152" s="21" t="s">
        <v>1851</v>
      </c>
      <c r="B152" s="3" t="s">
        <v>635</v>
      </c>
      <c r="C152" s="17" t="s">
        <v>422</v>
      </c>
      <c r="D152" s="3" t="s">
        <v>1071</v>
      </c>
      <c r="E152" s="8" t="s">
        <v>435</v>
      </c>
      <c r="F152" s="8" t="s">
        <v>422</v>
      </c>
      <c r="G152" s="33" t="s">
        <v>436</v>
      </c>
    </row>
    <row r="153" spans="1:7">
      <c r="A153" s="21" t="s">
        <v>1852</v>
      </c>
      <c r="B153" s="3" t="s">
        <v>636</v>
      </c>
      <c r="C153" s="17" t="s">
        <v>429</v>
      </c>
      <c r="D153" s="3" t="s">
        <v>1072</v>
      </c>
      <c r="E153" s="8" t="s">
        <v>420</v>
      </c>
      <c r="F153" s="8" t="s">
        <v>422</v>
      </c>
      <c r="G153" s="33" t="s">
        <v>433</v>
      </c>
    </row>
    <row r="154" spans="1:7">
      <c r="A154" s="21" t="s">
        <v>1853</v>
      </c>
      <c r="B154" s="3" t="s">
        <v>637</v>
      </c>
      <c r="C154" s="17" t="s">
        <v>422</v>
      </c>
      <c r="D154" s="3" t="s">
        <v>1062</v>
      </c>
      <c r="E154" s="8" t="s">
        <v>422</v>
      </c>
      <c r="F154" s="8" t="s">
        <v>1059</v>
      </c>
      <c r="G154" s="33" t="s">
        <v>426</v>
      </c>
    </row>
    <row r="155" spans="1:7">
      <c r="A155" s="21" t="s">
        <v>1854</v>
      </c>
      <c r="B155" s="3" t="s">
        <v>638</v>
      </c>
      <c r="C155" s="17" t="s">
        <v>422</v>
      </c>
      <c r="D155" s="3" t="s">
        <v>107</v>
      </c>
      <c r="E155" s="8" t="s">
        <v>420</v>
      </c>
      <c r="F155" s="8" t="s">
        <v>422</v>
      </c>
      <c r="G155" s="33" t="s">
        <v>450</v>
      </c>
    </row>
    <row r="156" spans="1:7">
      <c r="A156" s="21" t="s">
        <v>1855</v>
      </c>
      <c r="B156" s="3" t="s">
        <v>639</v>
      </c>
      <c r="C156" s="17" t="s">
        <v>432</v>
      </c>
      <c r="D156" s="3" t="s">
        <v>1065</v>
      </c>
      <c r="E156" s="8" t="s">
        <v>1061</v>
      </c>
      <c r="F156" s="8" t="s">
        <v>422</v>
      </c>
      <c r="G156" s="33" t="s">
        <v>433</v>
      </c>
    </row>
    <row r="157" spans="1:7">
      <c r="A157" s="21" t="s">
        <v>1856</v>
      </c>
      <c r="B157" s="3" t="s">
        <v>640</v>
      </c>
      <c r="C157" s="17" t="s">
        <v>422</v>
      </c>
      <c r="D157" s="3" t="s">
        <v>1067</v>
      </c>
      <c r="E157" s="8" t="s">
        <v>420</v>
      </c>
      <c r="F157" s="8" t="s">
        <v>435</v>
      </c>
      <c r="G157" s="33" t="s">
        <v>433</v>
      </c>
    </row>
    <row r="158" spans="1:7">
      <c r="A158" s="21" t="s">
        <v>1857</v>
      </c>
      <c r="B158" s="3" t="s">
        <v>641</v>
      </c>
      <c r="C158" s="17" t="s">
        <v>422</v>
      </c>
      <c r="D158" s="3" t="s">
        <v>1070</v>
      </c>
      <c r="E158" s="8" t="s">
        <v>420</v>
      </c>
      <c r="F158" s="8" t="s">
        <v>422</v>
      </c>
      <c r="G158" s="33" t="s">
        <v>433</v>
      </c>
    </row>
    <row r="159" spans="1:7">
      <c r="A159" s="21" t="s">
        <v>1858</v>
      </c>
      <c r="B159" s="3" t="s">
        <v>642</v>
      </c>
      <c r="C159" s="17" t="s">
        <v>422</v>
      </c>
      <c r="D159" s="3" t="s">
        <v>1067</v>
      </c>
      <c r="E159" s="8" t="s">
        <v>1061</v>
      </c>
      <c r="F159" s="8" t="s">
        <v>422</v>
      </c>
      <c r="G159" s="33" t="s">
        <v>433</v>
      </c>
    </row>
    <row r="160" spans="1:7">
      <c r="A160" s="21" t="s">
        <v>1859</v>
      </c>
      <c r="B160" s="3" t="s">
        <v>643</v>
      </c>
      <c r="C160" s="17" t="s">
        <v>422</v>
      </c>
      <c r="D160" s="3" t="s">
        <v>1068</v>
      </c>
      <c r="E160" s="8" t="s">
        <v>1061</v>
      </c>
      <c r="F160" s="8" t="s">
        <v>435</v>
      </c>
      <c r="G160" s="33" t="s">
        <v>433</v>
      </c>
    </row>
    <row r="161" spans="1:7">
      <c r="A161" s="21" t="s">
        <v>1860</v>
      </c>
      <c r="B161" s="3" t="s">
        <v>644</v>
      </c>
      <c r="C161" s="17" t="s">
        <v>422</v>
      </c>
      <c r="D161" s="3" t="s">
        <v>1062</v>
      </c>
      <c r="E161" s="8" t="s">
        <v>422</v>
      </c>
      <c r="F161" s="8" t="s">
        <v>1059</v>
      </c>
      <c r="G161" s="33" t="s">
        <v>423</v>
      </c>
    </row>
    <row r="162" spans="1:7">
      <c r="A162" s="21" t="s">
        <v>1861</v>
      </c>
      <c r="B162" s="3" t="s">
        <v>645</v>
      </c>
      <c r="C162" s="17" t="s">
        <v>422</v>
      </c>
      <c r="D162" s="3" t="s">
        <v>1065</v>
      </c>
      <c r="E162" s="8" t="s">
        <v>420</v>
      </c>
      <c r="F162" s="8" t="s">
        <v>422</v>
      </c>
      <c r="G162" s="33" t="s">
        <v>450</v>
      </c>
    </row>
    <row r="163" spans="1:7">
      <c r="A163" s="21" t="s">
        <v>1862</v>
      </c>
      <c r="B163" s="3" t="s">
        <v>646</v>
      </c>
      <c r="C163" s="17" t="s">
        <v>436</v>
      </c>
      <c r="D163" s="3" t="s">
        <v>1068</v>
      </c>
      <c r="E163" s="8" t="s">
        <v>1061</v>
      </c>
      <c r="F163" s="8" t="s">
        <v>422</v>
      </c>
      <c r="G163" s="33" t="s">
        <v>444</v>
      </c>
    </row>
    <row r="164" spans="1:7">
      <c r="A164" s="21" t="s">
        <v>1863</v>
      </c>
      <c r="B164" s="3" t="s">
        <v>647</v>
      </c>
      <c r="C164" s="17" t="s">
        <v>422</v>
      </c>
      <c r="D164" s="3" t="s">
        <v>107</v>
      </c>
      <c r="E164" s="8" t="s">
        <v>420</v>
      </c>
      <c r="F164" s="8" t="s">
        <v>422</v>
      </c>
      <c r="G164" s="33" t="s">
        <v>450</v>
      </c>
    </row>
    <row r="165" spans="1:7">
      <c r="A165" s="21" t="s">
        <v>1864</v>
      </c>
      <c r="B165" s="3" t="s">
        <v>648</v>
      </c>
      <c r="C165" s="17" t="s">
        <v>422</v>
      </c>
      <c r="D165" s="3" t="s">
        <v>107</v>
      </c>
      <c r="E165" s="8" t="s">
        <v>1061</v>
      </c>
      <c r="F165" s="8" t="s">
        <v>422</v>
      </c>
      <c r="G165" s="33" t="s">
        <v>444</v>
      </c>
    </row>
    <row r="166" spans="1:7">
      <c r="A166" s="21" t="s">
        <v>1865</v>
      </c>
      <c r="B166" s="3" t="s">
        <v>649</v>
      </c>
      <c r="C166" s="17" t="s">
        <v>422</v>
      </c>
      <c r="D166" s="3" t="s">
        <v>1070</v>
      </c>
      <c r="E166" s="8" t="s">
        <v>420</v>
      </c>
      <c r="F166" s="8" t="s">
        <v>422</v>
      </c>
      <c r="G166" s="33" t="s">
        <v>444</v>
      </c>
    </row>
    <row r="167" spans="1:7">
      <c r="A167" s="21" t="s">
        <v>1866</v>
      </c>
      <c r="B167" s="3" t="s">
        <v>650</v>
      </c>
      <c r="C167" s="17" t="s">
        <v>422</v>
      </c>
      <c r="D167" s="3" t="s">
        <v>1070</v>
      </c>
      <c r="E167" s="8" t="s">
        <v>420</v>
      </c>
      <c r="F167" s="8" t="s">
        <v>422</v>
      </c>
      <c r="G167" s="33" t="s">
        <v>444</v>
      </c>
    </row>
    <row r="168" spans="1:7">
      <c r="A168" s="21" t="s">
        <v>1867</v>
      </c>
      <c r="B168" s="3" t="s">
        <v>651</v>
      </c>
      <c r="C168" s="17" t="s">
        <v>432</v>
      </c>
      <c r="D168" s="3" t="s">
        <v>1065</v>
      </c>
      <c r="E168" s="8" t="s">
        <v>1061</v>
      </c>
      <c r="F168" s="8" t="s">
        <v>422</v>
      </c>
      <c r="G168" s="33" t="s">
        <v>433</v>
      </c>
    </row>
    <row r="169" spans="1:7">
      <c r="A169" s="21" t="s">
        <v>1868</v>
      </c>
      <c r="B169" s="3" t="s">
        <v>652</v>
      </c>
      <c r="C169" s="17" t="s">
        <v>422</v>
      </c>
      <c r="D169" s="3" t="s">
        <v>1068</v>
      </c>
      <c r="E169" s="8" t="s">
        <v>434</v>
      </c>
      <c r="F169" s="8" t="s">
        <v>422</v>
      </c>
      <c r="G169" s="33" t="s">
        <v>433</v>
      </c>
    </row>
    <row r="170" spans="1:7">
      <c r="A170" s="21" t="s">
        <v>1869</v>
      </c>
      <c r="B170" s="3" t="s">
        <v>653</v>
      </c>
      <c r="C170" s="17" t="s">
        <v>422</v>
      </c>
      <c r="D170" s="3" t="s">
        <v>1070</v>
      </c>
      <c r="E170" s="8" t="s">
        <v>420</v>
      </c>
      <c r="F170" s="8" t="s">
        <v>422</v>
      </c>
      <c r="G170" s="33" t="s">
        <v>444</v>
      </c>
    </row>
    <row r="171" spans="1:7">
      <c r="A171" s="21" t="s">
        <v>1870</v>
      </c>
      <c r="B171" s="3" t="s">
        <v>654</v>
      </c>
      <c r="C171" s="17" t="s">
        <v>432</v>
      </c>
      <c r="D171" s="3" t="s">
        <v>1070</v>
      </c>
      <c r="E171" s="8" t="s">
        <v>420</v>
      </c>
      <c r="F171" s="8" t="s">
        <v>422</v>
      </c>
      <c r="G171" s="33" t="s">
        <v>444</v>
      </c>
    </row>
    <row r="172" spans="1:7">
      <c r="A172" s="21" t="s">
        <v>1871</v>
      </c>
      <c r="B172" s="3" t="s">
        <v>655</v>
      </c>
      <c r="C172" s="17" t="s">
        <v>432</v>
      </c>
      <c r="D172" s="3" t="s">
        <v>107</v>
      </c>
      <c r="E172" s="8" t="s">
        <v>420</v>
      </c>
      <c r="F172" s="8" t="s">
        <v>422</v>
      </c>
      <c r="G172" s="33" t="s">
        <v>450</v>
      </c>
    </row>
    <row r="173" spans="1:7">
      <c r="A173" s="21" t="s">
        <v>1872</v>
      </c>
      <c r="B173" s="3" t="s">
        <v>656</v>
      </c>
      <c r="C173" s="17" t="s">
        <v>422</v>
      </c>
      <c r="D173" s="3" t="s">
        <v>1065</v>
      </c>
      <c r="E173" s="8" t="s">
        <v>420</v>
      </c>
      <c r="F173" s="8" t="s">
        <v>422</v>
      </c>
      <c r="G173" s="33" t="s">
        <v>444</v>
      </c>
    </row>
    <row r="174" spans="1:7">
      <c r="A174" s="21" t="s">
        <v>1873</v>
      </c>
      <c r="B174" s="3" t="s">
        <v>657</v>
      </c>
      <c r="C174" s="17" t="s">
        <v>436</v>
      </c>
      <c r="D174" s="3" t="s">
        <v>107</v>
      </c>
      <c r="E174" s="8" t="s">
        <v>420</v>
      </c>
      <c r="F174" s="8" t="s">
        <v>422</v>
      </c>
      <c r="G174" s="33" t="s">
        <v>450</v>
      </c>
    </row>
    <row r="175" spans="1:7">
      <c r="A175" s="21" t="s">
        <v>1874</v>
      </c>
      <c r="B175" s="3" t="s">
        <v>658</v>
      </c>
      <c r="C175" s="17" t="s">
        <v>432</v>
      </c>
      <c r="D175" s="3" t="s">
        <v>107</v>
      </c>
      <c r="E175" s="8" t="s">
        <v>420</v>
      </c>
      <c r="F175" s="8" t="s">
        <v>422</v>
      </c>
      <c r="G175" s="33" t="s">
        <v>444</v>
      </c>
    </row>
    <row r="176" spans="1:7">
      <c r="A176" s="21" t="s">
        <v>1875</v>
      </c>
      <c r="B176" s="3" t="s">
        <v>659</v>
      </c>
      <c r="C176" s="17" t="s">
        <v>422</v>
      </c>
      <c r="D176" s="3" t="s">
        <v>1071</v>
      </c>
      <c r="E176" s="8" t="s">
        <v>435</v>
      </c>
      <c r="F176" s="8" t="s">
        <v>422</v>
      </c>
      <c r="G176" s="33" t="s">
        <v>436</v>
      </c>
    </row>
    <row r="177" spans="1:7">
      <c r="A177" s="21" t="s">
        <v>1876</v>
      </c>
      <c r="B177" s="3" t="s">
        <v>660</v>
      </c>
      <c r="C177" s="17" t="s">
        <v>429</v>
      </c>
      <c r="D177" s="3" t="s">
        <v>1072</v>
      </c>
      <c r="E177" s="8" t="s">
        <v>420</v>
      </c>
      <c r="F177" s="8" t="s">
        <v>422</v>
      </c>
      <c r="G177" s="33" t="s">
        <v>433</v>
      </c>
    </row>
    <row r="178" spans="1:7">
      <c r="A178" s="21" t="s">
        <v>1877</v>
      </c>
      <c r="B178" s="3" t="s">
        <v>661</v>
      </c>
      <c r="C178" s="17" t="s">
        <v>422</v>
      </c>
      <c r="D178" s="3" t="s">
        <v>1062</v>
      </c>
      <c r="E178" s="8" t="s">
        <v>422</v>
      </c>
      <c r="F178" s="8" t="s">
        <v>1059</v>
      </c>
      <c r="G178" s="33" t="s">
        <v>426</v>
      </c>
    </row>
    <row r="179" spans="1:7">
      <c r="A179" s="21" t="s">
        <v>1878</v>
      </c>
      <c r="B179" s="3" t="s">
        <v>662</v>
      </c>
      <c r="C179" s="17" t="s">
        <v>422</v>
      </c>
      <c r="D179" s="3" t="s">
        <v>107</v>
      </c>
      <c r="E179" s="8" t="s">
        <v>420</v>
      </c>
      <c r="F179" s="8" t="s">
        <v>422</v>
      </c>
      <c r="G179" s="33" t="s">
        <v>450</v>
      </c>
    </row>
    <row r="180" spans="1:7">
      <c r="A180" s="21" t="s">
        <v>1879</v>
      </c>
      <c r="B180" s="3" t="s">
        <v>663</v>
      </c>
      <c r="C180" s="17" t="s">
        <v>432</v>
      </c>
      <c r="D180" s="3" t="s">
        <v>1065</v>
      </c>
      <c r="E180" s="8" t="s">
        <v>1061</v>
      </c>
      <c r="F180" s="8" t="s">
        <v>422</v>
      </c>
      <c r="G180" s="33" t="s">
        <v>433</v>
      </c>
    </row>
    <row r="181" spans="1:7">
      <c r="A181" s="21" t="s">
        <v>1880</v>
      </c>
      <c r="B181" s="3" t="s">
        <v>664</v>
      </c>
      <c r="C181" s="17" t="s">
        <v>422</v>
      </c>
      <c r="D181" s="3" t="s">
        <v>1067</v>
      </c>
      <c r="E181" s="8" t="s">
        <v>420</v>
      </c>
      <c r="F181" s="8" t="s">
        <v>435</v>
      </c>
      <c r="G181" s="33" t="s">
        <v>433</v>
      </c>
    </row>
    <row r="182" spans="1:7">
      <c r="A182" s="21" t="s">
        <v>1881</v>
      </c>
      <c r="B182" s="3" t="s">
        <v>665</v>
      </c>
      <c r="C182" s="17" t="s">
        <v>422</v>
      </c>
      <c r="D182" s="3" t="s">
        <v>1070</v>
      </c>
      <c r="E182" s="8" t="s">
        <v>420</v>
      </c>
      <c r="F182" s="8" t="s">
        <v>422</v>
      </c>
      <c r="G182" s="33" t="s">
        <v>433</v>
      </c>
    </row>
    <row r="183" spans="1:7">
      <c r="A183" s="21" t="s">
        <v>1882</v>
      </c>
      <c r="B183" s="3" t="s">
        <v>666</v>
      </c>
      <c r="C183" s="17" t="s">
        <v>422</v>
      </c>
      <c r="D183" s="3" t="s">
        <v>1067</v>
      </c>
      <c r="E183" s="8" t="s">
        <v>1061</v>
      </c>
      <c r="F183" s="8" t="s">
        <v>422</v>
      </c>
      <c r="G183" s="33" t="s">
        <v>433</v>
      </c>
    </row>
    <row r="184" spans="1:7">
      <c r="A184" s="21" t="s">
        <v>1883</v>
      </c>
      <c r="B184" s="3" t="s">
        <v>667</v>
      </c>
      <c r="C184" s="17" t="s">
        <v>422</v>
      </c>
      <c r="D184" s="3" t="s">
        <v>1068</v>
      </c>
      <c r="E184" s="8" t="s">
        <v>1061</v>
      </c>
      <c r="F184" s="8" t="s">
        <v>435</v>
      </c>
      <c r="G184" s="33" t="s">
        <v>433</v>
      </c>
    </row>
    <row r="185" spans="1:7">
      <c r="A185" s="21" t="s">
        <v>1884</v>
      </c>
      <c r="B185" s="3" t="s">
        <v>668</v>
      </c>
      <c r="C185" s="17" t="s">
        <v>422</v>
      </c>
      <c r="D185" s="3" t="s">
        <v>1062</v>
      </c>
      <c r="E185" s="8" t="s">
        <v>422</v>
      </c>
      <c r="F185" s="8" t="s">
        <v>1059</v>
      </c>
      <c r="G185" s="33" t="s">
        <v>423</v>
      </c>
    </row>
    <row r="186" spans="1:7">
      <c r="A186" s="21" t="s">
        <v>1885</v>
      </c>
      <c r="B186" s="3" t="s">
        <v>669</v>
      </c>
      <c r="C186" s="17" t="s">
        <v>422</v>
      </c>
      <c r="D186" s="3" t="s">
        <v>1065</v>
      </c>
      <c r="E186" s="8" t="s">
        <v>420</v>
      </c>
      <c r="F186" s="8" t="s">
        <v>422</v>
      </c>
      <c r="G186" s="33" t="s">
        <v>450</v>
      </c>
    </row>
    <row r="187" spans="1:7">
      <c r="A187" s="21" t="s">
        <v>1886</v>
      </c>
      <c r="B187" s="3" t="s">
        <v>670</v>
      </c>
      <c r="C187" s="17" t="s">
        <v>436</v>
      </c>
      <c r="D187" s="3" t="s">
        <v>1068</v>
      </c>
      <c r="E187" s="8" t="s">
        <v>1061</v>
      </c>
      <c r="F187" s="8" t="s">
        <v>422</v>
      </c>
      <c r="G187" s="33" t="s">
        <v>444</v>
      </c>
    </row>
    <row r="188" spans="1:7">
      <c r="A188" s="21" t="s">
        <v>1887</v>
      </c>
      <c r="B188" s="3" t="s">
        <v>671</v>
      </c>
      <c r="C188" s="17" t="s">
        <v>422</v>
      </c>
      <c r="D188" s="3" t="s">
        <v>107</v>
      </c>
      <c r="E188" s="8" t="s">
        <v>420</v>
      </c>
      <c r="F188" s="8" t="s">
        <v>422</v>
      </c>
      <c r="G188" s="33" t="s">
        <v>450</v>
      </c>
    </row>
    <row r="189" spans="1:7">
      <c r="A189" s="21" t="s">
        <v>1888</v>
      </c>
      <c r="B189" s="3" t="s">
        <v>672</v>
      </c>
      <c r="C189" s="17" t="s">
        <v>422</v>
      </c>
      <c r="D189" s="3" t="s">
        <v>107</v>
      </c>
      <c r="E189" s="8" t="s">
        <v>1061</v>
      </c>
      <c r="F189" s="8" t="s">
        <v>422</v>
      </c>
      <c r="G189" s="33" t="s">
        <v>444</v>
      </c>
    </row>
    <row r="190" spans="1:7">
      <c r="A190" s="21" t="s">
        <v>1889</v>
      </c>
      <c r="B190" s="3" t="s">
        <v>673</v>
      </c>
      <c r="C190" s="17" t="s">
        <v>422</v>
      </c>
      <c r="D190" s="3" t="s">
        <v>1070</v>
      </c>
      <c r="E190" s="8" t="s">
        <v>420</v>
      </c>
      <c r="F190" s="8" t="s">
        <v>422</v>
      </c>
      <c r="G190" s="33" t="s">
        <v>444</v>
      </c>
    </row>
    <row r="191" spans="1:7">
      <c r="A191" s="21" t="s">
        <v>1890</v>
      </c>
      <c r="B191" s="3" t="s">
        <v>674</v>
      </c>
      <c r="C191" s="17" t="s">
        <v>422</v>
      </c>
      <c r="D191" s="3" t="s">
        <v>1070</v>
      </c>
      <c r="E191" s="8" t="s">
        <v>420</v>
      </c>
      <c r="F191" s="8" t="s">
        <v>422</v>
      </c>
      <c r="G191" s="33" t="s">
        <v>444</v>
      </c>
    </row>
    <row r="192" spans="1:7">
      <c r="A192" s="21" t="s">
        <v>1891</v>
      </c>
      <c r="B192" s="3" t="s">
        <v>675</v>
      </c>
      <c r="C192" s="17" t="s">
        <v>432</v>
      </c>
      <c r="D192" s="3" t="s">
        <v>1065</v>
      </c>
      <c r="E192" s="8" t="s">
        <v>1061</v>
      </c>
      <c r="F192" s="8" t="s">
        <v>422</v>
      </c>
      <c r="G192" s="33" t="s">
        <v>433</v>
      </c>
    </row>
    <row r="193" spans="1:7">
      <c r="A193" s="21" t="s">
        <v>1892</v>
      </c>
      <c r="B193" s="3" t="s">
        <v>676</v>
      </c>
      <c r="C193" s="17" t="s">
        <v>422</v>
      </c>
      <c r="D193" s="3" t="s">
        <v>1068</v>
      </c>
      <c r="E193" s="8" t="s">
        <v>434</v>
      </c>
      <c r="F193" s="8" t="s">
        <v>422</v>
      </c>
      <c r="G193" s="33" t="s">
        <v>433</v>
      </c>
    </row>
    <row r="194" spans="1:7">
      <c r="A194" s="21" t="s">
        <v>1893</v>
      </c>
      <c r="B194" s="3" t="s">
        <v>677</v>
      </c>
      <c r="C194" s="17" t="s">
        <v>422</v>
      </c>
      <c r="D194" s="3" t="s">
        <v>1070</v>
      </c>
      <c r="E194" s="8" t="s">
        <v>420</v>
      </c>
      <c r="F194" s="8" t="s">
        <v>422</v>
      </c>
      <c r="G194" s="33" t="s">
        <v>444</v>
      </c>
    </row>
    <row r="195" spans="1:7">
      <c r="A195" s="21" t="s">
        <v>1894</v>
      </c>
      <c r="B195" s="3" t="s">
        <v>678</v>
      </c>
      <c r="C195" s="17" t="s">
        <v>432</v>
      </c>
      <c r="D195" s="3" t="s">
        <v>1070</v>
      </c>
      <c r="E195" s="8" t="s">
        <v>420</v>
      </c>
      <c r="F195" s="8" t="s">
        <v>422</v>
      </c>
      <c r="G195" s="33" t="s">
        <v>444</v>
      </c>
    </row>
    <row r="196" spans="1:7">
      <c r="A196" s="21" t="s">
        <v>1895</v>
      </c>
      <c r="B196" s="3" t="s">
        <v>679</v>
      </c>
      <c r="C196" s="17" t="s">
        <v>432</v>
      </c>
      <c r="D196" s="3" t="s">
        <v>107</v>
      </c>
      <c r="E196" s="8" t="s">
        <v>420</v>
      </c>
      <c r="F196" s="8" t="s">
        <v>422</v>
      </c>
      <c r="G196" s="33" t="s">
        <v>450</v>
      </c>
    </row>
    <row r="197" spans="1:7">
      <c r="A197" s="21" t="s">
        <v>1896</v>
      </c>
      <c r="B197" s="3" t="s">
        <v>680</v>
      </c>
      <c r="C197" s="17" t="s">
        <v>422</v>
      </c>
      <c r="D197" s="3" t="s">
        <v>1065</v>
      </c>
      <c r="E197" s="8" t="s">
        <v>420</v>
      </c>
      <c r="F197" s="8" t="s">
        <v>422</v>
      </c>
      <c r="G197" s="33" t="s">
        <v>444</v>
      </c>
    </row>
    <row r="198" spans="1:7">
      <c r="A198" s="21" t="s">
        <v>1897</v>
      </c>
      <c r="B198" s="3" t="s">
        <v>681</v>
      </c>
      <c r="C198" s="17" t="s">
        <v>436</v>
      </c>
      <c r="D198" s="3" t="s">
        <v>107</v>
      </c>
      <c r="E198" s="8" t="s">
        <v>420</v>
      </c>
      <c r="F198" s="8" t="s">
        <v>422</v>
      </c>
      <c r="G198" s="33" t="s">
        <v>450</v>
      </c>
    </row>
    <row r="199" spans="1:7">
      <c r="A199" s="21" t="s">
        <v>1898</v>
      </c>
      <c r="B199" s="3" t="s">
        <v>682</v>
      </c>
      <c r="C199" s="17" t="s">
        <v>432</v>
      </c>
      <c r="D199" s="3" t="s">
        <v>107</v>
      </c>
      <c r="E199" s="8" t="s">
        <v>420</v>
      </c>
      <c r="F199" s="8" t="s">
        <v>422</v>
      </c>
      <c r="G199" s="33" t="s">
        <v>444</v>
      </c>
    </row>
    <row r="200" spans="1:7">
      <c r="A200" s="21" t="s">
        <v>1899</v>
      </c>
      <c r="B200" s="3" t="s">
        <v>683</v>
      </c>
      <c r="C200" s="17" t="s">
        <v>422</v>
      </c>
      <c r="D200" s="3" t="s">
        <v>1071</v>
      </c>
      <c r="E200" s="8" t="s">
        <v>435</v>
      </c>
      <c r="F200" s="8" t="s">
        <v>422</v>
      </c>
      <c r="G200" s="33" t="s">
        <v>436</v>
      </c>
    </row>
    <row r="201" spans="1:7">
      <c r="A201" s="21" t="s">
        <v>1900</v>
      </c>
      <c r="B201" s="3" t="s">
        <v>684</v>
      </c>
      <c r="C201" s="17" t="s">
        <v>429</v>
      </c>
      <c r="D201" s="3" t="s">
        <v>1072</v>
      </c>
      <c r="E201" s="8" t="s">
        <v>420</v>
      </c>
      <c r="F201" s="8" t="s">
        <v>422</v>
      </c>
      <c r="G201" s="33" t="s">
        <v>433</v>
      </c>
    </row>
    <row r="202" spans="1:7">
      <c r="A202" s="21" t="s">
        <v>1901</v>
      </c>
      <c r="B202" s="3" t="s">
        <v>685</v>
      </c>
      <c r="C202" s="17" t="s">
        <v>422</v>
      </c>
      <c r="D202" s="3" t="s">
        <v>1062</v>
      </c>
      <c r="E202" s="8" t="s">
        <v>422</v>
      </c>
      <c r="F202" s="8" t="s">
        <v>1059</v>
      </c>
      <c r="G202" s="33" t="s">
        <v>426</v>
      </c>
    </row>
    <row r="203" spans="1:7">
      <c r="A203" s="21" t="s">
        <v>1902</v>
      </c>
      <c r="B203" s="3" t="s">
        <v>686</v>
      </c>
      <c r="C203" s="17" t="s">
        <v>422</v>
      </c>
      <c r="D203" s="3" t="s">
        <v>107</v>
      </c>
      <c r="E203" s="8" t="s">
        <v>420</v>
      </c>
      <c r="F203" s="8" t="s">
        <v>422</v>
      </c>
      <c r="G203" s="33" t="s">
        <v>450</v>
      </c>
    </row>
    <row r="204" spans="1:7">
      <c r="A204" s="21" t="s">
        <v>1903</v>
      </c>
      <c r="B204" s="3" t="s">
        <v>687</v>
      </c>
      <c r="C204" s="17" t="s">
        <v>432</v>
      </c>
      <c r="D204" s="3" t="s">
        <v>1065</v>
      </c>
      <c r="E204" s="8" t="s">
        <v>1061</v>
      </c>
      <c r="F204" s="8" t="s">
        <v>422</v>
      </c>
      <c r="G204" s="33" t="s">
        <v>433</v>
      </c>
    </row>
    <row r="205" spans="1:7">
      <c r="A205" s="21" t="s">
        <v>1904</v>
      </c>
      <c r="B205" s="3" t="s">
        <v>688</v>
      </c>
      <c r="C205" s="17" t="s">
        <v>422</v>
      </c>
      <c r="D205" s="3" t="s">
        <v>1067</v>
      </c>
      <c r="E205" s="8" t="s">
        <v>420</v>
      </c>
      <c r="F205" s="8" t="s">
        <v>435</v>
      </c>
      <c r="G205" s="33" t="s">
        <v>433</v>
      </c>
    </row>
    <row r="206" spans="1:7">
      <c r="A206" s="21" t="s">
        <v>1905</v>
      </c>
      <c r="B206" s="3" t="s">
        <v>689</v>
      </c>
      <c r="C206" s="17" t="s">
        <v>422</v>
      </c>
      <c r="D206" s="3" t="s">
        <v>1070</v>
      </c>
      <c r="E206" s="8" t="s">
        <v>420</v>
      </c>
      <c r="F206" s="8" t="s">
        <v>422</v>
      </c>
      <c r="G206" s="33" t="s">
        <v>433</v>
      </c>
    </row>
    <row r="207" spans="1:7">
      <c r="A207" s="21" t="s">
        <v>1906</v>
      </c>
      <c r="B207" s="3" t="s">
        <v>690</v>
      </c>
      <c r="C207" s="17" t="s">
        <v>422</v>
      </c>
      <c r="D207" s="3" t="s">
        <v>1067</v>
      </c>
      <c r="E207" s="8" t="s">
        <v>1061</v>
      </c>
      <c r="F207" s="8" t="s">
        <v>422</v>
      </c>
      <c r="G207" s="33" t="s">
        <v>433</v>
      </c>
    </row>
    <row r="208" spans="1:7">
      <c r="A208" s="21" t="s">
        <v>1907</v>
      </c>
      <c r="B208" s="3" t="s">
        <v>691</v>
      </c>
      <c r="C208" s="17" t="s">
        <v>422</v>
      </c>
      <c r="D208" s="3" t="s">
        <v>1068</v>
      </c>
      <c r="E208" s="8" t="s">
        <v>1061</v>
      </c>
      <c r="F208" s="8" t="s">
        <v>435</v>
      </c>
      <c r="G208" s="33" t="s">
        <v>433</v>
      </c>
    </row>
    <row r="209" spans="1:7">
      <c r="A209" s="21" t="s">
        <v>1908</v>
      </c>
      <c r="B209" s="3" t="s">
        <v>692</v>
      </c>
      <c r="C209" s="17" t="s">
        <v>422</v>
      </c>
      <c r="D209" s="3" t="s">
        <v>1062</v>
      </c>
      <c r="E209" s="8" t="s">
        <v>422</v>
      </c>
      <c r="F209" s="8" t="s">
        <v>1059</v>
      </c>
      <c r="G209" s="33" t="s">
        <v>423</v>
      </c>
    </row>
    <row r="210" spans="1:7">
      <c r="A210" s="21" t="s">
        <v>1909</v>
      </c>
      <c r="B210" s="3" t="s">
        <v>693</v>
      </c>
      <c r="C210" s="17" t="s">
        <v>422</v>
      </c>
      <c r="D210" s="3" t="s">
        <v>1065</v>
      </c>
      <c r="E210" s="8" t="s">
        <v>420</v>
      </c>
      <c r="F210" s="8" t="s">
        <v>422</v>
      </c>
      <c r="G210" s="33" t="s">
        <v>450</v>
      </c>
    </row>
    <row r="211" spans="1:7">
      <c r="A211" s="21" t="s">
        <v>1910</v>
      </c>
      <c r="B211" s="3" t="s">
        <v>694</v>
      </c>
      <c r="C211" s="17" t="s">
        <v>436</v>
      </c>
      <c r="D211" s="3" t="s">
        <v>1068</v>
      </c>
      <c r="E211" s="8" t="s">
        <v>1061</v>
      </c>
      <c r="F211" s="8" t="s">
        <v>422</v>
      </c>
      <c r="G211" s="33" t="s">
        <v>444</v>
      </c>
    </row>
    <row r="212" spans="1:7">
      <c r="A212" s="21" t="s">
        <v>1911</v>
      </c>
      <c r="B212" s="3" t="s">
        <v>695</v>
      </c>
      <c r="C212" s="17" t="s">
        <v>422</v>
      </c>
      <c r="D212" s="3" t="s">
        <v>107</v>
      </c>
      <c r="E212" s="8" t="s">
        <v>420</v>
      </c>
      <c r="F212" s="8" t="s">
        <v>422</v>
      </c>
      <c r="G212" s="33" t="s">
        <v>450</v>
      </c>
    </row>
    <row r="213" spans="1:7">
      <c r="A213" s="21" t="s">
        <v>1912</v>
      </c>
      <c r="B213" s="3" t="s">
        <v>696</v>
      </c>
      <c r="C213" s="17" t="s">
        <v>422</v>
      </c>
      <c r="D213" s="3" t="s">
        <v>107</v>
      </c>
      <c r="E213" s="8" t="s">
        <v>1061</v>
      </c>
      <c r="F213" s="8" t="s">
        <v>422</v>
      </c>
      <c r="G213" s="33" t="s">
        <v>444</v>
      </c>
    </row>
    <row r="214" spans="1:7">
      <c r="A214" s="21" t="s">
        <v>1913</v>
      </c>
      <c r="B214" s="3" t="s">
        <v>697</v>
      </c>
      <c r="C214" s="17" t="s">
        <v>422</v>
      </c>
      <c r="D214" s="3" t="s">
        <v>1070</v>
      </c>
      <c r="E214" s="8" t="s">
        <v>420</v>
      </c>
      <c r="F214" s="8" t="s">
        <v>422</v>
      </c>
      <c r="G214" s="33" t="s">
        <v>444</v>
      </c>
    </row>
    <row r="215" spans="1:7">
      <c r="A215" s="21" t="s">
        <v>1914</v>
      </c>
      <c r="B215" s="3" t="s">
        <v>698</v>
      </c>
      <c r="C215" s="17" t="s">
        <v>422</v>
      </c>
      <c r="D215" s="3" t="s">
        <v>1070</v>
      </c>
      <c r="E215" s="8" t="s">
        <v>420</v>
      </c>
      <c r="F215" s="8" t="s">
        <v>422</v>
      </c>
      <c r="G215" s="33" t="s">
        <v>444</v>
      </c>
    </row>
    <row r="216" spans="1:7">
      <c r="A216" s="21" t="s">
        <v>1915</v>
      </c>
      <c r="B216" s="3" t="s">
        <v>699</v>
      </c>
      <c r="C216" s="17" t="s">
        <v>432</v>
      </c>
      <c r="D216" s="3" t="s">
        <v>1065</v>
      </c>
      <c r="E216" s="8" t="s">
        <v>1061</v>
      </c>
      <c r="F216" s="8" t="s">
        <v>422</v>
      </c>
      <c r="G216" s="33" t="s">
        <v>433</v>
      </c>
    </row>
    <row r="217" spans="1:7">
      <c r="A217" s="21" t="s">
        <v>1916</v>
      </c>
      <c r="B217" s="3" t="s">
        <v>700</v>
      </c>
      <c r="C217" s="17" t="s">
        <v>422</v>
      </c>
      <c r="D217" s="3" t="s">
        <v>1068</v>
      </c>
      <c r="E217" s="8" t="s">
        <v>434</v>
      </c>
      <c r="F217" s="8" t="s">
        <v>422</v>
      </c>
      <c r="G217" s="33" t="s">
        <v>433</v>
      </c>
    </row>
    <row r="218" spans="1:7">
      <c r="A218" s="21" t="s">
        <v>1917</v>
      </c>
      <c r="B218" s="3" t="s">
        <v>701</v>
      </c>
      <c r="C218" s="17" t="s">
        <v>422</v>
      </c>
      <c r="D218" s="3" t="s">
        <v>1070</v>
      </c>
      <c r="E218" s="8" t="s">
        <v>420</v>
      </c>
      <c r="F218" s="8" t="s">
        <v>422</v>
      </c>
      <c r="G218" s="33" t="s">
        <v>444</v>
      </c>
    </row>
    <row r="219" spans="1:7">
      <c r="A219" s="21" t="s">
        <v>1918</v>
      </c>
      <c r="B219" s="3" t="s">
        <v>702</v>
      </c>
      <c r="C219" s="17" t="s">
        <v>432</v>
      </c>
      <c r="D219" s="3" t="s">
        <v>1070</v>
      </c>
      <c r="E219" s="8" t="s">
        <v>420</v>
      </c>
      <c r="F219" s="8" t="s">
        <v>422</v>
      </c>
      <c r="G219" s="33" t="s">
        <v>444</v>
      </c>
    </row>
    <row r="220" spans="1:7">
      <c r="A220" s="21" t="s">
        <v>1919</v>
      </c>
      <c r="B220" s="3" t="s">
        <v>703</v>
      </c>
      <c r="C220" s="17" t="s">
        <v>432</v>
      </c>
      <c r="D220" s="3" t="s">
        <v>107</v>
      </c>
      <c r="E220" s="8" t="s">
        <v>420</v>
      </c>
      <c r="F220" s="8" t="s">
        <v>422</v>
      </c>
      <c r="G220" s="33" t="s">
        <v>450</v>
      </c>
    </row>
    <row r="221" spans="1:7">
      <c r="A221" s="21" t="s">
        <v>1920</v>
      </c>
      <c r="B221" s="3" t="s">
        <v>704</v>
      </c>
      <c r="C221" s="17" t="s">
        <v>422</v>
      </c>
      <c r="D221" s="3" t="s">
        <v>1065</v>
      </c>
      <c r="E221" s="8" t="s">
        <v>420</v>
      </c>
      <c r="F221" s="8" t="s">
        <v>422</v>
      </c>
      <c r="G221" s="33" t="s">
        <v>444</v>
      </c>
    </row>
    <row r="222" spans="1:7">
      <c r="A222" s="21" t="s">
        <v>1921</v>
      </c>
      <c r="B222" s="3" t="s">
        <v>705</v>
      </c>
      <c r="C222" s="17" t="s">
        <v>436</v>
      </c>
      <c r="D222" s="3" t="s">
        <v>107</v>
      </c>
      <c r="E222" s="8" t="s">
        <v>420</v>
      </c>
      <c r="F222" s="8" t="s">
        <v>422</v>
      </c>
      <c r="G222" s="33" t="s">
        <v>450</v>
      </c>
    </row>
    <row r="223" spans="1:7">
      <c r="A223" s="21" t="s">
        <v>1922</v>
      </c>
      <c r="B223" s="3" t="s">
        <v>706</v>
      </c>
      <c r="C223" s="17" t="s">
        <v>432</v>
      </c>
      <c r="D223" s="3" t="s">
        <v>107</v>
      </c>
      <c r="E223" s="8" t="s">
        <v>420</v>
      </c>
      <c r="F223" s="8" t="s">
        <v>422</v>
      </c>
      <c r="G223" s="33" t="s">
        <v>444</v>
      </c>
    </row>
    <row r="224" spans="1:7">
      <c r="A224" s="21" t="s">
        <v>1923</v>
      </c>
      <c r="B224" s="3" t="s">
        <v>707</v>
      </c>
      <c r="C224" s="17" t="s">
        <v>422</v>
      </c>
      <c r="D224" s="3" t="s">
        <v>1071</v>
      </c>
      <c r="E224" s="8" t="s">
        <v>435</v>
      </c>
      <c r="F224" s="8" t="s">
        <v>422</v>
      </c>
      <c r="G224" s="33" t="s">
        <v>436</v>
      </c>
    </row>
    <row r="225" spans="1:7">
      <c r="A225" s="21" t="s">
        <v>1924</v>
      </c>
      <c r="B225" s="3" t="s">
        <v>708</v>
      </c>
      <c r="C225" s="17" t="s">
        <v>429</v>
      </c>
      <c r="D225" s="3" t="s">
        <v>1072</v>
      </c>
      <c r="E225" s="8" t="s">
        <v>420</v>
      </c>
      <c r="F225" s="8" t="s">
        <v>422</v>
      </c>
      <c r="G225" s="33" t="s">
        <v>433</v>
      </c>
    </row>
    <row r="226" spans="1:7">
      <c r="A226" s="21" t="s">
        <v>1925</v>
      </c>
      <c r="B226" s="3" t="s">
        <v>709</v>
      </c>
      <c r="C226" s="17" t="s">
        <v>422</v>
      </c>
      <c r="D226" s="3" t="s">
        <v>1062</v>
      </c>
      <c r="E226" s="8" t="s">
        <v>422</v>
      </c>
      <c r="F226" s="8" t="s">
        <v>1059</v>
      </c>
      <c r="G226" s="33" t="s">
        <v>426</v>
      </c>
    </row>
    <row r="227" spans="1:7">
      <c r="A227" s="21" t="s">
        <v>1926</v>
      </c>
      <c r="B227" s="3" t="s">
        <v>710</v>
      </c>
      <c r="C227" s="17" t="s">
        <v>422</v>
      </c>
      <c r="D227" s="3" t="s">
        <v>107</v>
      </c>
      <c r="E227" s="8" t="s">
        <v>420</v>
      </c>
      <c r="F227" s="8" t="s">
        <v>422</v>
      </c>
      <c r="G227" s="33" t="s">
        <v>450</v>
      </c>
    </row>
    <row r="228" spans="1:7">
      <c r="A228" s="21" t="s">
        <v>1927</v>
      </c>
      <c r="B228" s="3" t="s">
        <v>711</v>
      </c>
      <c r="C228" s="17" t="s">
        <v>432</v>
      </c>
      <c r="D228" s="3" t="s">
        <v>1065</v>
      </c>
      <c r="E228" s="8" t="s">
        <v>1061</v>
      </c>
      <c r="F228" s="8" t="s">
        <v>422</v>
      </c>
      <c r="G228" s="33" t="s">
        <v>433</v>
      </c>
    </row>
    <row r="229" spans="1:7">
      <c r="A229" s="21" t="s">
        <v>1928</v>
      </c>
      <c r="B229" s="3" t="s">
        <v>712</v>
      </c>
      <c r="C229" s="17" t="s">
        <v>422</v>
      </c>
      <c r="D229" s="3" t="s">
        <v>1067</v>
      </c>
      <c r="E229" s="8" t="s">
        <v>420</v>
      </c>
      <c r="F229" s="8" t="s">
        <v>435</v>
      </c>
      <c r="G229" s="33" t="s">
        <v>433</v>
      </c>
    </row>
    <row r="230" spans="1:7">
      <c r="A230" s="21" t="s">
        <v>1929</v>
      </c>
      <c r="B230" s="3" t="s">
        <v>713</v>
      </c>
      <c r="C230" s="17" t="s">
        <v>422</v>
      </c>
      <c r="D230" s="3" t="s">
        <v>1070</v>
      </c>
      <c r="E230" s="8" t="s">
        <v>420</v>
      </c>
      <c r="F230" s="8" t="s">
        <v>422</v>
      </c>
      <c r="G230" s="33" t="s">
        <v>433</v>
      </c>
    </row>
    <row r="231" spans="1:7">
      <c r="A231" s="21" t="s">
        <v>1930</v>
      </c>
      <c r="B231" s="3" t="s">
        <v>714</v>
      </c>
      <c r="C231" s="17" t="s">
        <v>422</v>
      </c>
      <c r="D231" s="3" t="s">
        <v>1067</v>
      </c>
      <c r="E231" s="8" t="s">
        <v>1061</v>
      </c>
      <c r="F231" s="8" t="s">
        <v>422</v>
      </c>
      <c r="G231" s="33" t="s">
        <v>433</v>
      </c>
    </row>
    <row r="232" spans="1:7">
      <c r="A232" s="21" t="s">
        <v>1931</v>
      </c>
      <c r="B232" s="3" t="s">
        <v>715</v>
      </c>
      <c r="C232" s="17" t="s">
        <v>422</v>
      </c>
      <c r="D232" s="3" t="s">
        <v>1068</v>
      </c>
      <c r="E232" s="8" t="s">
        <v>1061</v>
      </c>
      <c r="F232" s="8" t="s">
        <v>435</v>
      </c>
      <c r="G232" s="33" t="s">
        <v>433</v>
      </c>
    </row>
    <row r="233" spans="1:7">
      <c r="A233" s="21" t="s">
        <v>1932</v>
      </c>
      <c r="B233" s="3" t="s">
        <v>716</v>
      </c>
      <c r="C233" s="17" t="s">
        <v>422</v>
      </c>
      <c r="D233" s="3" t="s">
        <v>1062</v>
      </c>
      <c r="E233" s="8" t="s">
        <v>422</v>
      </c>
      <c r="F233" s="8" t="s">
        <v>1059</v>
      </c>
      <c r="G233" s="33" t="s">
        <v>423</v>
      </c>
    </row>
    <row r="234" spans="1:7">
      <c r="A234" s="21" t="s">
        <v>1933</v>
      </c>
      <c r="B234" s="3" t="s">
        <v>717</v>
      </c>
      <c r="C234" s="17" t="s">
        <v>422</v>
      </c>
      <c r="D234" s="3" t="s">
        <v>1065</v>
      </c>
      <c r="E234" s="8" t="s">
        <v>420</v>
      </c>
      <c r="F234" s="8" t="s">
        <v>422</v>
      </c>
      <c r="G234" s="33" t="s">
        <v>450</v>
      </c>
    </row>
    <row r="235" spans="1:7">
      <c r="A235" s="21" t="s">
        <v>1934</v>
      </c>
      <c r="B235" s="3" t="s">
        <v>718</v>
      </c>
      <c r="C235" s="17" t="s">
        <v>436</v>
      </c>
      <c r="D235" s="3" t="s">
        <v>1068</v>
      </c>
      <c r="E235" s="8" t="s">
        <v>1061</v>
      </c>
      <c r="F235" s="8" t="s">
        <v>422</v>
      </c>
      <c r="G235" s="33" t="s">
        <v>444</v>
      </c>
    </row>
    <row r="236" spans="1:7">
      <c r="A236" s="21" t="s">
        <v>1935</v>
      </c>
      <c r="B236" s="3" t="s">
        <v>719</v>
      </c>
      <c r="C236" s="17" t="s">
        <v>422</v>
      </c>
      <c r="D236" s="3" t="s">
        <v>107</v>
      </c>
      <c r="E236" s="8" t="s">
        <v>420</v>
      </c>
      <c r="F236" s="8" t="s">
        <v>422</v>
      </c>
      <c r="G236" s="33" t="s">
        <v>450</v>
      </c>
    </row>
    <row r="237" spans="1:7">
      <c r="A237" s="21" t="s">
        <v>1936</v>
      </c>
      <c r="B237" s="3" t="s">
        <v>720</v>
      </c>
      <c r="C237" s="17" t="s">
        <v>422</v>
      </c>
      <c r="D237" s="3" t="s">
        <v>107</v>
      </c>
      <c r="E237" s="8" t="s">
        <v>1061</v>
      </c>
      <c r="F237" s="8" t="s">
        <v>422</v>
      </c>
      <c r="G237" s="33" t="s">
        <v>444</v>
      </c>
    </row>
    <row r="238" spans="1:7">
      <c r="A238" s="21" t="s">
        <v>1937</v>
      </c>
      <c r="B238" s="3" t="s">
        <v>721</v>
      </c>
      <c r="C238" s="17" t="s">
        <v>422</v>
      </c>
      <c r="D238" s="3" t="s">
        <v>1070</v>
      </c>
      <c r="E238" s="8" t="s">
        <v>420</v>
      </c>
      <c r="F238" s="8" t="s">
        <v>422</v>
      </c>
      <c r="G238" s="33" t="s">
        <v>444</v>
      </c>
    </row>
    <row r="239" spans="1:7">
      <c r="A239" s="21" t="s">
        <v>1938</v>
      </c>
      <c r="B239" s="3" t="s">
        <v>722</v>
      </c>
      <c r="C239" s="17" t="s">
        <v>422</v>
      </c>
      <c r="D239" s="3" t="s">
        <v>1070</v>
      </c>
      <c r="E239" s="8" t="s">
        <v>420</v>
      </c>
      <c r="F239" s="8" t="s">
        <v>422</v>
      </c>
      <c r="G239" s="33" t="s">
        <v>444</v>
      </c>
    </row>
    <row r="240" spans="1:7">
      <c r="A240" s="21" t="s">
        <v>1939</v>
      </c>
      <c r="B240" s="3" t="s">
        <v>723</v>
      </c>
      <c r="C240" s="17" t="s">
        <v>432</v>
      </c>
      <c r="D240" s="3" t="s">
        <v>1065</v>
      </c>
      <c r="E240" s="8" t="s">
        <v>1061</v>
      </c>
      <c r="F240" s="8" t="s">
        <v>422</v>
      </c>
      <c r="G240" s="33" t="s">
        <v>433</v>
      </c>
    </row>
    <row r="241" spans="1:7">
      <c r="A241" s="21" t="s">
        <v>1940</v>
      </c>
      <c r="B241" s="3" t="s">
        <v>724</v>
      </c>
      <c r="C241" s="17" t="s">
        <v>422</v>
      </c>
      <c r="D241" s="3" t="s">
        <v>1068</v>
      </c>
      <c r="E241" s="8" t="s">
        <v>434</v>
      </c>
      <c r="F241" s="8" t="s">
        <v>422</v>
      </c>
      <c r="G241" s="33" t="s">
        <v>433</v>
      </c>
    </row>
    <row r="242" spans="1:7">
      <c r="A242" s="21" t="s">
        <v>1941</v>
      </c>
      <c r="B242" s="3" t="s">
        <v>725</v>
      </c>
      <c r="C242" s="17" t="s">
        <v>422</v>
      </c>
      <c r="D242" s="3" t="s">
        <v>1070</v>
      </c>
      <c r="E242" s="8" t="s">
        <v>420</v>
      </c>
      <c r="F242" s="8" t="s">
        <v>422</v>
      </c>
      <c r="G242" s="33" t="s">
        <v>444</v>
      </c>
    </row>
    <row r="243" spans="1:7">
      <c r="A243" s="21" t="s">
        <v>1942</v>
      </c>
      <c r="B243" s="3" t="s">
        <v>726</v>
      </c>
      <c r="C243" s="17" t="s">
        <v>432</v>
      </c>
      <c r="D243" s="3" t="s">
        <v>1070</v>
      </c>
      <c r="E243" s="8" t="s">
        <v>420</v>
      </c>
      <c r="F243" s="8" t="s">
        <v>422</v>
      </c>
      <c r="G243" s="33" t="s">
        <v>444</v>
      </c>
    </row>
    <row r="244" spans="1:7">
      <c r="A244" s="21" t="s">
        <v>1943</v>
      </c>
      <c r="B244" s="3" t="s">
        <v>727</v>
      </c>
      <c r="C244" s="17" t="s">
        <v>432</v>
      </c>
      <c r="D244" s="3" t="s">
        <v>107</v>
      </c>
      <c r="E244" s="8" t="s">
        <v>420</v>
      </c>
      <c r="F244" s="8" t="s">
        <v>422</v>
      </c>
      <c r="G244" s="33" t="s">
        <v>450</v>
      </c>
    </row>
    <row r="245" spans="1:7">
      <c r="A245" s="21" t="s">
        <v>1944</v>
      </c>
      <c r="B245" s="3" t="s">
        <v>728</v>
      </c>
      <c r="C245" s="17" t="s">
        <v>422</v>
      </c>
      <c r="D245" s="3" t="s">
        <v>1065</v>
      </c>
      <c r="E245" s="8" t="s">
        <v>420</v>
      </c>
      <c r="F245" s="8" t="s">
        <v>422</v>
      </c>
      <c r="G245" s="33" t="s">
        <v>444</v>
      </c>
    </row>
    <row r="246" spans="1:7">
      <c r="A246" s="21" t="s">
        <v>1945</v>
      </c>
      <c r="B246" s="3" t="s">
        <v>729</v>
      </c>
      <c r="C246" s="17" t="s">
        <v>436</v>
      </c>
      <c r="D246" s="3" t="s">
        <v>107</v>
      </c>
      <c r="E246" s="8" t="s">
        <v>420</v>
      </c>
      <c r="F246" s="8" t="s">
        <v>422</v>
      </c>
      <c r="G246" s="33" t="s">
        <v>450</v>
      </c>
    </row>
    <row r="247" spans="1:7">
      <c r="A247" s="21" t="s">
        <v>1946</v>
      </c>
      <c r="B247" s="3" t="s">
        <v>730</v>
      </c>
      <c r="C247" s="17" t="s">
        <v>432</v>
      </c>
      <c r="D247" s="3" t="s">
        <v>107</v>
      </c>
      <c r="E247" s="8" t="s">
        <v>420</v>
      </c>
      <c r="F247" s="8" t="s">
        <v>422</v>
      </c>
      <c r="G247" s="33" t="s">
        <v>444</v>
      </c>
    </row>
    <row r="248" spans="1:7">
      <c r="A248" s="21" t="s">
        <v>1947</v>
      </c>
      <c r="B248" s="3" t="s">
        <v>731</v>
      </c>
      <c r="C248" s="17" t="s">
        <v>422</v>
      </c>
      <c r="D248" s="3" t="s">
        <v>1071</v>
      </c>
      <c r="E248" s="8" t="s">
        <v>435</v>
      </c>
      <c r="F248" s="8" t="s">
        <v>422</v>
      </c>
      <c r="G248" s="33" t="s">
        <v>436</v>
      </c>
    </row>
    <row r="249" spans="1:7">
      <c r="A249" s="21" t="s">
        <v>1948</v>
      </c>
      <c r="B249" s="3" t="s">
        <v>732</v>
      </c>
      <c r="C249" s="17" t="s">
        <v>429</v>
      </c>
      <c r="D249" s="3" t="s">
        <v>1072</v>
      </c>
      <c r="E249" s="8" t="s">
        <v>420</v>
      </c>
      <c r="F249" s="8" t="s">
        <v>422</v>
      </c>
      <c r="G249" s="33" t="s">
        <v>433</v>
      </c>
    </row>
    <row r="250" spans="1:7">
      <c r="A250" s="21" t="s">
        <v>1949</v>
      </c>
      <c r="B250" s="3" t="s">
        <v>733</v>
      </c>
      <c r="C250" s="17" t="s">
        <v>422</v>
      </c>
      <c r="D250" s="3" t="s">
        <v>1062</v>
      </c>
      <c r="E250" s="8" t="s">
        <v>422</v>
      </c>
      <c r="F250" s="8" t="s">
        <v>1059</v>
      </c>
      <c r="G250" s="33" t="s">
        <v>426</v>
      </c>
    </row>
    <row r="251" spans="1:7">
      <c r="A251" s="21" t="s">
        <v>1950</v>
      </c>
      <c r="B251" s="3" t="s">
        <v>734</v>
      </c>
      <c r="C251" s="17" t="s">
        <v>422</v>
      </c>
      <c r="D251" s="3" t="s">
        <v>107</v>
      </c>
      <c r="E251" s="8" t="s">
        <v>420</v>
      </c>
      <c r="F251" s="8" t="s">
        <v>422</v>
      </c>
      <c r="G251" s="33" t="s">
        <v>450</v>
      </c>
    </row>
    <row r="252" spans="1:7">
      <c r="A252" s="21" t="s">
        <v>1951</v>
      </c>
      <c r="B252" s="3" t="s">
        <v>735</v>
      </c>
      <c r="C252" s="17" t="s">
        <v>432</v>
      </c>
      <c r="D252" s="3" t="s">
        <v>1065</v>
      </c>
      <c r="E252" s="8" t="s">
        <v>1061</v>
      </c>
      <c r="F252" s="8" t="s">
        <v>422</v>
      </c>
      <c r="G252" s="33" t="s">
        <v>433</v>
      </c>
    </row>
    <row r="253" spans="1:7">
      <c r="A253" s="21" t="s">
        <v>1952</v>
      </c>
      <c r="B253" s="3" t="s">
        <v>736</v>
      </c>
      <c r="C253" s="17" t="s">
        <v>422</v>
      </c>
      <c r="D253" s="3" t="s">
        <v>1067</v>
      </c>
      <c r="E253" s="8" t="s">
        <v>420</v>
      </c>
      <c r="F253" s="8" t="s">
        <v>435</v>
      </c>
      <c r="G253" s="33" t="s">
        <v>433</v>
      </c>
    </row>
    <row r="254" spans="1:7">
      <c r="A254" s="21" t="s">
        <v>1953</v>
      </c>
      <c r="B254" s="3" t="s">
        <v>737</v>
      </c>
      <c r="C254" s="17" t="s">
        <v>422</v>
      </c>
      <c r="D254" s="3" t="s">
        <v>1070</v>
      </c>
      <c r="E254" s="8" t="s">
        <v>420</v>
      </c>
      <c r="F254" s="8" t="s">
        <v>422</v>
      </c>
      <c r="G254" s="33" t="s">
        <v>433</v>
      </c>
    </row>
    <row r="255" spans="1:7">
      <c r="A255" s="21" t="s">
        <v>1954</v>
      </c>
      <c r="B255" s="3" t="s">
        <v>738</v>
      </c>
      <c r="C255" s="17" t="s">
        <v>422</v>
      </c>
      <c r="D255" s="3" t="s">
        <v>1067</v>
      </c>
      <c r="E255" s="8" t="s">
        <v>1061</v>
      </c>
      <c r="F255" s="8" t="s">
        <v>422</v>
      </c>
      <c r="G255" s="33" t="s">
        <v>433</v>
      </c>
    </row>
    <row r="256" spans="1:7">
      <c r="A256" s="21" t="s">
        <v>1955</v>
      </c>
      <c r="B256" s="3" t="s">
        <v>739</v>
      </c>
      <c r="C256" s="17" t="s">
        <v>422</v>
      </c>
      <c r="D256" s="3" t="s">
        <v>1068</v>
      </c>
      <c r="E256" s="8" t="s">
        <v>1061</v>
      </c>
      <c r="F256" s="8" t="s">
        <v>435</v>
      </c>
      <c r="G256" s="33" t="s">
        <v>433</v>
      </c>
    </row>
    <row r="257" spans="1:7">
      <c r="A257" s="21" t="s">
        <v>1956</v>
      </c>
      <c r="B257" s="3" t="s">
        <v>740</v>
      </c>
      <c r="C257" s="17" t="s">
        <v>422</v>
      </c>
      <c r="D257" s="3" t="s">
        <v>1062</v>
      </c>
      <c r="E257" s="8" t="s">
        <v>422</v>
      </c>
      <c r="F257" s="8" t="s">
        <v>1059</v>
      </c>
      <c r="G257" s="33" t="s">
        <v>423</v>
      </c>
    </row>
    <row r="258" spans="1:7">
      <c r="A258" s="21" t="s">
        <v>1957</v>
      </c>
      <c r="B258" s="3" t="s">
        <v>741</v>
      </c>
      <c r="C258" s="17" t="s">
        <v>422</v>
      </c>
      <c r="D258" s="3" t="s">
        <v>1065</v>
      </c>
      <c r="E258" s="8" t="s">
        <v>420</v>
      </c>
      <c r="F258" s="8" t="s">
        <v>422</v>
      </c>
      <c r="G258" s="33" t="s">
        <v>450</v>
      </c>
    </row>
    <row r="259" spans="1:7">
      <c r="A259" s="21" t="s">
        <v>1958</v>
      </c>
      <c r="B259" s="3" t="s">
        <v>742</v>
      </c>
      <c r="C259" s="17" t="s">
        <v>436</v>
      </c>
      <c r="D259" s="3" t="s">
        <v>1068</v>
      </c>
      <c r="E259" s="8" t="s">
        <v>1061</v>
      </c>
      <c r="F259" s="8" t="s">
        <v>422</v>
      </c>
      <c r="G259" s="33" t="s">
        <v>444</v>
      </c>
    </row>
    <row r="260" spans="1:7">
      <c r="A260" s="21" t="s">
        <v>1959</v>
      </c>
      <c r="B260" s="3" t="s">
        <v>743</v>
      </c>
      <c r="C260" s="17" t="s">
        <v>422</v>
      </c>
      <c r="D260" s="3" t="s">
        <v>107</v>
      </c>
      <c r="E260" s="8" t="s">
        <v>420</v>
      </c>
      <c r="F260" s="8" t="s">
        <v>422</v>
      </c>
      <c r="G260" s="33" t="s">
        <v>450</v>
      </c>
    </row>
    <row r="261" spans="1:7">
      <c r="A261" s="21" t="s">
        <v>1960</v>
      </c>
      <c r="B261" s="3" t="s">
        <v>744</v>
      </c>
      <c r="C261" s="17" t="s">
        <v>422</v>
      </c>
      <c r="D261" s="3" t="s">
        <v>107</v>
      </c>
      <c r="E261" s="8" t="s">
        <v>1061</v>
      </c>
      <c r="F261" s="8" t="s">
        <v>422</v>
      </c>
      <c r="G261" s="33" t="s">
        <v>444</v>
      </c>
    </row>
    <row r="262" spans="1:7">
      <c r="A262" s="21" t="s">
        <v>1961</v>
      </c>
      <c r="B262" s="3" t="s">
        <v>745</v>
      </c>
      <c r="C262" s="17" t="s">
        <v>422</v>
      </c>
      <c r="D262" s="3" t="s">
        <v>1070</v>
      </c>
      <c r="E262" s="8" t="s">
        <v>420</v>
      </c>
      <c r="F262" s="8" t="s">
        <v>422</v>
      </c>
      <c r="G262" s="33" t="s">
        <v>444</v>
      </c>
    </row>
    <row r="263" spans="1:7">
      <c r="A263" s="21" t="s">
        <v>1962</v>
      </c>
      <c r="B263" s="3" t="s">
        <v>746</v>
      </c>
      <c r="C263" s="17" t="s">
        <v>422</v>
      </c>
      <c r="D263" s="3" t="s">
        <v>1070</v>
      </c>
      <c r="E263" s="8" t="s">
        <v>420</v>
      </c>
      <c r="F263" s="8" t="s">
        <v>422</v>
      </c>
      <c r="G263" s="33" t="s">
        <v>444</v>
      </c>
    </row>
    <row r="264" spans="1:7">
      <c r="A264" s="21" t="s">
        <v>1963</v>
      </c>
      <c r="B264" s="3" t="s">
        <v>747</v>
      </c>
      <c r="C264" s="17" t="s">
        <v>432</v>
      </c>
      <c r="D264" s="3" t="s">
        <v>1065</v>
      </c>
      <c r="E264" s="8" t="s">
        <v>1061</v>
      </c>
      <c r="F264" s="8" t="s">
        <v>422</v>
      </c>
      <c r="G264" s="33" t="s">
        <v>433</v>
      </c>
    </row>
    <row r="265" spans="1:7">
      <c r="A265" s="21" t="s">
        <v>1964</v>
      </c>
      <c r="B265" s="3" t="s">
        <v>748</v>
      </c>
      <c r="C265" s="17" t="s">
        <v>422</v>
      </c>
      <c r="D265" s="3" t="s">
        <v>1068</v>
      </c>
      <c r="E265" s="8" t="s">
        <v>434</v>
      </c>
      <c r="F265" s="8" t="s">
        <v>422</v>
      </c>
      <c r="G265" s="33" t="s">
        <v>433</v>
      </c>
    </row>
    <row r="266" spans="1:7">
      <c r="A266" s="21" t="s">
        <v>1965</v>
      </c>
      <c r="B266" s="3" t="s">
        <v>749</v>
      </c>
      <c r="C266" s="17" t="s">
        <v>422</v>
      </c>
      <c r="D266" s="3" t="s">
        <v>1070</v>
      </c>
      <c r="E266" s="8" t="s">
        <v>420</v>
      </c>
      <c r="F266" s="8" t="s">
        <v>422</v>
      </c>
      <c r="G266" s="33" t="s">
        <v>444</v>
      </c>
    </row>
    <row r="267" spans="1:7">
      <c r="A267" s="21" t="s">
        <v>1966</v>
      </c>
      <c r="B267" s="3" t="s">
        <v>750</v>
      </c>
      <c r="C267" s="17" t="s">
        <v>432</v>
      </c>
      <c r="D267" s="3" t="s">
        <v>1070</v>
      </c>
      <c r="E267" s="8" t="s">
        <v>420</v>
      </c>
      <c r="F267" s="8" t="s">
        <v>422</v>
      </c>
      <c r="G267" s="33" t="s">
        <v>444</v>
      </c>
    </row>
    <row r="268" spans="1:7">
      <c r="A268" s="21" t="s">
        <v>1967</v>
      </c>
      <c r="B268" s="3" t="s">
        <v>751</v>
      </c>
      <c r="C268" s="17" t="s">
        <v>432</v>
      </c>
      <c r="D268" s="3" t="s">
        <v>107</v>
      </c>
      <c r="E268" s="8" t="s">
        <v>420</v>
      </c>
      <c r="F268" s="8" t="s">
        <v>422</v>
      </c>
      <c r="G268" s="33" t="s">
        <v>450</v>
      </c>
    </row>
    <row r="269" spans="1:7">
      <c r="A269" s="21" t="s">
        <v>1968</v>
      </c>
      <c r="B269" s="3" t="s">
        <v>752</v>
      </c>
      <c r="C269" s="17" t="s">
        <v>422</v>
      </c>
      <c r="D269" s="3" t="s">
        <v>1065</v>
      </c>
      <c r="E269" s="8" t="s">
        <v>420</v>
      </c>
      <c r="F269" s="8" t="s">
        <v>422</v>
      </c>
      <c r="G269" s="33" t="s">
        <v>444</v>
      </c>
    </row>
    <row r="270" spans="1:7">
      <c r="A270" s="21" t="s">
        <v>1969</v>
      </c>
      <c r="B270" s="3" t="s">
        <v>753</v>
      </c>
      <c r="C270" s="17" t="s">
        <v>436</v>
      </c>
      <c r="D270" s="3" t="s">
        <v>107</v>
      </c>
      <c r="E270" s="8" t="s">
        <v>420</v>
      </c>
      <c r="F270" s="8" t="s">
        <v>422</v>
      </c>
      <c r="G270" s="33" t="s">
        <v>450</v>
      </c>
    </row>
    <row r="271" spans="1:7">
      <c r="A271" s="21" t="s">
        <v>1970</v>
      </c>
      <c r="B271" s="3" t="s">
        <v>754</v>
      </c>
      <c r="C271" s="17" t="s">
        <v>432</v>
      </c>
      <c r="D271" s="3" t="s">
        <v>107</v>
      </c>
      <c r="E271" s="8" t="s">
        <v>420</v>
      </c>
      <c r="F271" s="8" t="s">
        <v>422</v>
      </c>
      <c r="G271" s="33" t="s">
        <v>444</v>
      </c>
    </row>
    <row r="272" spans="1:7">
      <c r="A272" s="21" t="s">
        <v>1971</v>
      </c>
      <c r="B272" s="3" t="s">
        <v>755</v>
      </c>
      <c r="C272" s="17" t="s">
        <v>422</v>
      </c>
      <c r="D272" s="3" t="s">
        <v>1071</v>
      </c>
      <c r="E272" s="8" t="s">
        <v>435</v>
      </c>
      <c r="F272" s="8" t="s">
        <v>422</v>
      </c>
      <c r="G272" s="33" t="s">
        <v>436</v>
      </c>
    </row>
    <row r="273" spans="1:7">
      <c r="A273" s="21" t="s">
        <v>1972</v>
      </c>
      <c r="B273" s="3" t="s">
        <v>756</v>
      </c>
      <c r="C273" s="17" t="s">
        <v>429</v>
      </c>
      <c r="D273" s="3" t="s">
        <v>1072</v>
      </c>
      <c r="E273" s="8" t="s">
        <v>420</v>
      </c>
      <c r="F273" s="8" t="s">
        <v>422</v>
      </c>
      <c r="G273" s="33" t="s">
        <v>433</v>
      </c>
    </row>
    <row r="274" spans="1:7">
      <c r="A274" s="21" t="s">
        <v>1973</v>
      </c>
      <c r="B274" s="3" t="s">
        <v>757</v>
      </c>
      <c r="C274" s="17" t="s">
        <v>422</v>
      </c>
      <c r="D274" s="3" t="s">
        <v>1062</v>
      </c>
      <c r="E274" s="8" t="s">
        <v>422</v>
      </c>
      <c r="F274" s="8" t="s">
        <v>1059</v>
      </c>
      <c r="G274" s="33" t="s">
        <v>426</v>
      </c>
    </row>
    <row r="275" spans="1:7">
      <c r="A275" s="21" t="s">
        <v>1974</v>
      </c>
      <c r="B275" s="3" t="s">
        <v>758</v>
      </c>
      <c r="C275" s="17" t="s">
        <v>422</v>
      </c>
      <c r="D275" s="3" t="s">
        <v>107</v>
      </c>
      <c r="E275" s="8" t="s">
        <v>420</v>
      </c>
      <c r="F275" s="8" t="s">
        <v>422</v>
      </c>
      <c r="G275" s="33" t="s">
        <v>450</v>
      </c>
    </row>
    <row r="276" spans="1:7">
      <c r="A276" s="21" t="s">
        <v>1975</v>
      </c>
      <c r="B276" s="3" t="s">
        <v>759</v>
      </c>
      <c r="C276" s="17" t="s">
        <v>432</v>
      </c>
      <c r="D276" s="3" t="s">
        <v>1065</v>
      </c>
      <c r="E276" s="8" t="s">
        <v>1061</v>
      </c>
      <c r="F276" s="8" t="s">
        <v>422</v>
      </c>
      <c r="G276" s="33" t="s">
        <v>433</v>
      </c>
    </row>
    <row r="277" spans="1:7">
      <c r="A277" s="21" t="s">
        <v>1976</v>
      </c>
      <c r="B277" s="3" t="s">
        <v>760</v>
      </c>
      <c r="C277" s="17" t="s">
        <v>422</v>
      </c>
      <c r="D277" s="3" t="s">
        <v>1067</v>
      </c>
      <c r="E277" s="8" t="s">
        <v>420</v>
      </c>
      <c r="F277" s="8" t="s">
        <v>435</v>
      </c>
      <c r="G277" s="33" t="s">
        <v>433</v>
      </c>
    </row>
    <row r="278" spans="1:7">
      <c r="A278" s="21" t="s">
        <v>1977</v>
      </c>
      <c r="B278" s="3" t="s">
        <v>761</v>
      </c>
      <c r="C278" s="17" t="s">
        <v>422</v>
      </c>
      <c r="D278" s="3" t="s">
        <v>1070</v>
      </c>
      <c r="E278" s="8" t="s">
        <v>420</v>
      </c>
      <c r="F278" s="8" t="s">
        <v>422</v>
      </c>
      <c r="G278" s="33" t="s">
        <v>433</v>
      </c>
    </row>
    <row r="279" spans="1:7">
      <c r="A279" s="21" t="s">
        <v>1978</v>
      </c>
      <c r="B279" s="3" t="s">
        <v>762</v>
      </c>
      <c r="C279" s="17" t="s">
        <v>422</v>
      </c>
      <c r="D279" s="3" t="s">
        <v>1067</v>
      </c>
      <c r="E279" s="8" t="s">
        <v>1061</v>
      </c>
      <c r="F279" s="8" t="s">
        <v>422</v>
      </c>
      <c r="G279" s="33" t="s">
        <v>433</v>
      </c>
    </row>
    <row r="280" spans="1:7">
      <c r="A280" s="21" t="s">
        <v>1979</v>
      </c>
      <c r="B280" s="3" t="s">
        <v>763</v>
      </c>
      <c r="C280" s="17" t="s">
        <v>422</v>
      </c>
      <c r="D280" s="3" t="s">
        <v>1068</v>
      </c>
      <c r="E280" s="8" t="s">
        <v>1061</v>
      </c>
      <c r="F280" s="8" t="s">
        <v>435</v>
      </c>
      <c r="G280" s="33" t="s">
        <v>433</v>
      </c>
    </row>
    <row r="281" spans="1:7">
      <c r="A281" s="21" t="s">
        <v>1980</v>
      </c>
      <c r="B281" s="3" t="s">
        <v>764</v>
      </c>
      <c r="C281" s="17" t="s">
        <v>422</v>
      </c>
      <c r="D281" s="3" t="s">
        <v>1062</v>
      </c>
      <c r="E281" s="8" t="s">
        <v>422</v>
      </c>
      <c r="F281" s="8" t="s">
        <v>1059</v>
      </c>
      <c r="G281" s="33" t="s">
        <v>423</v>
      </c>
    </row>
    <row r="282" spans="1:7">
      <c r="A282" s="21" t="s">
        <v>1981</v>
      </c>
      <c r="B282" s="3" t="s">
        <v>765</v>
      </c>
      <c r="C282" s="17" t="s">
        <v>422</v>
      </c>
      <c r="D282" s="3" t="s">
        <v>1065</v>
      </c>
      <c r="E282" s="8" t="s">
        <v>420</v>
      </c>
      <c r="F282" s="8" t="s">
        <v>422</v>
      </c>
      <c r="G282" s="33" t="s">
        <v>450</v>
      </c>
    </row>
    <row r="283" spans="1:7">
      <c r="A283" s="21" t="s">
        <v>1982</v>
      </c>
      <c r="B283" s="3" t="s">
        <v>766</v>
      </c>
      <c r="C283" s="17" t="s">
        <v>436</v>
      </c>
      <c r="D283" s="3" t="s">
        <v>1068</v>
      </c>
      <c r="E283" s="8" t="s">
        <v>1061</v>
      </c>
      <c r="F283" s="8" t="s">
        <v>422</v>
      </c>
      <c r="G283" s="33" t="s">
        <v>444</v>
      </c>
    </row>
    <row r="284" spans="1:7">
      <c r="A284" s="21" t="s">
        <v>1983</v>
      </c>
      <c r="B284" s="3" t="s">
        <v>767</v>
      </c>
      <c r="C284" s="17" t="s">
        <v>422</v>
      </c>
      <c r="D284" s="3" t="s">
        <v>107</v>
      </c>
      <c r="E284" s="8" t="s">
        <v>420</v>
      </c>
      <c r="F284" s="8" t="s">
        <v>422</v>
      </c>
      <c r="G284" s="33" t="s">
        <v>450</v>
      </c>
    </row>
    <row r="285" spans="1:7">
      <c r="A285" s="21" t="s">
        <v>1984</v>
      </c>
      <c r="B285" s="3" t="s">
        <v>768</v>
      </c>
      <c r="C285" s="17" t="s">
        <v>422</v>
      </c>
      <c r="D285" s="3" t="s">
        <v>107</v>
      </c>
      <c r="E285" s="8" t="s">
        <v>1061</v>
      </c>
      <c r="F285" s="8" t="s">
        <v>422</v>
      </c>
      <c r="G285" s="33" t="s">
        <v>444</v>
      </c>
    </row>
    <row r="286" spans="1:7">
      <c r="A286" s="21" t="s">
        <v>1985</v>
      </c>
      <c r="B286" s="3" t="s">
        <v>769</v>
      </c>
      <c r="C286" s="17" t="s">
        <v>422</v>
      </c>
      <c r="D286" s="3" t="s">
        <v>1070</v>
      </c>
      <c r="E286" s="8" t="s">
        <v>420</v>
      </c>
      <c r="F286" s="8" t="s">
        <v>422</v>
      </c>
      <c r="G286" s="33" t="s">
        <v>444</v>
      </c>
    </row>
    <row r="287" spans="1:7">
      <c r="A287" s="21" t="s">
        <v>1986</v>
      </c>
      <c r="B287" s="3" t="s">
        <v>770</v>
      </c>
      <c r="C287" s="17" t="s">
        <v>422</v>
      </c>
      <c r="D287" s="3" t="s">
        <v>1070</v>
      </c>
      <c r="E287" s="8" t="s">
        <v>420</v>
      </c>
      <c r="F287" s="8" t="s">
        <v>422</v>
      </c>
      <c r="G287" s="33" t="s">
        <v>444</v>
      </c>
    </row>
    <row r="288" spans="1:7">
      <c r="A288" s="21" t="s">
        <v>1987</v>
      </c>
      <c r="B288" s="3" t="s">
        <v>771</v>
      </c>
      <c r="C288" s="17" t="s">
        <v>432</v>
      </c>
      <c r="D288" s="3" t="s">
        <v>1065</v>
      </c>
      <c r="E288" s="8" t="s">
        <v>1061</v>
      </c>
      <c r="F288" s="8" t="s">
        <v>422</v>
      </c>
      <c r="G288" s="33" t="s">
        <v>433</v>
      </c>
    </row>
    <row r="289" spans="1:7">
      <c r="A289" s="21" t="s">
        <v>1988</v>
      </c>
      <c r="B289" s="3" t="s">
        <v>772</v>
      </c>
      <c r="C289" s="17" t="s">
        <v>422</v>
      </c>
      <c r="D289" s="3" t="s">
        <v>1068</v>
      </c>
      <c r="E289" s="8" t="s">
        <v>434</v>
      </c>
      <c r="F289" s="8" t="s">
        <v>422</v>
      </c>
      <c r="G289" s="33" t="s">
        <v>433</v>
      </c>
    </row>
    <row r="290" spans="1:7">
      <c r="A290" s="21" t="s">
        <v>1989</v>
      </c>
      <c r="B290" s="3" t="s">
        <v>773</v>
      </c>
      <c r="C290" s="17" t="s">
        <v>422</v>
      </c>
      <c r="D290" s="3" t="s">
        <v>1070</v>
      </c>
      <c r="E290" s="8" t="s">
        <v>420</v>
      </c>
      <c r="F290" s="8" t="s">
        <v>422</v>
      </c>
      <c r="G290" s="33" t="s">
        <v>444</v>
      </c>
    </row>
    <row r="291" spans="1:7">
      <c r="A291" s="21" t="s">
        <v>1990</v>
      </c>
      <c r="B291" s="3" t="s">
        <v>774</v>
      </c>
      <c r="C291" s="17" t="s">
        <v>432</v>
      </c>
      <c r="D291" s="3" t="s">
        <v>1070</v>
      </c>
      <c r="E291" s="8" t="s">
        <v>420</v>
      </c>
      <c r="F291" s="8" t="s">
        <v>422</v>
      </c>
      <c r="G291" s="33" t="s">
        <v>444</v>
      </c>
    </row>
    <row r="292" spans="1:7">
      <c r="A292" s="21" t="s">
        <v>1991</v>
      </c>
      <c r="B292" s="3" t="s">
        <v>775</v>
      </c>
      <c r="C292" s="17" t="s">
        <v>432</v>
      </c>
      <c r="D292" s="3" t="s">
        <v>107</v>
      </c>
      <c r="E292" s="8" t="s">
        <v>420</v>
      </c>
      <c r="F292" s="8" t="s">
        <v>422</v>
      </c>
      <c r="G292" s="33" t="s">
        <v>450</v>
      </c>
    </row>
    <row r="293" spans="1:7">
      <c r="A293" s="21" t="s">
        <v>1992</v>
      </c>
      <c r="B293" s="3" t="s">
        <v>776</v>
      </c>
      <c r="C293" s="17" t="s">
        <v>422</v>
      </c>
      <c r="D293" s="3" t="s">
        <v>1065</v>
      </c>
      <c r="E293" s="8" t="s">
        <v>420</v>
      </c>
      <c r="F293" s="8" t="s">
        <v>422</v>
      </c>
      <c r="G293" s="33" t="s">
        <v>444</v>
      </c>
    </row>
    <row r="294" spans="1:7">
      <c r="A294" s="21" t="s">
        <v>1993</v>
      </c>
      <c r="B294" s="3" t="s">
        <v>777</v>
      </c>
      <c r="C294" s="17" t="s">
        <v>436</v>
      </c>
      <c r="D294" s="3" t="s">
        <v>107</v>
      </c>
      <c r="E294" s="8" t="s">
        <v>420</v>
      </c>
      <c r="F294" s="8" t="s">
        <v>422</v>
      </c>
      <c r="G294" s="33" t="s">
        <v>450</v>
      </c>
    </row>
    <row r="295" spans="1:7">
      <c r="A295" s="21" t="s">
        <v>1994</v>
      </c>
      <c r="B295" s="3" t="s">
        <v>778</v>
      </c>
      <c r="C295" s="17" t="s">
        <v>432</v>
      </c>
      <c r="D295" s="3" t="s">
        <v>107</v>
      </c>
      <c r="E295" s="8" t="s">
        <v>420</v>
      </c>
      <c r="F295" s="8" t="s">
        <v>422</v>
      </c>
      <c r="G295" s="33" t="s">
        <v>444</v>
      </c>
    </row>
    <row r="296" spans="1:7">
      <c r="A296" s="21" t="s">
        <v>1995</v>
      </c>
      <c r="B296" s="3" t="s">
        <v>779</v>
      </c>
      <c r="C296" s="17" t="s">
        <v>422</v>
      </c>
      <c r="D296" s="3" t="s">
        <v>1071</v>
      </c>
      <c r="E296" s="8" t="s">
        <v>435</v>
      </c>
      <c r="F296" s="8" t="s">
        <v>422</v>
      </c>
      <c r="G296" s="33" t="s">
        <v>436</v>
      </c>
    </row>
    <row r="297" spans="1:7">
      <c r="A297" s="21" t="s">
        <v>1996</v>
      </c>
      <c r="B297" s="3" t="s">
        <v>780</v>
      </c>
      <c r="C297" s="17" t="s">
        <v>429</v>
      </c>
      <c r="D297" s="3" t="s">
        <v>1072</v>
      </c>
      <c r="E297" s="8" t="s">
        <v>420</v>
      </c>
      <c r="F297" s="8" t="s">
        <v>422</v>
      </c>
      <c r="G297" s="33" t="s">
        <v>433</v>
      </c>
    </row>
    <row r="298" spans="1:7">
      <c r="A298" s="21" t="s">
        <v>1997</v>
      </c>
      <c r="B298" s="3" t="s">
        <v>781</v>
      </c>
      <c r="C298" s="17" t="s">
        <v>422</v>
      </c>
      <c r="D298" s="3" t="s">
        <v>1062</v>
      </c>
      <c r="E298" s="8" t="s">
        <v>422</v>
      </c>
      <c r="F298" s="8" t="s">
        <v>1059</v>
      </c>
      <c r="G298" s="33" t="s">
        <v>426</v>
      </c>
    </row>
    <row r="299" spans="1:7">
      <c r="A299" s="21" t="s">
        <v>1998</v>
      </c>
      <c r="B299" s="3" t="s">
        <v>782</v>
      </c>
      <c r="C299" s="17" t="s">
        <v>422</v>
      </c>
      <c r="D299" s="3" t="s">
        <v>107</v>
      </c>
      <c r="E299" s="8" t="s">
        <v>420</v>
      </c>
      <c r="F299" s="8" t="s">
        <v>422</v>
      </c>
      <c r="G299" s="33" t="s">
        <v>450</v>
      </c>
    </row>
    <row r="300" spans="1:7">
      <c r="A300" s="21" t="s">
        <v>1999</v>
      </c>
      <c r="B300" s="3" t="s">
        <v>783</v>
      </c>
      <c r="C300" s="17" t="s">
        <v>432</v>
      </c>
      <c r="D300" s="3" t="s">
        <v>1065</v>
      </c>
      <c r="E300" s="8" t="s">
        <v>1061</v>
      </c>
      <c r="F300" s="8" t="s">
        <v>422</v>
      </c>
      <c r="G300" s="33" t="s">
        <v>433</v>
      </c>
    </row>
    <row r="301" spans="1:7">
      <c r="A301" s="21" t="s">
        <v>2000</v>
      </c>
      <c r="B301" s="3" t="s">
        <v>784</v>
      </c>
      <c r="C301" s="17" t="s">
        <v>422</v>
      </c>
      <c r="D301" s="3" t="s">
        <v>1067</v>
      </c>
      <c r="E301" s="8" t="s">
        <v>420</v>
      </c>
      <c r="F301" s="8" t="s">
        <v>435</v>
      </c>
      <c r="G301" s="33" t="s">
        <v>433</v>
      </c>
    </row>
    <row r="302" spans="1:7">
      <c r="A302" s="21" t="s">
        <v>2001</v>
      </c>
      <c r="B302" s="3" t="s">
        <v>785</v>
      </c>
      <c r="C302" s="17" t="s">
        <v>422</v>
      </c>
      <c r="D302" s="3" t="s">
        <v>1070</v>
      </c>
      <c r="E302" s="8" t="s">
        <v>420</v>
      </c>
      <c r="F302" s="8" t="s">
        <v>422</v>
      </c>
      <c r="G302" s="33" t="s">
        <v>433</v>
      </c>
    </row>
    <row r="303" spans="1:7">
      <c r="A303" s="21" t="s">
        <v>2002</v>
      </c>
      <c r="B303" s="3" t="s">
        <v>786</v>
      </c>
      <c r="C303" s="17" t="s">
        <v>422</v>
      </c>
      <c r="D303" s="3" t="s">
        <v>1067</v>
      </c>
      <c r="E303" s="8" t="s">
        <v>1061</v>
      </c>
      <c r="F303" s="8" t="s">
        <v>422</v>
      </c>
      <c r="G303" s="33" t="s">
        <v>433</v>
      </c>
    </row>
    <row r="304" spans="1:7">
      <c r="A304" s="21" t="s">
        <v>2003</v>
      </c>
      <c r="B304" s="3" t="s">
        <v>787</v>
      </c>
      <c r="C304" s="17" t="s">
        <v>422</v>
      </c>
      <c r="D304" s="3" t="s">
        <v>1068</v>
      </c>
      <c r="E304" s="8" t="s">
        <v>1061</v>
      </c>
      <c r="F304" s="8" t="s">
        <v>435</v>
      </c>
      <c r="G304" s="33" t="s">
        <v>433</v>
      </c>
    </row>
    <row r="305" spans="1:7">
      <c r="A305" s="21" t="s">
        <v>2004</v>
      </c>
      <c r="B305" s="3" t="s">
        <v>788</v>
      </c>
      <c r="C305" s="17" t="s">
        <v>422</v>
      </c>
      <c r="D305" s="3" t="s">
        <v>1062</v>
      </c>
      <c r="E305" s="8" t="s">
        <v>422</v>
      </c>
      <c r="F305" s="8" t="s">
        <v>1059</v>
      </c>
      <c r="G305" s="33" t="s">
        <v>423</v>
      </c>
    </row>
    <row r="306" spans="1:7">
      <c r="A306" s="21" t="s">
        <v>2005</v>
      </c>
      <c r="B306" s="3" t="s">
        <v>789</v>
      </c>
      <c r="C306" s="17" t="s">
        <v>422</v>
      </c>
      <c r="D306" s="3" t="s">
        <v>1065</v>
      </c>
      <c r="E306" s="8" t="s">
        <v>420</v>
      </c>
      <c r="F306" s="8" t="s">
        <v>422</v>
      </c>
      <c r="G306" s="33" t="s">
        <v>450</v>
      </c>
    </row>
    <row r="307" spans="1:7">
      <c r="A307" s="21" t="s">
        <v>2006</v>
      </c>
      <c r="B307" s="3" t="s">
        <v>790</v>
      </c>
      <c r="C307" s="17" t="s">
        <v>436</v>
      </c>
      <c r="D307" s="3" t="s">
        <v>1068</v>
      </c>
      <c r="E307" s="8" t="s">
        <v>1061</v>
      </c>
      <c r="F307" s="8" t="s">
        <v>422</v>
      </c>
      <c r="G307" s="33" t="s">
        <v>444</v>
      </c>
    </row>
    <row r="308" spans="1:7">
      <c r="A308" s="21" t="s">
        <v>2007</v>
      </c>
      <c r="B308" s="3" t="s">
        <v>791</v>
      </c>
      <c r="C308" s="17" t="s">
        <v>422</v>
      </c>
      <c r="D308" s="3" t="s">
        <v>107</v>
      </c>
      <c r="E308" s="8" t="s">
        <v>420</v>
      </c>
      <c r="F308" s="8" t="s">
        <v>422</v>
      </c>
      <c r="G308" s="33" t="s">
        <v>450</v>
      </c>
    </row>
    <row r="309" spans="1:7">
      <c r="A309" s="21" t="s">
        <v>2008</v>
      </c>
      <c r="B309" s="3" t="s">
        <v>792</v>
      </c>
      <c r="C309" s="17" t="s">
        <v>422</v>
      </c>
      <c r="D309" s="3" t="s">
        <v>107</v>
      </c>
      <c r="E309" s="8" t="s">
        <v>1061</v>
      </c>
      <c r="F309" s="8" t="s">
        <v>422</v>
      </c>
      <c r="G309" s="33" t="s">
        <v>444</v>
      </c>
    </row>
    <row r="310" spans="1:7">
      <c r="A310" s="21" t="s">
        <v>2009</v>
      </c>
      <c r="B310" s="3" t="s">
        <v>793</v>
      </c>
      <c r="C310" s="17" t="s">
        <v>422</v>
      </c>
      <c r="D310" s="3" t="s">
        <v>1070</v>
      </c>
      <c r="E310" s="8" t="s">
        <v>420</v>
      </c>
      <c r="F310" s="8" t="s">
        <v>422</v>
      </c>
      <c r="G310" s="33" t="s">
        <v>444</v>
      </c>
    </row>
    <row r="311" spans="1:7">
      <c r="A311" s="21" t="s">
        <v>2010</v>
      </c>
      <c r="B311" s="3" t="s">
        <v>794</v>
      </c>
      <c r="C311" s="17" t="s">
        <v>422</v>
      </c>
      <c r="D311" s="3" t="s">
        <v>1070</v>
      </c>
      <c r="E311" s="8" t="s">
        <v>420</v>
      </c>
      <c r="F311" s="8" t="s">
        <v>422</v>
      </c>
      <c r="G311" s="33" t="s">
        <v>444</v>
      </c>
    </row>
    <row r="312" spans="1:7">
      <c r="A312" s="21" t="s">
        <v>2011</v>
      </c>
      <c r="B312" s="3" t="s">
        <v>795</v>
      </c>
      <c r="C312" s="17" t="s">
        <v>432</v>
      </c>
      <c r="D312" s="3" t="s">
        <v>1065</v>
      </c>
      <c r="E312" s="8" t="s">
        <v>1061</v>
      </c>
      <c r="F312" s="8" t="s">
        <v>422</v>
      </c>
      <c r="G312" s="33" t="s">
        <v>433</v>
      </c>
    </row>
    <row r="313" spans="1:7">
      <c r="A313" s="21" t="s">
        <v>2012</v>
      </c>
      <c r="B313" s="3" t="s">
        <v>796</v>
      </c>
      <c r="C313" s="17" t="s">
        <v>422</v>
      </c>
      <c r="D313" s="3" t="s">
        <v>1068</v>
      </c>
      <c r="E313" s="8" t="s">
        <v>434</v>
      </c>
      <c r="F313" s="8" t="s">
        <v>422</v>
      </c>
      <c r="G313" s="33" t="s">
        <v>433</v>
      </c>
    </row>
    <row r="314" spans="1:7">
      <c r="A314" s="21" t="s">
        <v>2013</v>
      </c>
      <c r="B314" s="3" t="s">
        <v>797</v>
      </c>
      <c r="C314" s="17" t="s">
        <v>422</v>
      </c>
      <c r="D314" s="3" t="s">
        <v>1070</v>
      </c>
      <c r="E314" s="8" t="s">
        <v>420</v>
      </c>
      <c r="F314" s="8" t="s">
        <v>422</v>
      </c>
      <c r="G314" s="33" t="s">
        <v>444</v>
      </c>
    </row>
    <row r="315" spans="1:7">
      <c r="A315" s="21" t="s">
        <v>2014</v>
      </c>
      <c r="B315" s="3" t="s">
        <v>798</v>
      </c>
      <c r="C315" s="17" t="s">
        <v>432</v>
      </c>
      <c r="D315" s="3" t="s">
        <v>1070</v>
      </c>
      <c r="E315" s="8" t="s">
        <v>420</v>
      </c>
      <c r="F315" s="8" t="s">
        <v>422</v>
      </c>
      <c r="G315" s="33" t="s">
        <v>444</v>
      </c>
    </row>
    <row r="316" spans="1:7">
      <c r="A316" s="21" t="s">
        <v>2015</v>
      </c>
      <c r="B316" s="3" t="s">
        <v>799</v>
      </c>
      <c r="C316" s="17" t="s">
        <v>432</v>
      </c>
      <c r="D316" s="3" t="s">
        <v>107</v>
      </c>
      <c r="E316" s="8" t="s">
        <v>420</v>
      </c>
      <c r="F316" s="8" t="s">
        <v>422</v>
      </c>
      <c r="G316" s="33" t="s">
        <v>450</v>
      </c>
    </row>
    <row r="317" spans="1:7">
      <c r="A317" s="21" t="s">
        <v>2016</v>
      </c>
      <c r="B317" s="3" t="s">
        <v>800</v>
      </c>
      <c r="C317" s="17" t="s">
        <v>422</v>
      </c>
      <c r="D317" s="3" t="s">
        <v>1065</v>
      </c>
      <c r="E317" s="8" t="s">
        <v>420</v>
      </c>
      <c r="F317" s="8" t="s">
        <v>422</v>
      </c>
      <c r="G317" s="33" t="s">
        <v>444</v>
      </c>
    </row>
    <row r="318" spans="1:7">
      <c r="A318" s="21" t="s">
        <v>2017</v>
      </c>
      <c r="B318" s="3" t="s">
        <v>801</v>
      </c>
      <c r="C318" s="17" t="s">
        <v>436</v>
      </c>
      <c r="D318" s="3" t="s">
        <v>107</v>
      </c>
      <c r="E318" s="8" t="s">
        <v>420</v>
      </c>
      <c r="F318" s="8" t="s">
        <v>422</v>
      </c>
      <c r="G318" s="33" t="s">
        <v>450</v>
      </c>
    </row>
    <row r="319" spans="1:7">
      <c r="A319" s="21" t="s">
        <v>2018</v>
      </c>
      <c r="B319" s="3" t="s">
        <v>802</v>
      </c>
      <c r="C319" s="17" t="s">
        <v>432</v>
      </c>
      <c r="D319" s="3" t="s">
        <v>107</v>
      </c>
      <c r="E319" s="8" t="s">
        <v>420</v>
      </c>
      <c r="F319" s="8" t="s">
        <v>422</v>
      </c>
      <c r="G319" s="33" t="s">
        <v>444</v>
      </c>
    </row>
    <row r="320" spans="1:7">
      <c r="A320" s="21" t="s">
        <v>2019</v>
      </c>
      <c r="B320" s="3" t="s">
        <v>803</v>
      </c>
      <c r="C320" s="17" t="s">
        <v>422</v>
      </c>
      <c r="D320" s="3" t="s">
        <v>1071</v>
      </c>
      <c r="E320" s="8" t="s">
        <v>435</v>
      </c>
      <c r="F320" s="8" t="s">
        <v>422</v>
      </c>
      <c r="G320" s="33" t="s">
        <v>436</v>
      </c>
    </row>
    <row r="321" spans="1:7">
      <c r="A321" s="21" t="s">
        <v>2020</v>
      </c>
      <c r="B321" s="3" t="s">
        <v>804</v>
      </c>
      <c r="C321" s="17" t="s">
        <v>429</v>
      </c>
      <c r="D321" s="3" t="s">
        <v>1072</v>
      </c>
      <c r="E321" s="8" t="s">
        <v>420</v>
      </c>
      <c r="F321" s="8" t="s">
        <v>422</v>
      </c>
      <c r="G321" s="33" t="s">
        <v>433</v>
      </c>
    </row>
    <row r="322" spans="1:7">
      <c r="A322" s="21" t="s">
        <v>2021</v>
      </c>
      <c r="B322" s="3" t="s">
        <v>805</v>
      </c>
      <c r="C322" s="17" t="s">
        <v>422</v>
      </c>
      <c r="D322" s="3" t="s">
        <v>1062</v>
      </c>
      <c r="E322" s="8" t="s">
        <v>422</v>
      </c>
      <c r="F322" s="8" t="s">
        <v>1059</v>
      </c>
      <c r="G322" s="33" t="s">
        <v>426</v>
      </c>
    </row>
    <row r="323" spans="1:7">
      <c r="A323" s="21" t="s">
        <v>2022</v>
      </c>
      <c r="B323" s="3" t="s">
        <v>806</v>
      </c>
      <c r="C323" s="17" t="s">
        <v>422</v>
      </c>
      <c r="D323" s="3" t="s">
        <v>107</v>
      </c>
      <c r="E323" s="8" t="s">
        <v>420</v>
      </c>
      <c r="F323" s="8" t="s">
        <v>422</v>
      </c>
      <c r="G323" s="33" t="s">
        <v>450</v>
      </c>
    </row>
    <row r="324" spans="1:7">
      <c r="A324" s="21" t="s">
        <v>2023</v>
      </c>
      <c r="B324" s="3" t="s">
        <v>807</v>
      </c>
      <c r="C324" s="17" t="s">
        <v>432</v>
      </c>
      <c r="D324" s="3" t="s">
        <v>1065</v>
      </c>
      <c r="E324" s="8" t="s">
        <v>1061</v>
      </c>
      <c r="F324" s="8" t="s">
        <v>422</v>
      </c>
      <c r="G324" s="33" t="s">
        <v>433</v>
      </c>
    </row>
    <row r="325" spans="1:7">
      <c r="A325" s="21" t="s">
        <v>2024</v>
      </c>
      <c r="B325" s="3" t="s">
        <v>808</v>
      </c>
      <c r="C325" s="17" t="s">
        <v>422</v>
      </c>
      <c r="D325" s="3" t="s">
        <v>1067</v>
      </c>
      <c r="E325" s="8" t="s">
        <v>420</v>
      </c>
      <c r="F325" s="8" t="s">
        <v>435</v>
      </c>
      <c r="G325" s="33" t="s">
        <v>433</v>
      </c>
    </row>
    <row r="326" spans="1:7">
      <c r="A326" s="21" t="s">
        <v>2025</v>
      </c>
      <c r="B326" s="3" t="s">
        <v>809</v>
      </c>
      <c r="C326" s="17" t="s">
        <v>422</v>
      </c>
      <c r="D326" s="3" t="s">
        <v>1070</v>
      </c>
      <c r="E326" s="8" t="s">
        <v>420</v>
      </c>
      <c r="F326" s="8" t="s">
        <v>422</v>
      </c>
      <c r="G326" s="33" t="s">
        <v>433</v>
      </c>
    </row>
    <row r="327" spans="1:7">
      <c r="A327" s="21" t="s">
        <v>2026</v>
      </c>
      <c r="B327" s="3" t="s">
        <v>810</v>
      </c>
      <c r="C327" s="17" t="s">
        <v>422</v>
      </c>
      <c r="D327" s="3" t="s">
        <v>1067</v>
      </c>
      <c r="E327" s="8" t="s">
        <v>1061</v>
      </c>
      <c r="F327" s="8" t="s">
        <v>422</v>
      </c>
      <c r="G327" s="33" t="s">
        <v>433</v>
      </c>
    </row>
    <row r="328" spans="1:7">
      <c r="A328" s="21" t="s">
        <v>2027</v>
      </c>
      <c r="B328" s="3" t="s">
        <v>811</v>
      </c>
      <c r="C328" s="17" t="s">
        <v>422</v>
      </c>
      <c r="D328" s="3" t="s">
        <v>1068</v>
      </c>
      <c r="E328" s="8" t="s">
        <v>1061</v>
      </c>
      <c r="F328" s="8" t="s">
        <v>435</v>
      </c>
      <c r="G328" s="33" t="s">
        <v>433</v>
      </c>
    </row>
    <row r="329" spans="1:7">
      <c r="A329" s="21" t="s">
        <v>2028</v>
      </c>
      <c r="B329" s="3" t="s">
        <v>812</v>
      </c>
      <c r="C329" s="17" t="s">
        <v>422</v>
      </c>
      <c r="D329" s="3" t="s">
        <v>1062</v>
      </c>
      <c r="E329" s="8" t="s">
        <v>422</v>
      </c>
      <c r="F329" s="8" t="s">
        <v>1059</v>
      </c>
      <c r="G329" s="33" t="s">
        <v>423</v>
      </c>
    </row>
    <row r="330" spans="1:7">
      <c r="A330" s="21" t="s">
        <v>2029</v>
      </c>
      <c r="B330" s="3" t="s">
        <v>813</v>
      </c>
      <c r="C330" s="17" t="s">
        <v>422</v>
      </c>
      <c r="D330" s="3" t="s">
        <v>1065</v>
      </c>
      <c r="E330" s="8" t="s">
        <v>420</v>
      </c>
      <c r="F330" s="8" t="s">
        <v>422</v>
      </c>
      <c r="G330" s="33" t="s">
        <v>450</v>
      </c>
    </row>
    <row r="331" spans="1:7">
      <c r="A331" s="21" t="s">
        <v>2030</v>
      </c>
      <c r="B331" s="3" t="s">
        <v>814</v>
      </c>
      <c r="C331" s="17" t="s">
        <v>436</v>
      </c>
      <c r="D331" s="3" t="s">
        <v>1068</v>
      </c>
      <c r="E331" s="8" t="s">
        <v>1061</v>
      </c>
      <c r="F331" s="8" t="s">
        <v>422</v>
      </c>
      <c r="G331" s="33" t="s">
        <v>444</v>
      </c>
    </row>
    <row r="332" spans="1:7">
      <c r="A332" s="21" t="s">
        <v>2031</v>
      </c>
      <c r="B332" s="3" t="s">
        <v>815</v>
      </c>
      <c r="C332" s="17" t="s">
        <v>422</v>
      </c>
      <c r="D332" s="3" t="s">
        <v>107</v>
      </c>
      <c r="E332" s="8" t="s">
        <v>420</v>
      </c>
      <c r="F332" s="8" t="s">
        <v>422</v>
      </c>
      <c r="G332" s="33" t="s">
        <v>450</v>
      </c>
    </row>
    <row r="333" spans="1:7">
      <c r="A333" s="21" t="s">
        <v>2032</v>
      </c>
      <c r="B333" s="3" t="s">
        <v>816</v>
      </c>
      <c r="C333" s="17" t="s">
        <v>422</v>
      </c>
      <c r="D333" s="3" t="s">
        <v>107</v>
      </c>
      <c r="E333" s="8" t="s">
        <v>1061</v>
      </c>
      <c r="F333" s="8" t="s">
        <v>422</v>
      </c>
      <c r="G333" s="33" t="s">
        <v>444</v>
      </c>
    </row>
    <row r="334" spans="1:7">
      <c r="A334" s="21" t="s">
        <v>2033</v>
      </c>
      <c r="B334" s="3" t="s">
        <v>817</v>
      </c>
      <c r="C334" s="17" t="s">
        <v>422</v>
      </c>
      <c r="D334" s="3" t="s">
        <v>1070</v>
      </c>
      <c r="E334" s="8" t="s">
        <v>420</v>
      </c>
      <c r="F334" s="8" t="s">
        <v>422</v>
      </c>
      <c r="G334" s="33" t="s">
        <v>444</v>
      </c>
    </row>
    <row r="335" spans="1:7">
      <c r="A335" s="21" t="s">
        <v>2034</v>
      </c>
      <c r="B335" s="3" t="s">
        <v>818</v>
      </c>
      <c r="C335" s="17" t="s">
        <v>422</v>
      </c>
      <c r="D335" s="3" t="s">
        <v>1070</v>
      </c>
      <c r="E335" s="8" t="s">
        <v>420</v>
      </c>
      <c r="F335" s="8" t="s">
        <v>422</v>
      </c>
      <c r="G335" s="33" t="s">
        <v>444</v>
      </c>
    </row>
    <row r="336" spans="1:7">
      <c r="A336" s="21" t="s">
        <v>2035</v>
      </c>
      <c r="B336" s="3" t="s">
        <v>819</v>
      </c>
      <c r="C336" s="17" t="s">
        <v>432</v>
      </c>
      <c r="D336" s="3" t="s">
        <v>1065</v>
      </c>
      <c r="E336" s="8" t="s">
        <v>1061</v>
      </c>
      <c r="F336" s="8" t="s">
        <v>422</v>
      </c>
      <c r="G336" s="33" t="s">
        <v>433</v>
      </c>
    </row>
    <row r="337" spans="1:7">
      <c r="A337" s="21" t="s">
        <v>2036</v>
      </c>
      <c r="B337" s="3" t="s">
        <v>820</v>
      </c>
      <c r="C337" s="17" t="s">
        <v>422</v>
      </c>
      <c r="D337" s="3" t="s">
        <v>1068</v>
      </c>
      <c r="E337" s="8" t="s">
        <v>434</v>
      </c>
      <c r="F337" s="8" t="s">
        <v>422</v>
      </c>
      <c r="G337" s="33" t="s">
        <v>433</v>
      </c>
    </row>
    <row r="338" spans="1:7">
      <c r="A338" s="21" t="s">
        <v>2037</v>
      </c>
      <c r="B338" s="3" t="s">
        <v>821</v>
      </c>
      <c r="C338" s="17" t="s">
        <v>422</v>
      </c>
      <c r="D338" s="3" t="s">
        <v>1070</v>
      </c>
      <c r="E338" s="8" t="s">
        <v>420</v>
      </c>
      <c r="F338" s="8" t="s">
        <v>422</v>
      </c>
      <c r="G338" s="33" t="s">
        <v>444</v>
      </c>
    </row>
    <row r="339" spans="1:7">
      <c r="A339" s="21" t="s">
        <v>2038</v>
      </c>
      <c r="B339" s="3" t="s">
        <v>822</v>
      </c>
      <c r="C339" s="17" t="s">
        <v>432</v>
      </c>
      <c r="D339" s="3" t="s">
        <v>1070</v>
      </c>
      <c r="E339" s="8" t="s">
        <v>420</v>
      </c>
      <c r="F339" s="8" t="s">
        <v>422</v>
      </c>
      <c r="G339" s="33" t="s">
        <v>444</v>
      </c>
    </row>
    <row r="340" spans="1:7">
      <c r="A340" s="21" t="s">
        <v>2039</v>
      </c>
      <c r="B340" s="3" t="s">
        <v>823</v>
      </c>
      <c r="C340" s="17" t="s">
        <v>432</v>
      </c>
      <c r="D340" s="3" t="s">
        <v>107</v>
      </c>
      <c r="E340" s="8" t="s">
        <v>420</v>
      </c>
      <c r="F340" s="8" t="s">
        <v>422</v>
      </c>
      <c r="G340" s="33" t="s">
        <v>450</v>
      </c>
    </row>
    <row r="341" spans="1:7">
      <c r="A341" s="21" t="s">
        <v>2040</v>
      </c>
      <c r="B341" s="3" t="s">
        <v>824</v>
      </c>
      <c r="C341" s="17" t="s">
        <v>422</v>
      </c>
      <c r="D341" s="3" t="s">
        <v>1065</v>
      </c>
      <c r="E341" s="8" t="s">
        <v>420</v>
      </c>
      <c r="F341" s="8" t="s">
        <v>422</v>
      </c>
      <c r="G341" s="33" t="s">
        <v>444</v>
      </c>
    </row>
    <row r="342" spans="1:7">
      <c r="A342" s="21" t="s">
        <v>2041</v>
      </c>
      <c r="B342" s="3" t="s">
        <v>825</v>
      </c>
      <c r="C342" s="17" t="s">
        <v>436</v>
      </c>
      <c r="D342" s="3" t="s">
        <v>107</v>
      </c>
      <c r="E342" s="8" t="s">
        <v>420</v>
      </c>
      <c r="F342" s="8" t="s">
        <v>422</v>
      </c>
      <c r="G342" s="33" t="s">
        <v>450</v>
      </c>
    </row>
    <row r="343" spans="1:7">
      <c r="A343" s="21" t="s">
        <v>2042</v>
      </c>
      <c r="B343" s="3" t="s">
        <v>826</v>
      </c>
      <c r="C343" s="17" t="s">
        <v>432</v>
      </c>
      <c r="D343" s="3" t="s">
        <v>107</v>
      </c>
      <c r="E343" s="8" t="s">
        <v>420</v>
      </c>
      <c r="F343" s="8" t="s">
        <v>422</v>
      </c>
      <c r="G343" s="33" t="s">
        <v>444</v>
      </c>
    </row>
    <row r="344" spans="1:7">
      <c r="A344" s="21" t="s">
        <v>2043</v>
      </c>
      <c r="B344" s="3" t="s">
        <v>827</v>
      </c>
      <c r="C344" s="17" t="s">
        <v>422</v>
      </c>
      <c r="D344" s="3" t="s">
        <v>1071</v>
      </c>
      <c r="E344" s="8" t="s">
        <v>435</v>
      </c>
      <c r="F344" s="8" t="s">
        <v>422</v>
      </c>
      <c r="G344" s="33" t="s">
        <v>436</v>
      </c>
    </row>
    <row r="345" spans="1:7">
      <c r="A345" s="21" t="s">
        <v>2044</v>
      </c>
      <c r="B345" s="3" t="s">
        <v>828</v>
      </c>
      <c r="C345" s="17" t="s">
        <v>429</v>
      </c>
      <c r="D345" s="3" t="s">
        <v>1072</v>
      </c>
      <c r="E345" s="8" t="s">
        <v>420</v>
      </c>
      <c r="F345" s="8" t="s">
        <v>422</v>
      </c>
      <c r="G345" s="33" t="s">
        <v>433</v>
      </c>
    </row>
    <row r="346" spans="1:7">
      <c r="A346" s="21" t="s">
        <v>2045</v>
      </c>
      <c r="B346" s="3" t="s">
        <v>829</v>
      </c>
      <c r="C346" s="17" t="s">
        <v>422</v>
      </c>
      <c r="D346" s="3" t="s">
        <v>1062</v>
      </c>
      <c r="E346" s="8" t="s">
        <v>422</v>
      </c>
      <c r="F346" s="8" t="s">
        <v>1059</v>
      </c>
      <c r="G346" s="33" t="s">
        <v>426</v>
      </c>
    </row>
    <row r="347" spans="1:7">
      <c r="A347" s="21" t="s">
        <v>2046</v>
      </c>
      <c r="B347" s="3" t="s">
        <v>830</v>
      </c>
      <c r="C347" s="17" t="s">
        <v>422</v>
      </c>
      <c r="D347" s="3" t="s">
        <v>107</v>
      </c>
      <c r="E347" s="8" t="s">
        <v>420</v>
      </c>
      <c r="F347" s="8" t="s">
        <v>422</v>
      </c>
      <c r="G347" s="33" t="s">
        <v>450</v>
      </c>
    </row>
    <row r="348" spans="1:7">
      <c r="A348" s="21" t="s">
        <v>2047</v>
      </c>
      <c r="B348" s="3" t="s">
        <v>831</v>
      </c>
      <c r="C348" s="17" t="s">
        <v>432</v>
      </c>
      <c r="D348" s="3" t="s">
        <v>1065</v>
      </c>
      <c r="E348" s="8" t="s">
        <v>1061</v>
      </c>
      <c r="F348" s="8" t="s">
        <v>422</v>
      </c>
      <c r="G348" s="33" t="s">
        <v>433</v>
      </c>
    </row>
    <row r="349" spans="1:7">
      <c r="A349" s="21" t="s">
        <v>2048</v>
      </c>
      <c r="B349" s="3" t="s">
        <v>832</v>
      </c>
      <c r="C349" s="17" t="s">
        <v>422</v>
      </c>
      <c r="D349" s="3" t="s">
        <v>1067</v>
      </c>
      <c r="E349" s="8" t="s">
        <v>420</v>
      </c>
      <c r="F349" s="8" t="s">
        <v>435</v>
      </c>
      <c r="G349" s="33" t="s">
        <v>433</v>
      </c>
    </row>
    <row r="350" spans="1:7">
      <c r="A350" s="21" t="s">
        <v>2049</v>
      </c>
      <c r="B350" s="3" t="s">
        <v>833</v>
      </c>
      <c r="C350" s="17" t="s">
        <v>422</v>
      </c>
      <c r="D350" s="3" t="s">
        <v>1070</v>
      </c>
      <c r="E350" s="8" t="s">
        <v>420</v>
      </c>
      <c r="F350" s="8" t="s">
        <v>422</v>
      </c>
      <c r="G350" s="33" t="s">
        <v>433</v>
      </c>
    </row>
    <row r="351" spans="1:7">
      <c r="A351" s="21" t="s">
        <v>2050</v>
      </c>
      <c r="B351" s="3" t="s">
        <v>834</v>
      </c>
      <c r="C351" s="17" t="s">
        <v>422</v>
      </c>
      <c r="D351" s="3" t="s">
        <v>1067</v>
      </c>
      <c r="E351" s="8" t="s">
        <v>1061</v>
      </c>
      <c r="F351" s="8" t="s">
        <v>422</v>
      </c>
      <c r="G351" s="33" t="s">
        <v>433</v>
      </c>
    </row>
    <row r="352" spans="1:7">
      <c r="A352" s="21" t="s">
        <v>2051</v>
      </c>
      <c r="B352" s="3" t="s">
        <v>835</v>
      </c>
      <c r="C352" s="17" t="s">
        <v>422</v>
      </c>
      <c r="D352" s="3" t="s">
        <v>1068</v>
      </c>
      <c r="E352" s="8" t="s">
        <v>1061</v>
      </c>
      <c r="F352" s="8" t="s">
        <v>435</v>
      </c>
      <c r="G352" s="33" t="s">
        <v>433</v>
      </c>
    </row>
    <row r="353" spans="1:7">
      <c r="A353" s="21" t="s">
        <v>2052</v>
      </c>
      <c r="B353" s="3" t="s">
        <v>836</v>
      </c>
      <c r="C353" s="17" t="s">
        <v>422</v>
      </c>
      <c r="D353" s="3" t="s">
        <v>1062</v>
      </c>
      <c r="E353" s="8" t="s">
        <v>422</v>
      </c>
      <c r="F353" s="8" t="s">
        <v>1059</v>
      </c>
      <c r="G353" s="33" t="s">
        <v>423</v>
      </c>
    </row>
    <row r="354" spans="1:7">
      <c r="A354" s="21" t="s">
        <v>2053</v>
      </c>
      <c r="B354" s="3" t="s">
        <v>837</v>
      </c>
      <c r="C354" s="17" t="s">
        <v>422</v>
      </c>
      <c r="D354" s="3" t="s">
        <v>1065</v>
      </c>
      <c r="E354" s="8" t="s">
        <v>420</v>
      </c>
      <c r="F354" s="8" t="s">
        <v>422</v>
      </c>
      <c r="G354" s="33" t="s">
        <v>450</v>
      </c>
    </row>
    <row r="355" spans="1:7">
      <c r="A355" s="21" t="s">
        <v>2054</v>
      </c>
      <c r="B355" s="3" t="s">
        <v>838</v>
      </c>
      <c r="C355" s="17" t="s">
        <v>436</v>
      </c>
      <c r="D355" s="3" t="s">
        <v>1068</v>
      </c>
      <c r="E355" s="8" t="s">
        <v>1061</v>
      </c>
      <c r="F355" s="8" t="s">
        <v>422</v>
      </c>
      <c r="G355" s="33" t="s">
        <v>444</v>
      </c>
    </row>
    <row r="356" spans="1:7">
      <c r="A356" s="21" t="s">
        <v>2055</v>
      </c>
      <c r="B356" s="3" t="s">
        <v>839</v>
      </c>
      <c r="C356" s="17" t="s">
        <v>422</v>
      </c>
      <c r="D356" s="3" t="s">
        <v>107</v>
      </c>
      <c r="E356" s="8" t="s">
        <v>420</v>
      </c>
      <c r="F356" s="8" t="s">
        <v>422</v>
      </c>
      <c r="G356" s="33" t="s">
        <v>450</v>
      </c>
    </row>
    <row r="357" spans="1:7">
      <c r="A357" s="21" t="s">
        <v>2056</v>
      </c>
      <c r="B357" s="3" t="s">
        <v>840</v>
      </c>
      <c r="C357" s="17" t="s">
        <v>422</v>
      </c>
      <c r="D357" s="3" t="s">
        <v>107</v>
      </c>
      <c r="E357" s="8" t="s">
        <v>1061</v>
      </c>
      <c r="F357" s="8" t="s">
        <v>422</v>
      </c>
      <c r="G357" s="33" t="s">
        <v>444</v>
      </c>
    </row>
    <row r="358" spans="1:7">
      <c r="A358" s="21" t="s">
        <v>2057</v>
      </c>
      <c r="B358" s="3" t="s">
        <v>841</v>
      </c>
      <c r="C358" s="17" t="s">
        <v>422</v>
      </c>
      <c r="D358" s="3" t="s">
        <v>1070</v>
      </c>
      <c r="E358" s="8" t="s">
        <v>420</v>
      </c>
      <c r="F358" s="8" t="s">
        <v>422</v>
      </c>
      <c r="G358" s="33" t="s">
        <v>444</v>
      </c>
    </row>
    <row r="359" spans="1:7">
      <c r="A359" s="21" t="s">
        <v>2058</v>
      </c>
      <c r="B359" s="3" t="s">
        <v>842</v>
      </c>
      <c r="C359" s="17" t="s">
        <v>422</v>
      </c>
      <c r="D359" s="3" t="s">
        <v>1070</v>
      </c>
      <c r="E359" s="8" t="s">
        <v>420</v>
      </c>
      <c r="F359" s="8" t="s">
        <v>422</v>
      </c>
      <c r="G359" s="33" t="s">
        <v>444</v>
      </c>
    </row>
    <row r="360" spans="1:7">
      <c r="A360" s="21" t="s">
        <v>2059</v>
      </c>
      <c r="B360" s="3" t="s">
        <v>843</v>
      </c>
      <c r="C360" s="17" t="s">
        <v>432</v>
      </c>
      <c r="D360" s="3" t="s">
        <v>1065</v>
      </c>
      <c r="E360" s="8" t="s">
        <v>1061</v>
      </c>
      <c r="F360" s="8" t="s">
        <v>422</v>
      </c>
      <c r="G360" s="33" t="s">
        <v>433</v>
      </c>
    </row>
    <row r="361" spans="1:7">
      <c r="A361" s="21" t="s">
        <v>2060</v>
      </c>
      <c r="B361" s="3" t="s">
        <v>844</v>
      </c>
      <c r="C361" s="17" t="s">
        <v>422</v>
      </c>
      <c r="D361" s="3" t="s">
        <v>1068</v>
      </c>
      <c r="E361" s="8" t="s">
        <v>434</v>
      </c>
      <c r="F361" s="8" t="s">
        <v>422</v>
      </c>
      <c r="G361" s="33" t="s">
        <v>433</v>
      </c>
    </row>
    <row r="362" spans="1:7">
      <c r="A362" s="21" t="s">
        <v>2061</v>
      </c>
      <c r="B362" s="3" t="s">
        <v>845</v>
      </c>
      <c r="C362" s="17" t="s">
        <v>422</v>
      </c>
      <c r="D362" s="3" t="s">
        <v>1070</v>
      </c>
      <c r="E362" s="8" t="s">
        <v>420</v>
      </c>
      <c r="F362" s="8" t="s">
        <v>422</v>
      </c>
      <c r="G362" s="33" t="s">
        <v>444</v>
      </c>
    </row>
    <row r="363" spans="1:7">
      <c r="A363" s="21" t="s">
        <v>2062</v>
      </c>
      <c r="B363" s="3" t="s">
        <v>846</v>
      </c>
      <c r="C363" s="17" t="s">
        <v>432</v>
      </c>
      <c r="D363" s="3" t="s">
        <v>1070</v>
      </c>
      <c r="E363" s="8" t="s">
        <v>420</v>
      </c>
      <c r="F363" s="8" t="s">
        <v>422</v>
      </c>
      <c r="G363" s="33" t="s">
        <v>444</v>
      </c>
    </row>
    <row r="364" spans="1:7">
      <c r="A364" s="21" t="s">
        <v>2063</v>
      </c>
      <c r="B364" s="3" t="s">
        <v>847</v>
      </c>
      <c r="C364" s="17" t="s">
        <v>432</v>
      </c>
      <c r="D364" s="3" t="s">
        <v>107</v>
      </c>
      <c r="E364" s="8" t="s">
        <v>420</v>
      </c>
      <c r="F364" s="8" t="s">
        <v>422</v>
      </c>
      <c r="G364" s="33" t="s">
        <v>450</v>
      </c>
    </row>
    <row r="365" spans="1:7">
      <c r="A365" s="21" t="s">
        <v>2064</v>
      </c>
      <c r="B365" s="3" t="s">
        <v>848</v>
      </c>
      <c r="C365" s="17" t="s">
        <v>422</v>
      </c>
      <c r="D365" s="3" t="s">
        <v>1065</v>
      </c>
      <c r="E365" s="8" t="s">
        <v>420</v>
      </c>
      <c r="F365" s="8" t="s">
        <v>422</v>
      </c>
      <c r="G365" s="33" t="s">
        <v>444</v>
      </c>
    </row>
    <row r="366" spans="1:7">
      <c r="A366" s="21" t="s">
        <v>2065</v>
      </c>
      <c r="B366" s="3" t="s">
        <v>849</v>
      </c>
      <c r="C366" s="17" t="s">
        <v>436</v>
      </c>
      <c r="D366" s="3" t="s">
        <v>107</v>
      </c>
      <c r="E366" s="8" t="s">
        <v>420</v>
      </c>
      <c r="F366" s="8" t="s">
        <v>422</v>
      </c>
      <c r="G366" s="33" t="s">
        <v>450</v>
      </c>
    </row>
    <row r="367" spans="1:7">
      <c r="A367" s="21" t="s">
        <v>2066</v>
      </c>
      <c r="B367" s="3" t="s">
        <v>850</v>
      </c>
      <c r="C367" s="17" t="s">
        <v>432</v>
      </c>
      <c r="D367" s="3" t="s">
        <v>107</v>
      </c>
      <c r="E367" s="8" t="s">
        <v>420</v>
      </c>
      <c r="F367" s="8" t="s">
        <v>422</v>
      </c>
      <c r="G367" s="33" t="s">
        <v>444</v>
      </c>
    </row>
    <row r="368" spans="1:7">
      <c r="A368" s="21" t="s">
        <v>2067</v>
      </c>
      <c r="B368" s="3" t="s">
        <v>851</v>
      </c>
      <c r="C368" s="17" t="s">
        <v>422</v>
      </c>
      <c r="D368" s="3" t="s">
        <v>1071</v>
      </c>
      <c r="E368" s="8" t="s">
        <v>435</v>
      </c>
      <c r="F368" s="8" t="s">
        <v>422</v>
      </c>
      <c r="G368" s="33" t="s">
        <v>436</v>
      </c>
    </row>
    <row r="369" spans="1:7">
      <c r="A369" s="21" t="s">
        <v>2068</v>
      </c>
      <c r="B369" s="3" t="s">
        <v>852</v>
      </c>
      <c r="C369" s="17" t="s">
        <v>429</v>
      </c>
      <c r="D369" s="3" t="s">
        <v>1072</v>
      </c>
      <c r="E369" s="8" t="s">
        <v>420</v>
      </c>
      <c r="F369" s="8" t="s">
        <v>422</v>
      </c>
      <c r="G369" s="33" t="s">
        <v>433</v>
      </c>
    </row>
    <row r="370" spans="1:7">
      <c r="A370" s="21" t="s">
        <v>2069</v>
      </c>
      <c r="B370" s="3" t="s">
        <v>853</v>
      </c>
      <c r="C370" s="17" t="s">
        <v>422</v>
      </c>
      <c r="D370" s="3" t="s">
        <v>1062</v>
      </c>
      <c r="E370" s="8" t="s">
        <v>422</v>
      </c>
      <c r="F370" s="8" t="s">
        <v>1059</v>
      </c>
      <c r="G370" s="33" t="s">
        <v>426</v>
      </c>
    </row>
    <row r="371" spans="1:7">
      <c r="A371" s="21" t="s">
        <v>2070</v>
      </c>
      <c r="B371" s="3" t="s">
        <v>854</v>
      </c>
      <c r="C371" s="17" t="s">
        <v>422</v>
      </c>
      <c r="D371" s="3" t="s">
        <v>107</v>
      </c>
      <c r="E371" s="8" t="s">
        <v>420</v>
      </c>
      <c r="F371" s="8" t="s">
        <v>422</v>
      </c>
      <c r="G371" s="33" t="s">
        <v>450</v>
      </c>
    </row>
    <row r="372" spans="1:7">
      <c r="A372" s="21" t="s">
        <v>2071</v>
      </c>
      <c r="B372" s="3" t="s">
        <v>855</v>
      </c>
      <c r="C372" s="17" t="s">
        <v>432</v>
      </c>
      <c r="D372" s="3" t="s">
        <v>1065</v>
      </c>
      <c r="E372" s="8" t="s">
        <v>1061</v>
      </c>
      <c r="F372" s="8" t="s">
        <v>422</v>
      </c>
      <c r="G372" s="33" t="s">
        <v>433</v>
      </c>
    </row>
    <row r="373" spans="1:7">
      <c r="A373" s="21" t="s">
        <v>2072</v>
      </c>
      <c r="B373" s="3" t="s">
        <v>856</v>
      </c>
      <c r="C373" s="17" t="s">
        <v>422</v>
      </c>
      <c r="D373" s="3" t="s">
        <v>1067</v>
      </c>
      <c r="E373" s="8" t="s">
        <v>420</v>
      </c>
      <c r="F373" s="8" t="s">
        <v>435</v>
      </c>
      <c r="G373" s="33" t="s">
        <v>433</v>
      </c>
    </row>
    <row r="374" spans="1:7">
      <c r="A374" s="21" t="s">
        <v>2073</v>
      </c>
      <c r="B374" s="3" t="s">
        <v>857</v>
      </c>
      <c r="C374" s="17" t="s">
        <v>422</v>
      </c>
      <c r="D374" s="3" t="s">
        <v>1070</v>
      </c>
      <c r="E374" s="8" t="s">
        <v>420</v>
      </c>
      <c r="F374" s="8" t="s">
        <v>422</v>
      </c>
      <c r="G374" s="33" t="s">
        <v>433</v>
      </c>
    </row>
    <row r="375" spans="1:7">
      <c r="A375" s="21" t="s">
        <v>2074</v>
      </c>
      <c r="B375" s="3" t="s">
        <v>858</v>
      </c>
      <c r="C375" s="17" t="s">
        <v>422</v>
      </c>
      <c r="D375" s="3" t="s">
        <v>1067</v>
      </c>
      <c r="E375" s="8" t="s">
        <v>1061</v>
      </c>
      <c r="F375" s="8" t="s">
        <v>422</v>
      </c>
      <c r="G375" s="33" t="s">
        <v>433</v>
      </c>
    </row>
    <row r="376" spans="1:7">
      <c r="A376" s="21" t="s">
        <v>2075</v>
      </c>
      <c r="B376" s="3" t="s">
        <v>859</v>
      </c>
      <c r="C376" s="17" t="s">
        <v>422</v>
      </c>
      <c r="D376" s="3" t="s">
        <v>1068</v>
      </c>
      <c r="E376" s="8" t="s">
        <v>1061</v>
      </c>
      <c r="F376" s="8" t="s">
        <v>435</v>
      </c>
      <c r="G376" s="33" t="s">
        <v>433</v>
      </c>
    </row>
    <row r="377" spans="1:7">
      <c r="A377" s="21" t="s">
        <v>2076</v>
      </c>
      <c r="B377" s="3" t="s">
        <v>860</v>
      </c>
      <c r="C377" s="17" t="s">
        <v>422</v>
      </c>
      <c r="D377" s="3" t="s">
        <v>1062</v>
      </c>
      <c r="E377" s="8" t="s">
        <v>422</v>
      </c>
      <c r="F377" s="8" t="s">
        <v>1059</v>
      </c>
      <c r="G377" s="33" t="s">
        <v>423</v>
      </c>
    </row>
    <row r="378" spans="1:7">
      <c r="A378" s="21" t="s">
        <v>2077</v>
      </c>
      <c r="B378" s="3" t="s">
        <v>861</v>
      </c>
      <c r="C378" s="17" t="s">
        <v>422</v>
      </c>
      <c r="D378" s="3" t="s">
        <v>1065</v>
      </c>
      <c r="E378" s="8" t="s">
        <v>420</v>
      </c>
      <c r="F378" s="8" t="s">
        <v>422</v>
      </c>
      <c r="G378" s="33" t="s">
        <v>450</v>
      </c>
    </row>
    <row r="379" spans="1:7">
      <c r="A379" s="21" t="s">
        <v>2078</v>
      </c>
      <c r="B379" s="3" t="s">
        <v>862</v>
      </c>
      <c r="C379" s="17" t="s">
        <v>436</v>
      </c>
      <c r="D379" s="3" t="s">
        <v>1068</v>
      </c>
      <c r="E379" s="8" t="s">
        <v>1061</v>
      </c>
      <c r="F379" s="8" t="s">
        <v>422</v>
      </c>
      <c r="G379" s="33" t="s">
        <v>444</v>
      </c>
    </row>
    <row r="380" spans="1:7">
      <c r="A380" s="21" t="s">
        <v>2079</v>
      </c>
      <c r="B380" s="3" t="s">
        <v>863</v>
      </c>
      <c r="C380" s="17" t="s">
        <v>422</v>
      </c>
      <c r="D380" s="3" t="s">
        <v>107</v>
      </c>
      <c r="E380" s="8" t="s">
        <v>420</v>
      </c>
      <c r="F380" s="8" t="s">
        <v>422</v>
      </c>
      <c r="G380" s="33" t="s">
        <v>450</v>
      </c>
    </row>
    <row r="381" spans="1:7">
      <c r="A381" s="21" t="s">
        <v>2080</v>
      </c>
      <c r="B381" s="3" t="s">
        <v>864</v>
      </c>
      <c r="C381" s="17" t="s">
        <v>422</v>
      </c>
      <c r="D381" s="3" t="s">
        <v>107</v>
      </c>
      <c r="E381" s="8" t="s">
        <v>1061</v>
      </c>
      <c r="F381" s="8" t="s">
        <v>422</v>
      </c>
      <c r="G381" s="33" t="s">
        <v>444</v>
      </c>
    </row>
    <row r="382" spans="1:7">
      <c r="A382" s="21" t="s">
        <v>2081</v>
      </c>
      <c r="B382" s="3" t="s">
        <v>865</v>
      </c>
      <c r="C382" s="17" t="s">
        <v>422</v>
      </c>
      <c r="D382" s="3" t="s">
        <v>1070</v>
      </c>
      <c r="E382" s="8" t="s">
        <v>420</v>
      </c>
      <c r="F382" s="8" t="s">
        <v>422</v>
      </c>
      <c r="G382" s="33" t="s">
        <v>444</v>
      </c>
    </row>
    <row r="383" spans="1:7">
      <c r="A383" s="21" t="s">
        <v>2082</v>
      </c>
      <c r="B383" s="3" t="s">
        <v>866</v>
      </c>
      <c r="C383" s="17" t="s">
        <v>422</v>
      </c>
      <c r="D383" s="3" t="s">
        <v>1070</v>
      </c>
      <c r="E383" s="8" t="s">
        <v>420</v>
      </c>
      <c r="F383" s="8" t="s">
        <v>422</v>
      </c>
      <c r="G383" s="33" t="s">
        <v>444</v>
      </c>
    </row>
    <row r="384" spans="1:7">
      <c r="A384" s="21" t="s">
        <v>2083</v>
      </c>
      <c r="B384" s="3" t="s">
        <v>867</v>
      </c>
      <c r="C384" s="17" t="s">
        <v>432</v>
      </c>
      <c r="D384" s="3" t="s">
        <v>1065</v>
      </c>
      <c r="E384" s="8" t="s">
        <v>1061</v>
      </c>
      <c r="F384" s="8" t="s">
        <v>422</v>
      </c>
      <c r="G384" s="33" t="s">
        <v>433</v>
      </c>
    </row>
    <row r="385" spans="1:7">
      <c r="A385" s="21" t="s">
        <v>2084</v>
      </c>
      <c r="B385" s="3" t="s">
        <v>868</v>
      </c>
      <c r="C385" s="17" t="s">
        <v>422</v>
      </c>
      <c r="D385" s="3" t="s">
        <v>1068</v>
      </c>
      <c r="E385" s="8" t="s">
        <v>434</v>
      </c>
      <c r="F385" s="8" t="s">
        <v>422</v>
      </c>
      <c r="G385" s="33" t="s">
        <v>433</v>
      </c>
    </row>
    <row r="386" spans="1:7">
      <c r="A386" s="21" t="s">
        <v>2085</v>
      </c>
      <c r="B386" s="3" t="s">
        <v>869</v>
      </c>
      <c r="C386" s="17" t="s">
        <v>422</v>
      </c>
      <c r="D386" s="3" t="s">
        <v>1070</v>
      </c>
      <c r="E386" s="8" t="s">
        <v>420</v>
      </c>
      <c r="F386" s="8" t="s">
        <v>422</v>
      </c>
      <c r="G386" s="33" t="s">
        <v>444</v>
      </c>
    </row>
    <row r="387" spans="1:7">
      <c r="A387" s="21" t="s">
        <v>2086</v>
      </c>
      <c r="B387" s="3" t="s">
        <v>870</v>
      </c>
      <c r="C387" s="17" t="s">
        <v>432</v>
      </c>
      <c r="D387" s="3" t="s">
        <v>1070</v>
      </c>
      <c r="E387" s="8" t="s">
        <v>420</v>
      </c>
      <c r="F387" s="8" t="s">
        <v>422</v>
      </c>
      <c r="G387" s="33" t="s">
        <v>444</v>
      </c>
    </row>
    <row r="388" spans="1:7">
      <c r="A388" s="21" t="s">
        <v>2087</v>
      </c>
      <c r="B388" s="3" t="s">
        <v>871</v>
      </c>
      <c r="C388" s="17" t="s">
        <v>432</v>
      </c>
      <c r="D388" s="3" t="s">
        <v>107</v>
      </c>
      <c r="E388" s="8" t="s">
        <v>420</v>
      </c>
      <c r="F388" s="8" t="s">
        <v>422</v>
      </c>
      <c r="G388" s="33" t="s">
        <v>450</v>
      </c>
    </row>
    <row r="389" spans="1:7">
      <c r="A389" s="21" t="s">
        <v>2088</v>
      </c>
      <c r="B389" s="3" t="s">
        <v>872</v>
      </c>
      <c r="C389" s="17" t="s">
        <v>422</v>
      </c>
      <c r="D389" s="3" t="s">
        <v>1065</v>
      </c>
      <c r="E389" s="8" t="s">
        <v>420</v>
      </c>
      <c r="F389" s="8" t="s">
        <v>422</v>
      </c>
      <c r="G389" s="33" t="s">
        <v>444</v>
      </c>
    </row>
    <row r="390" spans="1:7">
      <c r="A390" s="21" t="s">
        <v>2089</v>
      </c>
      <c r="B390" s="3" t="s">
        <v>873</v>
      </c>
      <c r="C390" s="17" t="s">
        <v>436</v>
      </c>
      <c r="D390" s="3" t="s">
        <v>107</v>
      </c>
      <c r="E390" s="8" t="s">
        <v>420</v>
      </c>
      <c r="F390" s="8" t="s">
        <v>422</v>
      </c>
      <c r="G390" s="33" t="s">
        <v>450</v>
      </c>
    </row>
    <row r="391" spans="1:7">
      <c r="A391" s="21" t="s">
        <v>2090</v>
      </c>
      <c r="B391" s="3" t="s">
        <v>874</v>
      </c>
      <c r="C391" s="17" t="s">
        <v>432</v>
      </c>
      <c r="D391" s="3" t="s">
        <v>107</v>
      </c>
      <c r="E391" s="8" t="s">
        <v>420</v>
      </c>
      <c r="F391" s="8" t="s">
        <v>422</v>
      </c>
      <c r="G391" s="33" t="s">
        <v>444</v>
      </c>
    </row>
    <row r="392" spans="1:7">
      <c r="A392" s="21" t="s">
        <v>2091</v>
      </c>
      <c r="B392" s="3" t="s">
        <v>875</v>
      </c>
      <c r="C392" s="17" t="s">
        <v>422</v>
      </c>
      <c r="D392" s="3" t="s">
        <v>1071</v>
      </c>
      <c r="E392" s="8" t="s">
        <v>435</v>
      </c>
      <c r="F392" s="8" t="s">
        <v>422</v>
      </c>
      <c r="G392" s="33" t="s">
        <v>436</v>
      </c>
    </row>
    <row r="393" spans="1:7">
      <c r="A393" s="21" t="s">
        <v>2092</v>
      </c>
      <c r="B393" s="3" t="s">
        <v>876</v>
      </c>
      <c r="C393" s="17" t="s">
        <v>429</v>
      </c>
      <c r="D393" s="3" t="s">
        <v>1072</v>
      </c>
      <c r="E393" s="8" t="s">
        <v>420</v>
      </c>
      <c r="F393" s="8" t="s">
        <v>422</v>
      </c>
      <c r="G393" s="33" t="s">
        <v>433</v>
      </c>
    </row>
    <row r="394" spans="1:7">
      <c r="A394" s="21" t="s">
        <v>2093</v>
      </c>
      <c r="B394" s="3" t="s">
        <v>877</v>
      </c>
      <c r="C394" s="17" t="s">
        <v>422</v>
      </c>
      <c r="D394" s="3" t="s">
        <v>1062</v>
      </c>
      <c r="E394" s="8" t="s">
        <v>422</v>
      </c>
      <c r="F394" s="8" t="s">
        <v>1059</v>
      </c>
      <c r="G394" s="33" t="s">
        <v>426</v>
      </c>
    </row>
    <row r="395" spans="1:7">
      <c r="A395" s="21" t="s">
        <v>2094</v>
      </c>
      <c r="B395" s="3" t="s">
        <v>878</v>
      </c>
      <c r="C395" s="17" t="s">
        <v>422</v>
      </c>
      <c r="D395" s="3" t="s">
        <v>107</v>
      </c>
      <c r="E395" s="8" t="s">
        <v>420</v>
      </c>
      <c r="F395" s="8" t="s">
        <v>422</v>
      </c>
      <c r="G395" s="33" t="s">
        <v>450</v>
      </c>
    </row>
    <row r="396" spans="1:7">
      <c r="A396" s="21" t="s">
        <v>2095</v>
      </c>
      <c r="B396" s="3" t="s">
        <v>879</v>
      </c>
      <c r="C396" s="17" t="s">
        <v>432</v>
      </c>
      <c r="D396" s="3" t="s">
        <v>1065</v>
      </c>
      <c r="E396" s="8" t="s">
        <v>1061</v>
      </c>
      <c r="F396" s="8" t="s">
        <v>422</v>
      </c>
      <c r="G396" s="33" t="s">
        <v>433</v>
      </c>
    </row>
    <row r="397" spans="1:7">
      <c r="A397" s="21" t="s">
        <v>2096</v>
      </c>
      <c r="B397" s="3" t="s">
        <v>880</v>
      </c>
      <c r="C397" s="17" t="s">
        <v>422</v>
      </c>
      <c r="D397" s="3" t="s">
        <v>1067</v>
      </c>
      <c r="E397" s="8" t="s">
        <v>420</v>
      </c>
      <c r="F397" s="8" t="s">
        <v>435</v>
      </c>
      <c r="G397" s="33" t="s">
        <v>433</v>
      </c>
    </row>
    <row r="398" spans="1:7">
      <c r="A398" s="21" t="s">
        <v>2097</v>
      </c>
      <c r="B398" s="3" t="s">
        <v>881</v>
      </c>
      <c r="C398" s="17" t="s">
        <v>422</v>
      </c>
      <c r="D398" s="3" t="s">
        <v>1070</v>
      </c>
      <c r="E398" s="8" t="s">
        <v>420</v>
      </c>
      <c r="F398" s="8" t="s">
        <v>422</v>
      </c>
      <c r="G398" s="33" t="s">
        <v>433</v>
      </c>
    </row>
    <row r="399" spans="1:7">
      <c r="A399" s="21" t="s">
        <v>2098</v>
      </c>
      <c r="B399" s="3" t="s">
        <v>882</v>
      </c>
      <c r="C399" s="17" t="s">
        <v>422</v>
      </c>
      <c r="D399" s="3" t="s">
        <v>1067</v>
      </c>
      <c r="E399" s="8" t="s">
        <v>1061</v>
      </c>
      <c r="F399" s="8" t="s">
        <v>422</v>
      </c>
      <c r="G399" s="33" t="s">
        <v>433</v>
      </c>
    </row>
    <row r="400" spans="1:7">
      <c r="A400" s="21" t="s">
        <v>2099</v>
      </c>
      <c r="B400" s="3" t="s">
        <v>883</v>
      </c>
      <c r="C400" s="17" t="s">
        <v>422</v>
      </c>
      <c r="D400" s="3" t="s">
        <v>1068</v>
      </c>
      <c r="E400" s="8" t="s">
        <v>1061</v>
      </c>
      <c r="F400" s="8" t="s">
        <v>435</v>
      </c>
      <c r="G400" s="33" t="s">
        <v>433</v>
      </c>
    </row>
    <row r="401" spans="1:7">
      <c r="A401" s="21" t="s">
        <v>2100</v>
      </c>
      <c r="B401" s="3" t="s">
        <v>884</v>
      </c>
      <c r="C401" s="17" t="s">
        <v>422</v>
      </c>
      <c r="D401" s="3" t="s">
        <v>1062</v>
      </c>
      <c r="E401" s="8" t="s">
        <v>422</v>
      </c>
      <c r="F401" s="8" t="s">
        <v>1059</v>
      </c>
      <c r="G401" s="33" t="s">
        <v>423</v>
      </c>
    </row>
    <row r="402" spans="1:7">
      <c r="A402" s="21" t="s">
        <v>2101</v>
      </c>
      <c r="B402" s="3" t="s">
        <v>885</v>
      </c>
      <c r="C402" s="17" t="s">
        <v>422</v>
      </c>
      <c r="D402" s="3" t="s">
        <v>1065</v>
      </c>
      <c r="E402" s="8" t="s">
        <v>420</v>
      </c>
      <c r="F402" s="8" t="s">
        <v>422</v>
      </c>
      <c r="G402" s="33" t="s">
        <v>450</v>
      </c>
    </row>
    <row r="403" spans="1:7">
      <c r="A403" s="21" t="s">
        <v>2102</v>
      </c>
      <c r="B403" s="3" t="s">
        <v>886</v>
      </c>
      <c r="C403" s="17" t="s">
        <v>436</v>
      </c>
      <c r="D403" s="3" t="s">
        <v>1068</v>
      </c>
      <c r="E403" s="8" t="s">
        <v>1061</v>
      </c>
      <c r="F403" s="8" t="s">
        <v>422</v>
      </c>
      <c r="G403" s="33" t="s">
        <v>444</v>
      </c>
    </row>
    <row r="404" spans="1:7">
      <c r="A404" s="21" t="s">
        <v>2103</v>
      </c>
      <c r="B404" s="3" t="s">
        <v>887</v>
      </c>
      <c r="C404" s="17" t="s">
        <v>422</v>
      </c>
      <c r="D404" s="3" t="s">
        <v>107</v>
      </c>
      <c r="E404" s="8" t="s">
        <v>420</v>
      </c>
      <c r="F404" s="8" t="s">
        <v>422</v>
      </c>
      <c r="G404" s="33" t="s">
        <v>450</v>
      </c>
    </row>
    <row r="405" spans="1:7">
      <c r="A405" s="21" t="s">
        <v>2104</v>
      </c>
      <c r="B405" s="3" t="s">
        <v>888</v>
      </c>
      <c r="C405" s="17" t="s">
        <v>422</v>
      </c>
      <c r="D405" s="3" t="s">
        <v>107</v>
      </c>
      <c r="E405" s="8" t="s">
        <v>1061</v>
      </c>
      <c r="F405" s="8" t="s">
        <v>422</v>
      </c>
      <c r="G405" s="33" t="s">
        <v>444</v>
      </c>
    </row>
    <row r="406" spans="1:7">
      <c r="A406" s="21" t="s">
        <v>2105</v>
      </c>
      <c r="B406" s="3" t="s">
        <v>889</v>
      </c>
      <c r="C406" s="17" t="s">
        <v>422</v>
      </c>
      <c r="D406" s="3" t="s">
        <v>1070</v>
      </c>
      <c r="E406" s="8" t="s">
        <v>420</v>
      </c>
      <c r="F406" s="8" t="s">
        <v>422</v>
      </c>
      <c r="G406" s="33" t="s">
        <v>444</v>
      </c>
    </row>
    <row r="407" spans="1:7">
      <c r="A407" s="21" t="s">
        <v>2106</v>
      </c>
      <c r="B407" s="3" t="s">
        <v>890</v>
      </c>
      <c r="C407" s="17" t="s">
        <v>422</v>
      </c>
      <c r="D407" s="3" t="s">
        <v>1070</v>
      </c>
      <c r="E407" s="8" t="s">
        <v>420</v>
      </c>
      <c r="F407" s="8" t="s">
        <v>422</v>
      </c>
      <c r="G407" s="33" t="s">
        <v>444</v>
      </c>
    </row>
    <row r="408" spans="1:7">
      <c r="A408" s="21" t="s">
        <v>2107</v>
      </c>
      <c r="B408" s="3" t="s">
        <v>891</v>
      </c>
      <c r="C408" s="17" t="s">
        <v>432</v>
      </c>
      <c r="D408" s="3" t="s">
        <v>1065</v>
      </c>
      <c r="E408" s="8" t="s">
        <v>1061</v>
      </c>
      <c r="F408" s="8" t="s">
        <v>422</v>
      </c>
      <c r="G408" s="33" t="s">
        <v>433</v>
      </c>
    </row>
    <row r="409" spans="1:7">
      <c r="A409" s="21" t="s">
        <v>2108</v>
      </c>
      <c r="B409" s="3" t="s">
        <v>892</v>
      </c>
      <c r="C409" s="17" t="s">
        <v>422</v>
      </c>
      <c r="D409" s="3" t="s">
        <v>1068</v>
      </c>
      <c r="E409" s="8" t="s">
        <v>434</v>
      </c>
      <c r="F409" s="8" t="s">
        <v>422</v>
      </c>
      <c r="G409" s="33" t="s">
        <v>433</v>
      </c>
    </row>
    <row r="410" spans="1:7">
      <c r="A410" s="21" t="s">
        <v>2109</v>
      </c>
      <c r="B410" s="3" t="s">
        <v>893</v>
      </c>
      <c r="C410" s="17" t="s">
        <v>422</v>
      </c>
      <c r="D410" s="3" t="s">
        <v>1070</v>
      </c>
      <c r="E410" s="8" t="s">
        <v>420</v>
      </c>
      <c r="F410" s="8" t="s">
        <v>422</v>
      </c>
      <c r="G410" s="33" t="s">
        <v>444</v>
      </c>
    </row>
    <row r="411" spans="1:7">
      <c r="A411" s="21" t="s">
        <v>2110</v>
      </c>
      <c r="B411" s="3" t="s">
        <v>894</v>
      </c>
      <c r="C411" s="17" t="s">
        <v>432</v>
      </c>
      <c r="D411" s="3" t="s">
        <v>1070</v>
      </c>
      <c r="E411" s="8" t="s">
        <v>420</v>
      </c>
      <c r="F411" s="8" t="s">
        <v>422</v>
      </c>
      <c r="G411" s="33" t="s">
        <v>444</v>
      </c>
    </row>
    <row r="412" spans="1:7">
      <c r="A412" s="21" t="s">
        <v>2111</v>
      </c>
      <c r="B412" s="3" t="s">
        <v>895</v>
      </c>
      <c r="C412" s="17" t="s">
        <v>432</v>
      </c>
      <c r="D412" s="3" t="s">
        <v>107</v>
      </c>
      <c r="E412" s="8" t="s">
        <v>420</v>
      </c>
      <c r="F412" s="8" t="s">
        <v>422</v>
      </c>
      <c r="G412" s="33" t="s">
        <v>450</v>
      </c>
    </row>
    <row r="413" spans="1:7">
      <c r="A413" s="21" t="s">
        <v>2112</v>
      </c>
      <c r="B413" s="3" t="s">
        <v>896</v>
      </c>
      <c r="C413" s="17" t="s">
        <v>422</v>
      </c>
      <c r="D413" s="3" t="s">
        <v>1065</v>
      </c>
      <c r="E413" s="8" t="s">
        <v>420</v>
      </c>
      <c r="F413" s="8" t="s">
        <v>422</v>
      </c>
      <c r="G413" s="33" t="s">
        <v>444</v>
      </c>
    </row>
    <row r="414" spans="1:7">
      <c r="A414" s="21" t="s">
        <v>2113</v>
      </c>
      <c r="B414" s="3" t="s">
        <v>897</v>
      </c>
      <c r="C414" s="17" t="s">
        <v>436</v>
      </c>
      <c r="D414" s="3" t="s">
        <v>107</v>
      </c>
      <c r="E414" s="8" t="s">
        <v>420</v>
      </c>
      <c r="F414" s="8" t="s">
        <v>422</v>
      </c>
      <c r="G414" s="33" t="s">
        <v>450</v>
      </c>
    </row>
    <row r="415" spans="1:7">
      <c r="A415" s="21" t="s">
        <v>2114</v>
      </c>
      <c r="B415" s="3" t="s">
        <v>898</v>
      </c>
      <c r="C415" s="17" t="s">
        <v>432</v>
      </c>
      <c r="D415" s="3" t="s">
        <v>107</v>
      </c>
      <c r="E415" s="8" t="s">
        <v>420</v>
      </c>
      <c r="F415" s="8" t="s">
        <v>422</v>
      </c>
      <c r="G415" s="33" t="s">
        <v>444</v>
      </c>
    </row>
    <row r="416" spans="1:7">
      <c r="A416" s="21" t="s">
        <v>2115</v>
      </c>
      <c r="B416" s="3" t="s">
        <v>899</v>
      </c>
      <c r="C416" s="17" t="s">
        <v>422</v>
      </c>
      <c r="D416" s="3" t="s">
        <v>1071</v>
      </c>
      <c r="E416" s="8" t="s">
        <v>435</v>
      </c>
      <c r="F416" s="8" t="s">
        <v>422</v>
      </c>
      <c r="G416" s="33" t="s">
        <v>436</v>
      </c>
    </row>
    <row r="417" spans="1:7">
      <c r="A417" s="21" t="s">
        <v>2116</v>
      </c>
      <c r="B417" s="3" t="s">
        <v>900</v>
      </c>
      <c r="C417" s="17" t="s">
        <v>429</v>
      </c>
      <c r="D417" s="3" t="s">
        <v>1072</v>
      </c>
      <c r="E417" s="8" t="s">
        <v>420</v>
      </c>
      <c r="F417" s="8" t="s">
        <v>422</v>
      </c>
      <c r="G417" s="33" t="s">
        <v>433</v>
      </c>
    </row>
    <row r="418" spans="1:7">
      <c r="A418" s="21" t="s">
        <v>2117</v>
      </c>
      <c r="B418" s="3" t="s">
        <v>901</v>
      </c>
      <c r="C418" s="17" t="s">
        <v>422</v>
      </c>
      <c r="D418" s="3" t="s">
        <v>1062</v>
      </c>
      <c r="E418" s="8" t="s">
        <v>422</v>
      </c>
      <c r="F418" s="8" t="s">
        <v>1059</v>
      </c>
      <c r="G418" s="33" t="s">
        <v>426</v>
      </c>
    </row>
    <row r="419" spans="1:7">
      <c r="A419" s="21" t="s">
        <v>2118</v>
      </c>
      <c r="B419" s="3" t="s">
        <v>902</v>
      </c>
      <c r="C419" s="17" t="s">
        <v>422</v>
      </c>
      <c r="D419" s="3" t="s">
        <v>107</v>
      </c>
      <c r="E419" s="8" t="s">
        <v>420</v>
      </c>
      <c r="F419" s="8" t="s">
        <v>422</v>
      </c>
      <c r="G419" s="33" t="s">
        <v>450</v>
      </c>
    </row>
    <row r="420" spans="1:7">
      <c r="A420" s="21" t="s">
        <v>2119</v>
      </c>
      <c r="B420" s="3" t="s">
        <v>903</v>
      </c>
      <c r="C420" s="17" t="s">
        <v>432</v>
      </c>
      <c r="D420" s="3" t="s">
        <v>1065</v>
      </c>
      <c r="E420" s="8" t="s">
        <v>1061</v>
      </c>
      <c r="F420" s="8" t="s">
        <v>422</v>
      </c>
      <c r="G420" s="33" t="s">
        <v>433</v>
      </c>
    </row>
    <row r="421" spans="1:7">
      <c r="A421" s="21" t="s">
        <v>2120</v>
      </c>
      <c r="B421" s="3" t="s">
        <v>904</v>
      </c>
      <c r="C421" s="17" t="s">
        <v>422</v>
      </c>
      <c r="D421" s="3" t="s">
        <v>1067</v>
      </c>
      <c r="E421" s="8" t="s">
        <v>420</v>
      </c>
      <c r="F421" s="8" t="s">
        <v>435</v>
      </c>
      <c r="G421" s="33" t="s">
        <v>433</v>
      </c>
    </row>
    <row r="422" spans="1:7">
      <c r="A422" s="21" t="s">
        <v>2121</v>
      </c>
      <c r="B422" s="3" t="s">
        <v>905</v>
      </c>
      <c r="C422" s="17" t="s">
        <v>422</v>
      </c>
      <c r="D422" s="3" t="s">
        <v>1070</v>
      </c>
      <c r="E422" s="8" t="s">
        <v>420</v>
      </c>
      <c r="F422" s="8" t="s">
        <v>422</v>
      </c>
      <c r="G422" s="33" t="s">
        <v>433</v>
      </c>
    </row>
    <row r="423" spans="1:7">
      <c r="A423" s="21" t="s">
        <v>2122</v>
      </c>
      <c r="B423" s="3" t="s">
        <v>906</v>
      </c>
      <c r="C423" s="17" t="s">
        <v>422</v>
      </c>
      <c r="D423" s="3" t="s">
        <v>1067</v>
      </c>
      <c r="E423" s="8" t="s">
        <v>1061</v>
      </c>
      <c r="F423" s="8" t="s">
        <v>422</v>
      </c>
      <c r="G423" s="33" t="s">
        <v>433</v>
      </c>
    </row>
    <row r="424" spans="1:7">
      <c r="A424" s="21" t="s">
        <v>2123</v>
      </c>
      <c r="B424" s="3" t="s">
        <v>907</v>
      </c>
      <c r="C424" s="17" t="s">
        <v>422</v>
      </c>
      <c r="D424" s="3" t="s">
        <v>1068</v>
      </c>
      <c r="E424" s="8" t="s">
        <v>1061</v>
      </c>
      <c r="F424" s="8" t="s">
        <v>435</v>
      </c>
      <c r="G424" s="33" t="s">
        <v>433</v>
      </c>
    </row>
    <row r="425" spans="1:7">
      <c r="A425" s="21" t="s">
        <v>2124</v>
      </c>
      <c r="B425" s="3" t="s">
        <v>908</v>
      </c>
      <c r="C425" s="17" t="s">
        <v>422</v>
      </c>
      <c r="D425" s="3" t="s">
        <v>1062</v>
      </c>
      <c r="E425" s="8" t="s">
        <v>422</v>
      </c>
      <c r="F425" s="8" t="s">
        <v>1059</v>
      </c>
      <c r="G425" s="33" t="s">
        <v>423</v>
      </c>
    </row>
    <row r="426" spans="1:7">
      <c r="A426" s="21" t="s">
        <v>2125</v>
      </c>
      <c r="B426" s="3" t="s">
        <v>909</v>
      </c>
      <c r="C426" s="17" t="s">
        <v>422</v>
      </c>
      <c r="D426" s="3" t="s">
        <v>1065</v>
      </c>
      <c r="E426" s="8" t="s">
        <v>420</v>
      </c>
      <c r="F426" s="8" t="s">
        <v>422</v>
      </c>
      <c r="G426" s="33" t="s">
        <v>450</v>
      </c>
    </row>
    <row r="427" spans="1:7">
      <c r="A427" s="21" t="s">
        <v>2126</v>
      </c>
      <c r="B427" s="3" t="s">
        <v>910</v>
      </c>
      <c r="C427" s="17" t="s">
        <v>436</v>
      </c>
      <c r="D427" s="3" t="s">
        <v>1068</v>
      </c>
      <c r="E427" s="8" t="s">
        <v>1061</v>
      </c>
      <c r="F427" s="8" t="s">
        <v>422</v>
      </c>
      <c r="G427" s="33" t="s">
        <v>444</v>
      </c>
    </row>
    <row r="428" spans="1:7">
      <c r="A428" s="21" t="s">
        <v>2127</v>
      </c>
      <c r="B428" s="3" t="s">
        <v>911</v>
      </c>
      <c r="C428" s="17" t="s">
        <v>422</v>
      </c>
      <c r="D428" s="3" t="s">
        <v>107</v>
      </c>
      <c r="E428" s="8" t="s">
        <v>420</v>
      </c>
      <c r="F428" s="8" t="s">
        <v>422</v>
      </c>
      <c r="G428" s="33" t="s">
        <v>450</v>
      </c>
    </row>
    <row r="429" spans="1:7">
      <c r="A429" s="21" t="s">
        <v>2128</v>
      </c>
      <c r="B429" s="3" t="s">
        <v>912</v>
      </c>
      <c r="C429" s="17" t="s">
        <v>422</v>
      </c>
      <c r="D429" s="3" t="s">
        <v>107</v>
      </c>
      <c r="E429" s="8" t="s">
        <v>1061</v>
      </c>
      <c r="F429" s="8" t="s">
        <v>422</v>
      </c>
      <c r="G429" s="33" t="s">
        <v>444</v>
      </c>
    </row>
    <row r="430" spans="1:7">
      <c r="A430" s="21" t="s">
        <v>2129</v>
      </c>
      <c r="B430" s="3" t="s">
        <v>913</v>
      </c>
      <c r="C430" s="17" t="s">
        <v>422</v>
      </c>
      <c r="D430" s="3" t="s">
        <v>1070</v>
      </c>
      <c r="E430" s="8" t="s">
        <v>420</v>
      </c>
      <c r="F430" s="8" t="s">
        <v>422</v>
      </c>
      <c r="G430" s="33" t="s">
        <v>444</v>
      </c>
    </row>
    <row r="431" spans="1:7">
      <c r="A431" s="21" t="s">
        <v>2130</v>
      </c>
      <c r="B431" s="3" t="s">
        <v>914</v>
      </c>
      <c r="C431" s="17" t="s">
        <v>422</v>
      </c>
      <c r="D431" s="3" t="s">
        <v>1070</v>
      </c>
      <c r="E431" s="8" t="s">
        <v>420</v>
      </c>
      <c r="F431" s="8" t="s">
        <v>422</v>
      </c>
      <c r="G431" s="33" t="s">
        <v>444</v>
      </c>
    </row>
    <row r="432" spans="1:7">
      <c r="A432" s="21" t="s">
        <v>2131</v>
      </c>
      <c r="B432" s="3" t="s">
        <v>915</v>
      </c>
      <c r="C432" s="17" t="s">
        <v>432</v>
      </c>
      <c r="D432" s="3" t="s">
        <v>1065</v>
      </c>
      <c r="E432" s="8" t="s">
        <v>1061</v>
      </c>
      <c r="F432" s="8" t="s">
        <v>422</v>
      </c>
      <c r="G432" s="33" t="s">
        <v>433</v>
      </c>
    </row>
    <row r="433" spans="1:7">
      <c r="A433" s="21" t="s">
        <v>2132</v>
      </c>
      <c r="B433" s="3" t="s">
        <v>916</v>
      </c>
      <c r="C433" s="17" t="s">
        <v>422</v>
      </c>
      <c r="D433" s="3" t="s">
        <v>1068</v>
      </c>
      <c r="E433" s="8" t="s">
        <v>434</v>
      </c>
      <c r="F433" s="8" t="s">
        <v>422</v>
      </c>
      <c r="G433" s="33" t="s">
        <v>433</v>
      </c>
    </row>
    <row r="434" spans="1:7">
      <c r="A434" s="21" t="s">
        <v>2133</v>
      </c>
      <c r="B434" s="3" t="s">
        <v>917</v>
      </c>
      <c r="C434" s="17" t="s">
        <v>422</v>
      </c>
      <c r="D434" s="3" t="s">
        <v>1070</v>
      </c>
      <c r="E434" s="8" t="s">
        <v>420</v>
      </c>
      <c r="F434" s="8" t="s">
        <v>422</v>
      </c>
      <c r="G434" s="33" t="s">
        <v>444</v>
      </c>
    </row>
    <row r="435" spans="1:7">
      <c r="A435" s="21" t="s">
        <v>2134</v>
      </c>
      <c r="B435" s="3" t="s">
        <v>918</v>
      </c>
      <c r="C435" s="17" t="s">
        <v>432</v>
      </c>
      <c r="D435" s="3" t="s">
        <v>1070</v>
      </c>
      <c r="E435" s="8" t="s">
        <v>420</v>
      </c>
      <c r="F435" s="8" t="s">
        <v>422</v>
      </c>
      <c r="G435" s="33" t="s">
        <v>444</v>
      </c>
    </row>
    <row r="436" spans="1:7">
      <c r="A436" s="21" t="s">
        <v>2135</v>
      </c>
      <c r="B436" s="3" t="s">
        <v>919</v>
      </c>
      <c r="C436" s="17" t="s">
        <v>432</v>
      </c>
      <c r="D436" s="3" t="s">
        <v>107</v>
      </c>
      <c r="E436" s="8" t="s">
        <v>420</v>
      </c>
      <c r="F436" s="8" t="s">
        <v>422</v>
      </c>
      <c r="G436" s="33" t="s">
        <v>450</v>
      </c>
    </row>
    <row r="437" spans="1:7">
      <c r="A437" s="21" t="s">
        <v>2136</v>
      </c>
      <c r="B437" s="3" t="s">
        <v>920</v>
      </c>
      <c r="C437" s="17" t="s">
        <v>422</v>
      </c>
      <c r="D437" s="3" t="s">
        <v>1065</v>
      </c>
      <c r="E437" s="8" t="s">
        <v>420</v>
      </c>
      <c r="F437" s="8" t="s">
        <v>422</v>
      </c>
      <c r="G437" s="33" t="s">
        <v>444</v>
      </c>
    </row>
    <row r="438" spans="1:7">
      <c r="A438" s="21" t="s">
        <v>2137</v>
      </c>
      <c r="B438" s="3" t="s">
        <v>921</v>
      </c>
      <c r="C438" s="17" t="s">
        <v>436</v>
      </c>
      <c r="D438" s="3" t="s">
        <v>107</v>
      </c>
      <c r="E438" s="8" t="s">
        <v>420</v>
      </c>
      <c r="F438" s="8" t="s">
        <v>422</v>
      </c>
      <c r="G438" s="33" t="s">
        <v>450</v>
      </c>
    </row>
    <row r="439" spans="1:7">
      <c r="A439" s="21" t="s">
        <v>2138</v>
      </c>
      <c r="B439" s="3" t="s">
        <v>922</v>
      </c>
      <c r="C439" s="17" t="s">
        <v>432</v>
      </c>
      <c r="D439" s="3" t="s">
        <v>107</v>
      </c>
      <c r="E439" s="8" t="s">
        <v>420</v>
      </c>
      <c r="F439" s="8" t="s">
        <v>422</v>
      </c>
      <c r="G439" s="33" t="s">
        <v>444</v>
      </c>
    </row>
    <row r="440" spans="1:7">
      <c r="A440" s="21" t="s">
        <v>2139</v>
      </c>
      <c r="B440" s="3" t="s">
        <v>923</v>
      </c>
      <c r="C440" s="17" t="s">
        <v>422</v>
      </c>
      <c r="D440" s="3" t="s">
        <v>1071</v>
      </c>
      <c r="E440" s="8" t="s">
        <v>435</v>
      </c>
      <c r="F440" s="8" t="s">
        <v>422</v>
      </c>
      <c r="G440" s="33" t="s">
        <v>436</v>
      </c>
    </row>
    <row r="441" spans="1:7">
      <c r="A441" s="21" t="s">
        <v>2140</v>
      </c>
      <c r="B441" s="3" t="s">
        <v>924</v>
      </c>
      <c r="C441" s="17" t="s">
        <v>429</v>
      </c>
      <c r="D441" s="3" t="s">
        <v>1072</v>
      </c>
      <c r="E441" s="8" t="s">
        <v>420</v>
      </c>
      <c r="F441" s="8" t="s">
        <v>422</v>
      </c>
      <c r="G441" s="33" t="s">
        <v>433</v>
      </c>
    </row>
    <row r="442" spans="1:7">
      <c r="A442" s="21" t="s">
        <v>2141</v>
      </c>
      <c r="B442" s="3" t="s">
        <v>925</v>
      </c>
      <c r="C442" s="17" t="s">
        <v>422</v>
      </c>
      <c r="D442" s="3" t="s">
        <v>1062</v>
      </c>
      <c r="E442" s="8" t="s">
        <v>422</v>
      </c>
      <c r="F442" s="8" t="s">
        <v>1059</v>
      </c>
      <c r="G442" s="33" t="s">
        <v>426</v>
      </c>
    </row>
    <row r="443" spans="1:7">
      <c r="A443" s="21" t="s">
        <v>2142</v>
      </c>
      <c r="B443" s="3" t="s">
        <v>926</v>
      </c>
      <c r="C443" s="17" t="s">
        <v>422</v>
      </c>
      <c r="D443" s="3" t="s">
        <v>107</v>
      </c>
      <c r="E443" s="8" t="s">
        <v>420</v>
      </c>
      <c r="F443" s="8" t="s">
        <v>422</v>
      </c>
      <c r="G443" s="33" t="s">
        <v>450</v>
      </c>
    </row>
    <row r="444" spans="1:7">
      <c r="A444" s="21" t="s">
        <v>2143</v>
      </c>
      <c r="B444" s="3" t="s">
        <v>927</v>
      </c>
      <c r="C444" s="17" t="s">
        <v>432</v>
      </c>
      <c r="D444" s="3" t="s">
        <v>1065</v>
      </c>
      <c r="E444" s="8" t="s">
        <v>1061</v>
      </c>
      <c r="F444" s="8" t="s">
        <v>422</v>
      </c>
      <c r="G444" s="33" t="s">
        <v>433</v>
      </c>
    </row>
    <row r="445" spans="1:7">
      <c r="A445" s="21" t="s">
        <v>2144</v>
      </c>
      <c r="B445" s="3" t="s">
        <v>928</v>
      </c>
      <c r="C445" s="17" t="s">
        <v>422</v>
      </c>
      <c r="D445" s="3" t="s">
        <v>1067</v>
      </c>
      <c r="E445" s="8" t="s">
        <v>420</v>
      </c>
      <c r="F445" s="8" t="s">
        <v>435</v>
      </c>
      <c r="G445" s="33" t="s">
        <v>433</v>
      </c>
    </row>
    <row r="446" spans="1:7">
      <c r="A446" s="21" t="s">
        <v>2145</v>
      </c>
      <c r="B446" s="3" t="s">
        <v>929</v>
      </c>
      <c r="C446" s="17" t="s">
        <v>422</v>
      </c>
      <c r="D446" s="3" t="s">
        <v>1070</v>
      </c>
      <c r="E446" s="8" t="s">
        <v>420</v>
      </c>
      <c r="F446" s="8" t="s">
        <v>422</v>
      </c>
      <c r="G446" s="33" t="s">
        <v>433</v>
      </c>
    </row>
    <row r="447" spans="1:7">
      <c r="A447" s="21" t="s">
        <v>2146</v>
      </c>
      <c r="B447" s="3" t="s">
        <v>930</v>
      </c>
      <c r="C447" s="17" t="s">
        <v>422</v>
      </c>
      <c r="D447" s="3" t="s">
        <v>1067</v>
      </c>
      <c r="E447" s="8" t="s">
        <v>1061</v>
      </c>
      <c r="F447" s="8" t="s">
        <v>422</v>
      </c>
      <c r="G447" s="33" t="s">
        <v>433</v>
      </c>
    </row>
    <row r="448" spans="1:7">
      <c r="A448" s="21" t="s">
        <v>2147</v>
      </c>
      <c r="B448" s="3" t="s">
        <v>931</v>
      </c>
      <c r="C448" s="17" t="s">
        <v>422</v>
      </c>
      <c r="D448" s="3" t="s">
        <v>1068</v>
      </c>
      <c r="E448" s="8" t="s">
        <v>1061</v>
      </c>
      <c r="F448" s="8" t="s">
        <v>435</v>
      </c>
      <c r="G448" s="33" t="s">
        <v>433</v>
      </c>
    </row>
    <row r="449" spans="1:7">
      <c r="A449" s="21" t="s">
        <v>2148</v>
      </c>
      <c r="B449" s="3" t="s">
        <v>932</v>
      </c>
      <c r="C449" s="17" t="s">
        <v>422</v>
      </c>
      <c r="D449" s="3" t="s">
        <v>1062</v>
      </c>
      <c r="E449" s="8" t="s">
        <v>422</v>
      </c>
      <c r="F449" s="8" t="s">
        <v>1059</v>
      </c>
      <c r="G449" s="33" t="s">
        <v>423</v>
      </c>
    </row>
    <row r="450" spans="1:7">
      <c r="A450" s="21" t="s">
        <v>2149</v>
      </c>
      <c r="B450" s="3" t="s">
        <v>933</v>
      </c>
      <c r="C450" s="17" t="s">
        <v>422</v>
      </c>
      <c r="D450" s="3" t="s">
        <v>1065</v>
      </c>
      <c r="E450" s="8" t="s">
        <v>420</v>
      </c>
      <c r="F450" s="8" t="s">
        <v>422</v>
      </c>
      <c r="G450" s="33" t="s">
        <v>450</v>
      </c>
    </row>
    <row r="451" spans="1:7">
      <c r="A451" s="21" t="s">
        <v>2150</v>
      </c>
      <c r="B451" s="3" t="s">
        <v>934</v>
      </c>
      <c r="C451" s="17" t="s">
        <v>436</v>
      </c>
      <c r="D451" s="3" t="s">
        <v>1068</v>
      </c>
      <c r="E451" s="8" t="s">
        <v>1061</v>
      </c>
      <c r="F451" s="8" t="s">
        <v>422</v>
      </c>
      <c r="G451" s="33" t="s">
        <v>444</v>
      </c>
    </row>
    <row r="452" spans="1:7">
      <c r="A452" s="21" t="s">
        <v>2151</v>
      </c>
      <c r="B452" s="3" t="s">
        <v>935</v>
      </c>
      <c r="C452" s="17" t="s">
        <v>422</v>
      </c>
      <c r="D452" s="3" t="s">
        <v>107</v>
      </c>
      <c r="E452" s="8" t="s">
        <v>420</v>
      </c>
      <c r="F452" s="8" t="s">
        <v>422</v>
      </c>
      <c r="G452" s="33" t="s">
        <v>450</v>
      </c>
    </row>
    <row r="453" spans="1:7">
      <c r="A453" s="21" t="s">
        <v>2152</v>
      </c>
      <c r="B453" s="3" t="s">
        <v>936</v>
      </c>
      <c r="C453" s="17" t="s">
        <v>422</v>
      </c>
      <c r="D453" s="3" t="s">
        <v>107</v>
      </c>
      <c r="E453" s="8" t="s">
        <v>1061</v>
      </c>
      <c r="F453" s="8" t="s">
        <v>422</v>
      </c>
      <c r="G453" s="33" t="s">
        <v>444</v>
      </c>
    </row>
    <row r="454" spans="1:7">
      <c r="A454" s="21" t="s">
        <v>2153</v>
      </c>
      <c r="B454" s="3" t="s">
        <v>937</v>
      </c>
      <c r="C454" s="17" t="s">
        <v>422</v>
      </c>
      <c r="D454" s="3" t="s">
        <v>1070</v>
      </c>
      <c r="E454" s="8" t="s">
        <v>420</v>
      </c>
      <c r="F454" s="8" t="s">
        <v>422</v>
      </c>
      <c r="G454" s="33" t="s">
        <v>444</v>
      </c>
    </row>
    <row r="455" spans="1:7">
      <c r="A455" s="21" t="s">
        <v>2154</v>
      </c>
      <c r="B455" s="3" t="s">
        <v>938</v>
      </c>
      <c r="C455" s="17" t="s">
        <v>422</v>
      </c>
      <c r="D455" s="3" t="s">
        <v>1070</v>
      </c>
      <c r="E455" s="8" t="s">
        <v>420</v>
      </c>
      <c r="F455" s="8" t="s">
        <v>422</v>
      </c>
      <c r="G455" s="33" t="s">
        <v>444</v>
      </c>
    </row>
    <row r="456" spans="1:7">
      <c r="A456" s="21" t="s">
        <v>2155</v>
      </c>
      <c r="B456" s="3" t="s">
        <v>939</v>
      </c>
      <c r="C456" s="17" t="s">
        <v>432</v>
      </c>
      <c r="D456" s="3" t="s">
        <v>1065</v>
      </c>
      <c r="E456" s="8" t="s">
        <v>1061</v>
      </c>
      <c r="F456" s="8" t="s">
        <v>422</v>
      </c>
      <c r="G456" s="33" t="s">
        <v>433</v>
      </c>
    </row>
    <row r="457" spans="1:7">
      <c r="A457" s="21" t="s">
        <v>2156</v>
      </c>
      <c r="B457" s="3" t="s">
        <v>940</v>
      </c>
      <c r="C457" s="17" t="s">
        <v>422</v>
      </c>
      <c r="D457" s="3" t="s">
        <v>1068</v>
      </c>
      <c r="E457" s="8" t="s">
        <v>434</v>
      </c>
      <c r="F457" s="8" t="s">
        <v>422</v>
      </c>
      <c r="G457" s="33" t="s">
        <v>433</v>
      </c>
    </row>
    <row r="458" spans="1:7">
      <c r="A458" s="21" t="s">
        <v>2157</v>
      </c>
      <c r="B458" s="3" t="s">
        <v>941</v>
      </c>
      <c r="C458" s="17" t="s">
        <v>422</v>
      </c>
      <c r="D458" s="3" t="s">
        <v>1070</v>
      </c>
      <c r="E458" s="8" t="s">
        <v>420</v>
      </c>
      <c r="F458" s="8" t="s">
        <v>422</v>
      </c>
      <c r="G458" s="33" t="s">
        <v>444</v>
      </c>
    </row>
    <row r="459" spans="1:7">
      <c r="A459" s="21" t="s">
        <v>2158</v>
      </c>
      <c r="B459" s="3" t="s">
        <v>942</v>
      </c>
      <c r="C459" s="17" t="s">
        <v>432</v>
      </c>
      <c r="D459" s="3" t="s">
        <v>1070</v>
      </c>
      <c r="E459" s="8" t="s">
        <v>420</v>
      </c>
      <c r="F459" s="8" t="s">
        <v>422</v>
      </c>
      <c r="G459" s="33" t="s">
        <v>444</v>
      </c>
    </row>
    <row r="460" spans="1:7">
      <c r="A460" s="21" t="s">
        <v>2159</v>
      </c>
      <c r="B460" s="3" t="s">
        <v>943</v>
      </c>
      <c r="C460" s="17" t="s">
        <v>432</v>
      </c>
      <c r="D460" s="3" t="s">
        <v>107</v>
      </c>
      <c r="E460" s="8" t="s">
        <v>420</v>
      </c>
      <c r="F460" s="8" t="s">
        <v>422</v>
      </c>
      <c r="G460" s="33" t="s">
        <v>450</v>
      </c>
    </row>
    <row r="461" spans="1:7">
      <c r="A461" s="21" t="s">
        <v>2160</v>
      </c>
      <c r="B461" s="3" t="s">
        <v>944</v>
      </c>
      <c r="C461" s="17" t="s">
        <v>422</v>
      </c>
      <c r="D461" s="3" t="s">
        <v>1065</v>
      </c>
      <c r="E461" s="8" t="s">
        <v>420</v>
      </c>
      <c r="F461" s="8" t="s">
        <v>422</v>
      </c>
      <c r="G461" s="33" t="s">
        <v>444</v>
      </c>
    </row>
    <row r="462" spans="1:7">
      <c r="A462" s="21" t="s">
        <v>2161</v>
      </c>
      <c r="B462" s="3" t="s">
        <v>945</v>
      </c>
      <c r="C462" s="17" t="s">
        <v>436</v>
      </c>
      <c r="D462" s="3" t="s">
        <v>107</v>
      </c>
      <c r="E462" s="8" t="s">
        <v>420</v>
      </c>
      <c r="F462" s="8" t="s">
        <v>422</v>
      </c>
      <c r="G462" s="33" t="s">
        <v>450</v>
      </c>
    </row>
    <row r="463" spans="1:7">
      <c r="A463" s="21" t="s">
        <v>2162</v>
      </c>
      <c r="B463" s="3" t="s">
        <v>946</v>
      </c>
      <c r="C463" s="17" t="s">
        <v>432</v>
      </c>
      <c r="D463" s="3" t="s">
        <v>107</v>
      </c>
      <c r="E463" s="8" t="s">
        <v>420</v>
      </c>
      <c r="F463" s="8" t="s">
        <v>422</v>
      </c>
      <c r="G463" s="33" t="s">
        <v>444</v>
      </c>
    </row>
    <row r="464" spans="1:7">
      <c r="A464" s="21" t="s">
        <v>2163</v>
      </c>
      <c r="B464" s="3" t="s">
        <v>947</v>
      </c>
      <c r="C464" s="17" t="s">
        <v>429</v>
      </c>
      <c r="D464" s="3" t="s">
        <v>1072</v>
      </c>
      <c r="E464" s="8" t="s">
        <v>420</v>
      </c>
      <c r="F464" s="8" t="s">
        <v>422</v>
      </c>
      <c r="G464" s="33" t="s">
        <v>433</v>
      </c>
    </row>
    <row r="465" spans="1:7">
      <c r="A465" s="21" t="s">
        <v>2164</v>
      </c>
      <c r="B465" s="3" t="s">
        <v>948</v>
      </c>
      <c r="C465" s="17" t="s">
        <v>422</v>
      </c>
      <c r="D465" s="3" t="s">
        <v>1062</v>
      </c>
      <c r="E465" s="8" t="s">
        <v>422</v>
      </c>
      <c r="F465" s="8" t="s">
        <v>1059</v>
      </c>
      <c r="G465" s="33" t="s">
        <v>426</v>
      </c>
    </row>
    <row r="466" spans="1:7">
      <c r="A466" s="21" t="s">
        <v>2165</v>
      </c>
      <c r="B466" s="3" t="s">
        <v>949</v>
      </c>
      <c r="C466" s="17" t="s">
        <v>422</v>
      </c>
      <c r="D466" s="3" t="s">
        <v>107</v>
      </c>
      <c r="E466" s="8" t="s">
        <v>420</v>
      </c>
      <c r="F466" s="8" t="s">
        <v>422</v>
      </c>
      <c r="G466" s="33" t="s">
        <v>450</v>
      </c>
    </row>
    <row r="467" spans="1:7">
      <c r="A467" s="21" t="s">
        <v>2166</v>
      </c>
      <c r="B467" s="3" t="s">
        <v>950</v>
      </c>
      <c r="C467" s="17" t="s">
        <v>432</v>
      </c>
      <c r="D467" s="3" t="s">
        <v>1065</v>
      </c>
      <c r="E467" s="8" t="s">
        <v>1061</v>
      </c>
      <c r="F467" s="8" t="s">
        <v>422</v>
      </c>
      <c r="G467" s="33" t="s">
        <v>433</v>
      </c>
    </row>
    <row r="468" spans="1:7">
      <c r="A468" s="21" t="s">
        <v>2167</v>
      </c>
      <c r="B468" s="3" t="s">
        <v>951</v>
      </c>
      <c r="C468" s="17" t="s">
        <v>422</v>
      </c>
      <c r="D468" s="3" t="s">
        <v>1067</v>
      </c>
      <c r="E468" s="8" t="s">
        <v>420</v>
      </c>
      <c r="F468" s="8" t="s">
        <v>435</v>
      </c>
      <c r="G468" s="33" t="s">
        <v>433</v>
      </c>
    </row>
    <row r="469" spans="1:7">
      <c r="A469" s="21" t="s">
        <v>2168</v>
      </c>
      <c r="B469" s="3" t="s">
        <v>952</v>
      </c>
      <c r="C469" s="17" t="s">
        <v>422</v>
      </c>
      <c r="D469" s="3" t="s">
        <v>1070</v>
      </c>
      <c r="E469" s="8" t="s">
        <v>420</v>
      </c>
      <c r="F469" s="8" t="s">
        <v>422</v>
      </c>
      <c r="G469" s="33" t="s">
        <v>433</v>
      </c>
    </row>
    <row r="470" spans="1:7">
      <c r="A470" s="21" t="s">
        <v>2169</v>
      </c>
      <c r="B470" s="3" t="s">
        <v>953</v>
      </c>
      <c r="C470" s="17" t="s">
        <v>422</v>
      </c>
      <c r="D470" s="3" t="s">
        <v>1067</v>
      </c>
      <c r="E470" s="8" t="s">
        <v>1061</v>
      </c>
      <c r="F470" s="8" t="s">
        <v>422</v>
      </c>
      <c r="G470" s="33" t="s">
        <v>433</v>
      </c>
    </row>
    <row r="471" spans="1:7">
      <c r="A471" s="21" t="s">
        <v>2170</v>
      </c>
      <c r="B471" s="3" t="s">
        <v>954</v>
      </c>
      <c r="C471" s="17" t="s">
        <v>422</v>
      </c>
      <c r="D471" s="3" t="s">
        <v>1068</v>
      </c>
      <c r="E471" s="8" t="s">
        <v>1061</v>
      </c>
      <c r="F471" s="8" t="s">
        <v>435</v>
      </c>
      <c r="G471" s="33" t="s">
        <v>433</v>
      </c>
    </row>
    <row r="472" spans="1:7">
      <c r="A472" s="21" t="s">
        <v>2171</v>
      </c>
      <c r="B472" s="3" t="s">
        <v>955</v>
      </c>
      <c r="C472" s="17" t="s">
        <v>422</v>
      </c>
      <c r="D472" s="3" t="s">
        <v>1062</v>
      </c>
      <c r="E472" s="8" t="s">
        <v>422</v>
      </c>
      <c r="F472" s="8" t="s">
        <v>1059</v>
      </c>
      <c r="G472" s="33" t="s">
        <v>423</v>
      </c>
    </row>
    <row r="473" spans="1:7">
      <c r="A473" s="21" t="s">
        <v>2172</v>
      </c>
      <c r="B473" s="3" t="s">
        <v>956</v>
      </c>
      <c r="C473" s="17" t="s">
        <v>422</v>
      </c>
      <c r="D473" s="3" t="s">
        <v>1065</v>
      </c>
      <c r="E473" s="8" t="s">
        <v>420</v>
      </c>
      <c r="F473" s="8" t="s">
        <v>422</v>
      </c>
      <c r="G473" s="33" t="s">
        <v>450</v>
      </c>
    </row>
    <row r="474" spans="1:7">
      <c r="A474" s="21" t="s">
        <v>2173</v>
      </c>
      <c r="B474" s="3" t="s">
        <v>957</v>
      </c>
      <c r="C474" s="17" t="s">
        <v>436</v>
      </c>
      <c r="D474" s="3" t="s">
        <v>1068</v>
      </c>
      <c r="E474" s="8" t="s">
        <v>1061</v>
      </c>
      <c r="F474" s="8" t="s">
        <v>422</v>
      </c>
      <c r="G474" s="33" t="s">
        <v>444</v>
      </c>
    </row>
    <row r="475" spans="1:7">
      <c r="A475" s="21" t="s">
        <v>2174</v>
      </c>
      <c r="B475" s="3" t="s">
        <v>958</v>
      </c>
      <c r="C475" s="17" t="s">
        <v>422</v>
      </c>
      <c r="D475" s="3" t="s">
        <v>107</v>
      </c>
      <c r="E475" s="8" t="s">
        <v>420</v>
      </c>
      <c r="F475" s="8" t="s">
        <v>422</v>
      </c>
      <c r="G475" s="33" t="s">
        <v>450</v>
      </c>
    </row>
    <row r="476" spans="1:7">
      <c r="A476" s="21" t="s">
        <v>2175</v>
      </c>
      <c r="B476" s="3" t="s">
        <v>959</v>
      </c>
      <c r="C476" s="17" t="s">
        <v>422</v>
      </c>
      <c r="D476" s="3" t="s">
        <v>107</v>
      </c>
      <c r="E476" s="8" t="s">
        <v>1061</v>
      </c>
      <c r="F476" s="8" t="s">
        <v>422</v>
      </c>
      <c r="G476" s="33" t="s">
        <v>444</v>
      </c>
    </row>
    <row r="477" spans="1:7">
      <c r="A477" s="21" t="s">
        <v>2176</v>
      </c>
      <c r="B477" s="3" t="s">
        <v>960</v>
      </c>
      <c r="C477" s="17" t="s">
        <v>422</v>
      </c>
      <c r="D477" s="3" t="s">
        <v>1070</v>
      </c>
      <c r="E477" s="8" t="s">
        <v>420</v>
      </c>
      <c r="F477" s="8" t="s">
        <v>422</v>
      </c>
      <c r="G477" s="33" t="s">
        <v>444</v>
      </c>
    </row>
    <row r="478" spans="1:7">
      <c r="A478" s="21" t="s">
        <v>2177</v>
      </c>
      <c r="B478" s="3" t="s">
        <v>961</v>
      </c>
      <c r="C478" s="17" t="s">
        <v>422</v>
      </c>
      <c r="D478" s="3" t="s">
        <v>1070</v>
      </c>
      <c r="E478" s="8" t="s">
        <v>420</v>
      </c>
      <c r="F478" s="8" t="s">
        <v>422</v>
      </c>
      <c r="G478" s="33" t="s">
        <v>444</v>
      </c>
    </row>
    <row r="479" spans="1:7">
      <c r="A479" s="21" t="s">
        <v>2178</v>
      </c>
      <c r="B479" s="3" t="s">
        <v>962</v>
      </c>
      <c r="C479" s="17" t="s">
        <v>432</v>
      </c>
      <c r="D479" s="3" t="s">
        <v>1065</v>
      </c>
      <c r="E479" s="8" t="s">
        <v>1061</v>
      </c>
      <c r="F479" s="8" t="s">
        <v>422</v>
      </c>
      <c r="G479" s="33" t="s">
        <v>433</v>
      </c>
    </row>
    <row r="480" spans="1:7">
      <c r="A480" s="21" t="s">
        <v>2179</v>
      </c>
      <c r="B480" s="3" t="s">
        <v>963</v>
      </c>
      <c r="C480" s="17" t="s">
        <v>422</v>
      </c>
      <c r="D480" s="3" t="s">
        <v>1068</v>
      </c>
      <c r="E480" s="8" t="s">
        <v>434</v>
      </c>
      <c r="F480" s="8" t="s">
        <v>422</v>
      </c>
      <c r="G480" s="33" t="s">
        <v>433</v>
      </c>
    </row>
    <row r="481" spans="1:7">
      <c r="A481" s="21" t="s">
        <v>2180</v>
      </c>
      <c r="B481" s="3" t="s">
        <v>964</v>
      </c>
      <c r="C481" s="17" t="s">
        <v>422</v>
      </c>
      <c r="D481" s="3" t="s">
        <v>1070</v>
      </c>
      <c r="E481" s="8" t="s">
        <v>420</v>
      </c>
      <c r="F481" s="8" t="s">
        <v>422</v>
      </c>
      <c r="G481" s="33" t="s">
        <v>444</v>
      </c>
    </row>
    <row r="482" spans="1:7">
      <c r="A482" s="21" t="s">
        <v>2181</v>
      </c>
      <c r="B482" s="3" t="s">
        <v>965</v>
      </c>
      <c r="C482" s="17" t="s">
        <v>432</v>
      </c>
      <c r="D482" s="3" t="s">
        <v>1070</v>
      </c>
      <c r="E482" s="8" t="s">
        <v>420</v>
      </c>
      <c r="F482" s="8" t="s">
        <v>422</v>
      </c>
      <c r="G482" s="33" t="s">
        <v>444</v>
      </c>
    </row>
    <row r="483" spans="1:7">
      <c r="A483" s="21" t="s">
        <v>2182</v>
      </c>
      <c r="B483" s="3" t="s">
        <v>966</v>
      </c>
      <c r="C483" s="17" t="s">
        <v>432</v>
      </c>
      <c r="D483" s="3" t="s">
        <v>107</v>
      </c>
      <c r="E483" s="8" t="s">
        <v>420</v>
      </c>
      <c r="F483" s="8" t="s">
        <v>422</v>
      </c>
      <c r="G483" s="33" t="s">
        <v>450</v>
      </c>
    </row>
    <row r="484" spans="1:7">
      <c r="A484" s="21" t="s">
        <v>2183</v>
      </c>
      <c r="B484" s="3" t="s">
        <v>967</v>
      </c>
      <c r="C484" s="17" t="s">
        <v>422</v>
      </c>
      <c r="D484" s="3" t="s">
        <v>1065</v>
      </c>
      <c r="E484" s="8" t="s">
        <v>420</v>
      </c>
      <c r="F484" s="8" t="s">
        <v>422</v>
      </c>
      <c r="G484" s="33" t="s">
        <v>444</v>
      </c>
    </row>
    <row r="485" spans="1:7">
      <c r="A485" s="21" t="s">
        <v>2184</v>
      </c>
      <c r="B485" s="3" t="s">
        <v>968</v>
      </c>
      <c r="C485" s="17" t="s">
        <v>436</v>
      </c>
      <c r="D485" s="3" t="s">
        <v>107</v>
      </c>
      <c r="E485" s="8" t="s">
        <v>420</v>
      </c>
      <c r="F485" s="8" t="s">
        <v>422</v>
      </c>
      <c r="G485" s="33" t="s">
        <v>450</v>
      </c>
    </row>
    <row r="486" spans="1:7">
      <c r="A486" s="21" t="s">
        <v>2185</v>
      </c>
      <c r="B486" s="3" t="s">
        <v>969</v>
      </c>
      <c r="C486" s="17" t="s">
        <v>432</v>
      </c>
      <c r="D486" s="3" t="s">
        <v>107</v>
      </c>
      <c r="E486" s="8" t="s">
        <v>420</v>
      </c>
      <c r="F486" s="8" t="s">
        <v>422</v>
      </c>
      <c r="G486" s="33" t="s">
        <v>444</v>
      </c>
    </row>
    <row r="487" spans="1:7">
      <c r="A487" s="21" t="s">
        <v>2186</v>
      </c>
      <c r="B487" s="3" t="s">
        <v>970</v>
      </c>
      <c r="C487" s="17" t="s">
        <v>422</v>
      </c>
      <c r="D487" s="3" t="s">
        <v>1071</v>
      </c>
      <c r="E487" s="8" t="s">
        <v>435</v>
      </c>
      <c r="F487" s="8" t="s">
        <v>422</v>
      </c>
      <c r="G487" s="33" t="s">
        <v>436</v>
      </c>
    </row>
    <row r="488" spans="1:7">
      <c r="A488" s="21" t="s">
        <v>2187</v>
      </c>
      <c r="B488" s="3" t="s">
        <v>971</v>
      </c>
      <c r="C488" s="17" t="s">
        <v>429</v>
      </c>
      <c r="D488" s="3" t="s">
        <v>1072</v>
      </c>
      <c r="E488" s="8" t="s">
        <v>420</v>
      </c>
      <c r="F488" s="8" t="s">
        <v>422</v>
      </c>
      <c r="G488" s="33" t="s">
        <v>433</v>
      </c>
    </row>
    <row r="489" spans="1:7">
      <c r="A489" s="21" t="s">
        <v>2188</v>
      </c>
      <c r="B489" s="3" t="s">
        <v>972</v>
      </c>
      <c r="C489" s="17" t="s">
        <v>422</v>
      </c>
      <c r="D489" s="3" t="s">
        <v>1062</v>
      </c>
      <c r="E489" s="8" t="s">
        <v>422</v>
      </c>
      <c r="F489" s="8" t="s">
        <v>1059</v>
      </c>
      <c r="G489" s="33" t="s">
        <v>426</v>
      </c>
    </row>
    <row r="490" spans="1:7">
      <c r="A490" s="21" t="s">
        <v>2189</v>
      </c>
      <c r="B490" s="3" t="s">
        <v>973</v>
      </c>
      <c r="C490" s="17" t="s">
        <v>422</v>
      </c>
      <c r="D490" s="3" t="s">
        <v>107</v>
      </c>
      <c r="E490" s="8" t="s">
        <v>420</v>
      </c>
      <c r="F490" s="8" t="s">
        <v>422</v>
      </c>
      <c r="G490" s="33" t="s">
        <v>450</v>
      </c>
    </row>
    <row r="491" spans="1:7">
      <c r="A491" s="21" t="s">
        <v>2190</v>
      </c>
      <c r="B491" s="3" t="s">
        <v>974</v>
      </c>
      <c r="C491" s="17" t="s">
        <v>432</v>
      </c>
      <c r="D491" s="3" t="s">
        <v>1065</v>
      </c>
      <c r="E491" s="8" t="s">
        <v>1061</v>
      </c>
      <c r="F491" s="8" t="s">
        <v>422</v>
      </c>
      <c r="G491" s="33" t="s">
        <v>433</v>
      </c>
    </row>
    <row r="492" spans="1:7">
      <c r="A492" s="21" t="s">
        <v>2191</v>
      </c>
      <c r="B492" s="3" t="s">
        <v>975</v>
      </c>
      <c r="C492" s="17" t="s">
        <v>422</v>
      </c>
      <c r="D492" s="3" t="s">
        <v>1067</v>
      </c>
      <c r="E492" s="8" t="s">
        <v>420</v>
      </c>
      <c r="F492" s="8" t="s">
        <v>435</v>
      </c>
      <c r="G492" s="33" t="s">
        <v>433</v>
      </c>
    </row>
    <row r="493" spans="1:7">
      <c r="A493" s="21" t="s">
        <v>2192</v>
      </c>
      <c r="B493" s="3" t="s">
        <v>976</v>
      </c>
      <c r="C493" s="17" t="s">
        <v>422</v>
      </c>
      <c r="D493" s="3" t="s">
        <v>1070</v>
      </c>
      <c r="E493" s="8" t="s">
        <v>420</v>
      </c>
      <c r="F493" s="8" t="s">
        <v>422</v>
      </c>
      <c r="G493" s="33" t="s">
        <v>433</v>
      </c>
    </row>
    <row r="494" spans="1:7">
      <c r="A494" s="21" t="s">
        <v>2193</v>
      </c>
      <c r="B494" s="3" t="s">
        <v>977</v>
      </c>
      <c r="C494" s="17" t="s">
        <v>422</v>
      </c>
      <c r="D494" s="3" t="s">
        <v>1067</v>
      </c>
      <c r="E494" s="8" t="s">
        <v>1061</v>
      </c>
      <c r="F494" s="8" t="s">
        <v>422</v>
      </c>
      <c r="G494" s="33" t="s">
        <v>433</v>
      </c>
    </row>
    <row r="495" spans="1:7">
      <c r="A495" s="21" t="s">
        <v>2194</v>
      </c>
      <c r="B495" s="3" t="s">
        <v>978</v>
      </c>
      <c r="C495" s="17" t="s">
        <v>422</v>
      </c>
      <c r="D495" s="3" t="s">
        <v>1068</v>
      </c>
      <c r="E495" s="8" t="s">
        <v>1061</v>
      </c>
      <c r="F495" s="8" t="s">
        <v>435</v>
      </c>
      <c r="G495" s="33" t="s">
        <v>433</v>
      </c>
    </row>
    <row r="496" spans="1:7">
      <c r="A496" s="21" t="s">
        <v>2195</v>
      </c>
      <c r="B496" s="3" t="s">
        <v>979</v>
      </c>
      <c r="C496" s="17" t="s">
        <v>422</v>
      </c>
      <c r="D496" s="3" t="s">
        <v>1062</v>
      </c>
      <c r="E496" s="8" t="s">
        <v>422</v>
      </c>
      <c r="F496" s="8" t="s">
        <v>1059</v>
      </c>
      <c r="G496" s="33" t="s">
        <v>423</v>
      </c>
    </row>
    <row r="497" spans="1:7">
      <c r="A497" s="21" t="s">
        <v>2196</v>
      </c>
      <c r="B497" s="3" t="s">
        <v>980</v>
      </c>
      <c r="C497" s="17" t="s">
        <v>422</v>
      </c>
      <c r="D497" s="3" t="s">
        <v>1065</v>
      </c>
      <c r="E497" s="8" t="s">
        <v>420</v>
      </c>
      <c r="F497" s="8" t="s">
        <v>422</v>
      </c>
      <c r="G497" s="33" t="s">
        <v>450</v>
      </c>
    </row>
    <row r="498" spans="1:7">
      <c r="A498" s="21" t="s">
        <v>2197</v>
      </c>
      <c r="B498" s="3" t="s">
        <v>981</v>
      </c>
      <c r="C498" s="17" t="s">
        <v>436</v>
      </c>
      <c r="D498" s="3" t="s">
        <v>1068</v>
      </c>
      <c r="E498" s="8" t="s">
        <v>1061</v>
      </c>
      <c r="F498" s="8" t="s">
        <v>422</v>
      </c>
      <c r="G498" s="33" t="s">
        <v>444</v>
      </c>
    </row>
    <row r="499" spans="1:7">
      <c r="A499" s="21" t="s">
        <v>2198</v>
      </c>
      <c r="B499" s="3" t="s">
        <v>982</v>
      </c>
      <c r="C499" s="17" t="s">
        <v>422</v>
      </c>
      <c r="D499" s="3" t="s">
        <v>107</v>
      </c>
      <c r="E499" s="8" t="s">
        <v>420</v>
      </c>
      <c r="F499" s="8" t="s">
        <v>422</v>
      </c>
      <c r="G499" s="33" t="s">
        <v>450</v>
      </c>
    </row>
    <row r="500" spans="1:7">
      <c r="A500" s="21" t="s">
        <v>2199</v>
      </c>
      <c r="B500" s="3" t="s">
        <v>983</v>
      </c>
      <c r="C500" s="17" t="s">
        <v>422</v>
      </c>
      <c r="D500" s="3" t="s">
        <v>107</v>
      </c>
      <c r="E500" s="8" t="s">
        <v>1061</v>
      </c>
      <c r="F500" s="8" t="s">
        <v>422</v>
      </c>
      <c r="G500" s="33" t="s">
        <v>444</v>
      </c>
    </row>
    <row r="501" spans="1:7">
      <c r="A501" s="21" t="s">
        <v>2200</v>
      </c>
      <c r="B501" s="3" t="s">
        <v>984</v>
      </c>
      <c r="C501" s="17" t="s">
        <v>422</v>
      </c>
      <c r="D501" s="3" t="s">
        <v>1070</v>
      </c>
      <c r="E501" s="8" t="s">
        <v>420</v>
      </c>
      <c r="F501" s="8" t="s">
        <v>422</v>
      </c>
      <c r="G501" s="33" t="s">
        <v>444</v>
      </c>
    </row>
    <row r="502" spans="1:7">
      <c r="A502" s="21" t="s">
        <v>2201</v>
      </c>
      <c r="B502" s="3" t="s">
        <v>985</v>
      </c>
      <c r="C502" s="17" t="s">
        <v>422</v>
      </c>
      <c r="D502" s="3" t="s">
        <v>1070</v>
      </c>
      <c r="E502" s="8" t="s">
        <v>420</v>
      </c>
      <c r="F502" s="8" t="s">
        <v>422</v>
      </c>
      <c r="G502" s="33" t="s">
        <v>444</v>
      </c>
    </row>
    <row r="503" spans="1:7">
      <c r="A503" s="21" t="s">
        <v>2202</v>
      </c>
      <c r="B503" s="3" t="s">
        <v>986</v>
      </c>
      <c r="C503" s="17" t="s">
        <v>432</v>
      </c>
      <c r="D503" s="3" t="s">
        <v>1065</v>
      </c>
      <c r="E503" s="8" t="s">
        <v>1061</v>
      </c>
      <c r="F503" s="8" t="s">
        <v>422</v>
      </c>
      <c r="G503" s="33" t="s">
        <v>433</v>
      </c>
    </row>
    <row r="504" spans="1:7">
      <c r="A504" s="21" t="s">
        <v>2203</v>
      </c>
      <c r="B504" s="3" t="s">
        <v>987</v>
      </c>
      <c r="C504" s="17" t="s">
        <v>422</v>
      </c>
      <c r="D504" s="3" t="s">
        <v>1068</v>
      </c>
      <c r="E504" s="8" t="s">
        <v>434</v>
      </c>
      <c r="F504" s="8" t="s">
        <v>422</v>
      </c>
      <c r="G504" s="33" t="s">
        <v>433</v>
      </c>
    </row>
    <row r="505" spans="1:7">
      <c r="A505" s="21" t="s">
        <v>2204</v>
      </c>
      <c r="B505" s="3" t="s">
        <v>988</v>
      </c>
      <c r="C505" s="17" t="s">
        <v>422</v>
      </c>
      <c r="D505" s="3" t="s">
        <v>1070</v>
      </c>
      <c r="E505" s="8" t="s">
        <v>420</v>
      </c>
      <c r="F505" s="8" t="s">
        <v>422</v>
      </c>
      <c r="G505" s="33" t="s">
        <v>444</v>
      </c>
    </row>
    <row r="506" spans="1:7">
      <c r="A506" s="21" t="s">
        <v>2205</v>
      </c>
      <c r="B506" s="3" t="s">
        <v>989</v>
      </c>
      <c r="C506" s="17" t="s">
        <v>432</v>
      </c>
      <c r="D506" s="3" t="s">
        <v>1070</v>
      </c>
      <c r="E506" s="8" t="s">
        <v>420</v>
      </c>
      <c r="F506" s="8" t="s">
        <v>422</v>
      </c>
      <c r="G506" s="33" t="s">
        <v>444</v>
      </c>
    </row>
    <row r="507" spans="1:7">
      <c r="A507" s="21" t="s">
        <v>2206</v>
      </c>
      <c r="B507" s="3" t="s">
        <v>990</v>
      </c>
      <c r="C507" s="17" t="s">
        <v>432</v>
      </c>
      <c r="D507" s="3" t="s">
        <v>107</v>
      </c>
      <c r="E507" s="8" t="s">
        <v>420</v>
      </c>
      <c r="F507" s="8" t="s">
        <v>422</v>
      </c>
      <c r="G507" s="33" t="s">
        <v>450</v>
      </c>
    </row>
    <row r="508" spans="1:7">
      <c r="A508" s="21" t="s">
        <v>2207</v>
      </c>
      <c r="B508" s="3" t="s">
        <v>991</v>
      </c>
      <c r="C508" s="17" t="s">
        <v>422</v>
      </c>
      <c r="D508" s="3" t="s">
        <v>1065</v>
      </c>
      <c r="E508" s="8" t="s">
        <v>420</v>
      </c>
      <c r="F508" s="8" t="s">
        <v>422</v>
      </c>
      <c r="G508" s="33" t="s">
        <v>444</v>
      </c>
    </row>
    <row r="509" spans="1:7">
      <c r="A509" s="21" t="s">
        <v>2208</v>
      </c>
      <c r="B509" s="3" t="s">
        <v>992</v>
      </c>
      <c r="C509" s="17" t="s">
        <v>436</v>
      </c>
      <c r="D509" s="3" t="s">
        <v>107</v>
      </c>
      <c r="E509" s="8" t="s">
        <v>420</v>
      </c>
      <c r="F509" s="8" t="s">
        <v>422</v>
      </c>
      <c r="G509" s="33" t="s">
        <v>450</v>
      </c>
    </row>
    <row r="510" spans="1:7">
      <c r="A510" s="21" t="s">
        <v>2209</v>
      </c>
      <c r="B510" s="3" t="s">
        <v>993</v>
      </c>
      <c r="C510" s="17" t="s">
        <v>432</v>
      </c>
      <c r="D510" s="3" t="s">
        <v>107</v>
      </c>
      <c r="E510" s="8" t="s">
        <v>420</v>
      </c>
      <c r="F510" s="8" t="s">
        <v>422</v>
      </c>
      <c r="G510" s="33" t="s">
        <v>444</v>
      </c>
    </row>
    <row r="511" spans="1:7">
      <c r="A511" s="21" t="s">
        <v>2210</v>
      </c>
      <c r="B511" s="3" t="s">
        <v>994</v>
      </c>
      <c r="C511" s="17" t="s">
        <v>422</v>
      </c>
      <c r="D511" s="3" t="s">
        <v>1071</v>
      </c>
      <c r="E511" s="8" t="s">
        <v>435</v>
      </c>
      <c r="F511" s="8" t="s">
        <v>422</v>
      </c>
      <c r="G511" s="33" t="s">
        <v>436</v>
      </c>
    </row>
    <row r="512" spans="1:7">
      <c r="A512" s="21" t="s">
        <v>2211</v>
      </c>
      <c r="B512" s="3" t="s">
        <v>995</v>
      </c>
      <c r="C512" s="17" t="s">
        <v>429</v>
      </c>
      <c r="D512" s="3" t="s">
        <v>1072</v>
      </c>
      <c r="E512" s="8" t="s">
        <v>420</v>
      </c>
      <c r="F512" s="8" t="s">
        <v>422</v>
      </c>
      <c r="G512" s="33" t="s">
        <v>433</v>
      </c>
    </row>
    <row r="513" spans="1:7">
      <c r="A513" s="21" t="s">
        <v>2212</v>
      </c>
      <c r="B513" s="3" t="s">
        <v>996</v>
      </c>
      <c r="C513" s="17" t="s">
        <v>422</v>
      </c>
      <c r="D513" s="3" t="s">
        <v>107</v>
      </c>
      <c r="E513" s="8" t="s">
        <v>420</v>
      </c>
      <c r="F513" s="8" t="s">
        <v>422</v>
      </c>
      <c r="G513" s="33" t="s">
        <v>450</v>
      </c>
    </row>
    <row r="514" spans="1:7">
      <c r="A514" s="21" t="s">
        <v>2213</v>
      </c>
      <c r="B514" s="3" t="s">
        <v>997</v>
      </c>
      <c r="C514" s="17" t="s">
        <v>432</v>
      </c>
      <c r="D514" s="3" t="s">
        <v>1065</v>
      </c>
      <c r="E514" s="8" t="s">
        <v>1061</v>
      </c>
      <c r="F514" s="8" t="s">
        <v>422</v>
      </c>
      <c r="G514" s="33" t="s">
        <v>433</v>
      </c>
    </row>
    <row r="515" spans="1:7">
      <c r="A515" s="21" t="s">
        <v>2214</v>
      </c>
      <c r="B515" s="3" t="s">
        <v>998</v>
      </c>
      <c r="C515" s="17" t="s">
        <v>422</v>
      </c>
      <c r="D515" s="3" t="s">
        <v>1067</v>
      </c>
      <c r="E515" s="8" t="s">
        <v>420</v>
      </c>
      <c r="F515" s="8" t="s">
        <v>435</v>
      </c>
      <c r="G515" s="33" t="s">
        <v>433</v>
      </c>
    </row>
    <row r="516" spans="1:7">
      <c r="A516" s="21" t="s">
        <v>2215</v>
      </c>
      <c r="B516" s="3" t="s">
        <v>999</v>
      </c>
      <c r="C516" s="17" t="s">
        <v>422</v>
      </c>
      <c r="D516" s="3" t="s">
        <v>1070</v>
      </c>
      <c r="E516" s="8" t="s">
        <v>420</v>
      </c>
      <c r="F516" s="8" t="s">
        <v>422</v>
      </c>
      <c r="G516" s="33" t="s">
        <v>433</v>
      </c>
    </row>
    <row r="517" spans="1:7">
      <c r="A517" s="21" t="s">
        <v>2216</v>
      </c>
      <c r="B517" s="3" t="s">
        <v>1000</v>
      </c>
      <c r="C517" s="17" t="s">
        <v>422</v>
      </c>
      <c r="D517" s="3" t="s">
        <v>1067</v>
      </c>
      <c r="E517" s="8" t="s">
        <v>1061</v>
      </c>
      <c r="F517" s="8" t="s">
        <v>422</v>
      </c>
      <c r="G517" s="33" t="s">
        <v>433</v>
      </c>
    </row>
    <row r="518" spans="1:7">
      <c r="A518" s="21" t="s">
        <v>2217</v>
      </c>
      <c r="B518" s="3" t="s">
        <v>1001</v>
      </c>
      <c r="C518" s="17" t="s">
        <v>422</v>
      </c>
      <c r="D518" s="3" t="s">
        <v>1068</v>
      </c>
      <c r="E518" s="8" t="s">
        <v>1061</v>
      </c>
      <c r="F518" s="8" t="s">
        <v>435</v>
      </c>
      <c r="G518" s="33" t="s">
        <v>433</v>
      </c>
    </row>
    <row r="519" spans="1:7">
      <c r="A519" s="21" t="s">
        <v>2218</v>
      </c>
      <c r="B519" s="3" t="s">
        <v>1002</v>
      </c>
      <c r="C519" s="17" t="s">
        <v>422</v>
      </c>
      <c r="D519" s="3" t="s">
        <v>1062</v>
      </c>
      <c r="E519" s="8" t="s">
        <v>422</v>
      </c>
      <c r="F519" s="8" t="s">
        <v>1059</v>
      </c>
      <c r="G519" s="33" t="s">
        <v>423</v>
      </c>
    </row>
    <row r="520" spans="1:7">
      <c r="A520" s="21" t="s">
        <v>2219</v>
      </c>
      <c r="B520" s="3" t="s">
        <v>1003</v>
      </c>
      <c r="C520" s="17" t="s">
        <v>422</v>
      </c>
      <c r="D520" s="3" t="s">
        <v>1065</v>
      </c>
      <c r="E520" s="8" t="s">
        <v>420</v>
      </c>
      <c r="F520" s="8" t="s">
        <v>422</v>
      </c>
      <c r="G520" s="33" t="s">
        <v>450</v>
      </c>
    </row>
    <row r="521" spans="1:7">
      <c r="A521" s="21" t="s">
        <v>2220</v>
      </c>
      <c r="B521" s="3" t="s">
        <v>1004</v>
      </c>
      <c r="C521" s="17" t="s">
        <v>436</v>
      </c>
      <c r="D521" s="3" t="s">
        <v>1068</v>
      </c>
      <c r="E521" s="8" t="s">
        <v>1061</v>
      </c>
      <c r="F521" s="8" t="s">
        <v>422</v>
      </c>
      <c r="G521" s="33" t="s">
        <v>444</v>
      </c>
    </row>
    <row r="522" spans="1:7">
      <c r="A522" s="21" t="s">
        <v>2221</v>
      </c>
      <c r="B522" s="3" t="s">
        <v>1005</v>
      </c>
      <c r="C522" s="17" t="s">
        <v>422</v>
      </c>
      <c r="D522" s="3" t="s">
        <v>107</v>
      </c>
      <c r="E522" s="8" t="s">
        <v>420</v>
      </c>
      <c r="F522" s="8" t="s">
        <v>422</v>
      </c>
      <c r="G522" s="33" t="s">
        <v>450</v>
      </c>
    </row>
    <row r="523" spans="1:7">
      <c r="A523" s="21" t="s">
        <v>2222</v>
      </c>
      <c r="B523" s="3" t="s">
        <v>1006</v>
      </c>
      <c r="C523" s="17" t="s">
        <v>422</v>
      </c>
      <c r="D523" s="3" t="s">
        <v>107</v>
      </c>
      <c r="E523" s="8" t="s">
        <v>1061</v>
      </c>
      <c r="F523" s="8" t="s">
        <v>422</v>
      </c>
      <c r="G523" s="33" t="s">
        <v>444</v>
      </c>
    </row>
    <row r="524" spans="1:7">
      <c r="A524" s="21" t="s">
        <v>2223</v>
      </c>
      <c r="B524" s="3" t="s">
        <v>1007</v>
      </c>
      <c r="C524" s="17" t="s">
        <v>422</v>
      </c>
      <c r="D524" s="3" t="s">
        <v>1070</v>
      </c>
      <c r="E524" s="8" t="s">
        <v>420</v>
      </c>
      <c r="F524" s="8" t="s">
        <v>422</v>
      </c>
      <c r="G524" s="33" t="s">
        <v>444</v>
      </c>
    </row>
    <row r="525" spans="1:7">
      <c r="A525" s="21" t="s">
        <v>2224</v>
      </c>
      <c r="B525" s="3" t="s">
        <v>1008</v>
      </c>
      <c r="C525" s="17" t="s">
        <v>422</v>
      </c>
      <c r="D525" s="3" t="s">
        <v>1070</v>
      </c>
      <c r="E525" s="8" t="s">
        <v>420</v>
      </c>
      <c r="F525" s="8" t="s">
        <v>422</v>
      </c>
      <c r="G525" s="33" t="s">
        <v>444</v>
      </c>
    </row>
    <row r="526" spans="1:7">
      <c r="A526" s="21" t="s">
        <v>2225</v>
      </c>
      <c r="B526" s="3" t="s">
        <v>1009</v>
      </c>
      <c r="C526" s="17" t="s">
        <v>432</v>
      </c>
      <c r="D526" s="3" t="s">
        <v>1065</v>
      </c>
      <c r="E526" s="8" t="s">
        <v>1061</v>
      </c>
      <c r="F526" s="8" t="s">
        <v>422</v>
      </c>
      <c r="G526" s="33" t="s">
        <v>433</v>
      </c>
    </row>
    <row r="527" spans="1:7">
      <c r="A527" s="21" t="s">
        <v>2226</v>
      </c>
      <c r="B527" s="3" t="s">
        <v>1010</v>
      </c>
      <c r="C527" s="17" t="s">
        <v>422</v>
      </c>
      <c r="D527" s="3" t="s">
        <v>1068</v>
      </c>
      <c r="E527" s="8" t="s">
        <v>434</v>
      </c>
      <c r="F527" s="8" t="s">
        <v>422</v>
      </c>
      <c r="G527" s="33" t="s">
        <v>433</v>
      </c>
    </row>
    <row r="528" spans="1:7">
      <c r="A528" s="21" t="s">
        <v>2227</v>
      </c>
      <c r="B528" s="3" t="s">
        <v>1011</v>
      </c>
      <c r="C528" s="17" t="s">
        <v>422</v>
      </c>
      <c r="D528" s="3" t="s">
        <v>1070</v>
      </c>
      <c r="E528" s="8" t="s">
        <v>420</v>
      </c>
      <c r="F528" s="8" t="s">
        <v>422</v>
      </c>
      <c r="G528" s="33" t="s">
        <v>444</v>
      </c>
    </row>
    <row r="529" spans="1:7">
      <c r="A529" s="21" t="s">
        <v>2228</v>
      </c>
      <c r="B529" s="3" t="s">
        <v>1012</v>
      </c>
      <c r="C529" s="17" t="s">
        <v>432</v>
      </c>
      <c r="D529" s="3" t="s">
        <v>1070</v>
      </c>
      <c r="E529" s="8" t="s">
        <v>420</v>
      </c>
      <c r="F529" s="8" t="s">
        <v>422</v>
      </c>
      <c r="G529" s="33" t="s">
        <v>444</v>
      </c>
    </row>
    <row r="530" spans="1:7">
      <c r="A530" s="21" t="s">
        <v>2229</v>
      </c>
      <c r="B530" s="3" t="s">
        <v>1013</v>
      </c>
      <c r="C530" s="17" t="s">
        <v>432</v>
      </c>
      <c r="D530" s="3" t="s">
        <v>107</v>
      </c>
      <c r="E530" s="8" t="s">
        <v>420</v>
      </c>
      <c r="F530" s="8" t="s">
        <v>422</v>
      </c>
      <c r="G530" s="33" t="s">
        <v>450</v>
      </c>
    </row>
    <row r="531" spans="1:7">
      <c r="A531" s="21" t="s">
        <v>2230</v>
      </c>
      <c r="B531" s="3" t="s">
        <v>1014</v>
      </c>
      <c r="C531" s="17" t="s">
        <v>422</v>
      </c>
      <c r="D531" s="3" t="s">
        <v>1065</v>
      </c>
      <c r="E531" s="8" t="s">
        <v>420</v>
      </c>
      <c r="F531" s="8" t="s">
        <v>422</v>
      </c>
      <c r="G531" s="33" t="s">
        <v>444</v>
      </c>
    </row>
    <row r="532" spans="1:7">
      <c r="A532" s="21" t="s">
        <v>2231</v>
      </c>
      <c r="B532" s="3" t="s">
        <v>1015</v>
      </c>
      <c r="C532" s="17" t="s">
        <v>436</v>
      </c>
      <c r="D532" s="3" t="s">
        <v>107</v>
      </c>
      <c r="E532" s="8" t="s">
        <v>420</v>
      </c>
      <c r="F532" s="8" t="s">
        <v>422</v>
      </c>
      <c r="G532" s="33" t="s">
        <v>450</v>
      </c>
    </row>
    <row r="533" spans="1:7">
      <c r="A533" s="21" t="s">
        <v>2232</v>
      </c>
      <c r="B533" s="3" t="s">
        <v>1016</v>
      </c>
      <c r="C533" s="17" t="s">
        <v>432</v>
      </c>
      <c r="D533" s="3" t="s">
        <v>107</v>
      </c>
      <c r="E533" s="8" t="s">
        <v>420</v>
      </c>
      <c r="F533" s="8" t="s">
        <v>422</v>
      </c>
      <c r="G533" s="33" t="s">
        <v>444</v>
      </c>
    </row>
    <row r="534" spans="1:7">
      <c r="A534" s="21" t="s">
        <v>2233</v>
      </c>
      <c r="B534" s="3" t="s">
        <v>1017</v>
      </c>
      <c r="C534" s="17" t="s">
        <v>422</v>
      </c>
      <c r="D534" s="3" t="s">
        <v>1071</v>
      </c>
      <c r="E534" s="8" t="s">
        <v>435</v>
      </c>
      <c r="F534" s="8" t="s">
        <v>422</v>
      </c>
      <c r="G534" s="33" t="s">
        <v>436</v>
      </c>
    </row>
    <row r="535" spans="1:7">
      <c r="A535" s="21" t="s">
        <v>2234</v>
      </c>
      <c r="B535" s="3" t="s">
        <v>1018</v>
      </c>
      <c r="C535" s="17" t="s">
        <v>429</v>
      </c>
      <c r="D535" s="3" t="s">
        <v>1072</v>
      </c>
      <c r="E535" s="8" t="s">
        <v>420</v>
      </c>
      <c r="F535" s="8" t="s">
        <v>422</v>
      </c>
      <c r="G535" s="33" t="s">
        <v>433</v>
      </c>
    </row>
    <row r="536" spans="1:7">
      <c r="A536" s="21" t="s">
        <v>2235</v>
      </c>
      <c r="B536" s="3" t="s">
        <v>1019</v>
      </c>
      <c r="C536" s="17" t="s">
        <v>422</v>
      </c>
      <c r="D536" s="3" t="s">
        <v>1062</v>
      </c>
      <c r="E536" s="8" t="s">
        <v>422</v>
      </c>
      <c r="F536" s="8" t="s">
        <v>1059</v>
      </c>
      <c r="G536" s="33" t="s">
        <v>426</v>
      </c>
    </row>
    <row r="537" spans="1:7">
      <c r="A537" s="21" t="s">
        <v>2236</v>
      </c>
      <c r="B537" s="3" t="s">
        <v>1020</v>
      </c>
      <c r="C537" s="17" t="s">
        <v>422</v>
      </c>
      <c r="D537" s="3" t="s">
        <v>107</v>
      </c>
      <c r="E537" s="8" t="s">
        <v>420</v>
      </c>
      <c r="F537" s="8" t="s">
        <v>422</v>
      </c>
      <c r="G537" s="33" t="s">
        <v>450</v>
      </c>
    </row>
    <row r="538" spans="1:7">
      <c r="A538" s="21" t="s">
        <v>2237</v>
      </c>
      <c r="B538" s="3" t="s">
        <v>1021</v>
      </c>
      <c r="C538" s="17" t="s">
        <v>432</v>
      </c>
      <c r="D538" s="3" t="s">
        <v>1065</v>
      </c>
      <c r="E538" s="8" t="s">
        <v>1061</v>
      </c>
      <c r="F538" s="8" t="s">
        <v>422</v>
      </c>
      <c r="G538" s="33" t="s">
        <v>433</v>
      </c>
    </row>
    <row r="539" spans="1:7">
      <c r="A539" s="21" t="s">
        <v>2238</v>
      </c>
      <c r="B539" s="3" t="s">
        <v>1022</v>
      </c>
      <c r="C539" s="17" t="s">
        <v>422</v>
      </c>
      <c r="D539" s="3" t="s">
        <v>1067</v>
      </c>
      <c r="E539" s="8" t="s">
        <v>420</v>
      </c>
      <c r="F539" s="8" t="s">
        <v>435</v>
      </c>
      <c r="G539" s="33" t="s">
        <v>433</v>
      </c>
    </row>
    <row r="540" spans="1:7">
      <c r="A540" s="21" t="s">
        <v>2239</v>
      </c>
      <c r="B540" s="3" t="s">
        <v>1023</v>
      </c>
      <c r="C540" s="17" t="s">
        <v>422</v>
      </c>
      <c r="D540" s="3" t="s">
        <v>1070</v>
      </c>
      <c r="E540" s="8" t="s">
        <v>420</v>
      </c>
      <c r="F540" s="8" t="s">
        <v>422</v>
      </c>
      <c r="G540" s="33" t="s">
        <v>433</v>
      </c>
    </row>
    <row r="541" spans="1:7">
      <c r="A541" s="21" t="s">
        <v>2240</v>
      </c>
      <c r="B541" s="3" t="s">
        <v>1024</v>
      </c>
      <c r="C541" s="17" t="s">
        <v>422</v>
      </c>
      <c r="D541" s="3" t="s">
        <v>1067</v>
      </c>
      <c r="E541" s="8" t="s">
        <v>1061</v>
      </c>
      <c r="F541" s="8" t="s">
        <v>422</v>
      </c>
      <c r="G541" s="33" t="s">
        <v>433</v>
      </c>
    </row>
    <row r="542" spans="1:7">
      <c r="A542" s="21" t="s">
        <v>2241</v>
      </c>
      <c r="B542" s="3" t="s">
        <v>1025</v>
      </c>
      <c r="C542" s="17" t="s">
        <v>422</v>
      </c>
      <c r="D542" s="3" t="s">
        <v>1068</v>
      </c>
      <c r="E542" s="8" t="s">
        <v>1061</v>
      </c>
      <c r="F542" s="8" t="s">
        <v>435</v>
      </c>
      <c r="G542" s="33" t="s">
        <v>433</v>
      </c>
    </row>
    <row r="543" spans="1:7">
      <c r="A543" s="21" t="s">
        <v>2242</v>
      </c>
      <c r="B543" s="3" t="s">
        <v>1026</v>
      </c>
      <c r="C543" s="17" t="s">
        <v>422</v>
      </c>
      <c r="D543" s="3" t="s">
        <v>1062</v>
      </c>
      <c r="E543" s="8" t="s">
        <v>422</v>
      </c>
      <c r="F543" s="8" t="s">
        <v>1059</v>
      </c>
      <c r="G543" s="33" t="s">
        <v>423</v>
      </c>
    </row>
    <row r="544" spans="1:7">
      <c r="A544" s="21" t="s">
        <v>2243</v>
      </c>
      <c r="B544" s="3" t="s">
        <v>1027</v>
      </c>
      <c r="C544" s="17" t="s">
        <v>422</v>
      </c>
      <c r="D544" s="3" t="s">
        <v>1065</v>
      </c>
      <c r="E544" s="8" t="s">
        <v>420</v>
      </c>
      <c r="F544" s="8" t="s">
        <v>422</v>
      </c>
      <c r="G544" s="33" t="s">
        <v>450</v>
      </c>
    </row>
    <row r="545" spans="1:7">
      <c r="A545" s="21" t="s">
        <v>2244</v>
      </c>
      <c r="B545" s="3" t="s">
        <v>1028</v>
      </c>
      <c r="C545" s="17" t="s">
        <v>436</v>
      </c>
      <c r="D545" s="3" t="s">
        <v>1068</v>
      </c>
      <c r="E545" s="8" t="s">
        <v>1061</v>
      </c>
      <c r="F545" s="8" t="s">
        <v>422</v>
      </c>
      <c r="G545" s="33" t="s">
        <v>444</v>
      </c>
    </row>
    <row r="546" spans="1:7">
      <c r="A546" s="21" t="s">
        <v>2245</v>
      </c>
      <c r="B546" s="3" t="s">
        <v>1029</v>
      </c>
      <c r="C546" s="17" t="s">
        <v>422</v>
      </c>
      <c r="D546" s="3" t="s">
        <v>107</v>
      </c>
      <c r="E546" s="8" t="s">
        <v>420</v>
      </c>
      <c r="F546" s="8" t="s">
        <v>422</v>
      </c>
      <c r="G546" s="33" t="s">
        <v>450</v>
      </c>
    </row>
    <row r="547" spans="1:7">
      <c r="A547" s="21" t="s">
        <v>2246</v>
      </c>
      <c r="B547" s="3" t="s">
        <v>1030</v>
      </c>
      <c r="C547" s="17" t="s">
        <v>422</v>
      </c>
      <c r="D547" s="3" t="s">
        <v>107</v>
      </c>
      <c r="E547" s="8" t="s">
        <v>1061</v>
      </c>
      <c r="F547" s="8" t="s">
        <v>422</v>
      </c>
      <c r="G547" s="33" t="s">
        <v>444</v>
      </c>
    </row>
    <row r="548" spans="1:7">
      <c r="A548" s="21" t="s">
        <v>2247</v>
      </c>
      <c r="B548" s="3" t="s">
        <v>1031</v>
      </c>
      <c r="C548" s="17" t="s">
        <v>422</v>
      </c>
      <c r="D548" s="3" t="s">
        <v>1070</v>
      </c>
      <c r="E548" s="8" t="s">
        <v>420</v>
      </c>
      <c r="F548" s="8" t="s">
        <v>422</v>
      </c>
      <c r="G548" s="33" t="s">
        <v>444</v>
      </c>
    </row>
    <row r="549" spans="1:7">
      <c r="A549" s="21" t="s">
        <v>2248</v>
      </c>
      <c r="B549" s="3" t="s">
        <v>1032</v>
      </c>
      <c r="C549" s="17" t="s">
        <v>422</v>
      </c>
      <c r="D549" s="3" t="s">
        <v>1070</v>
      </c>
      <c r="E549" s="8" t="s">
        <v>420</v>
      </c>
      <c r="F549" s="8" t="s">
        <v>422</v>
      </c>
      <c r="G549" s="33" t="s">
        <v>444</v>
      </c>
    </row>
    <row r="550" spans="1:7">
      <c r="A550" s="21" t="s">
        <v>2249</v>
      </c>
      <c r="B550" s="3" t="s">
        <v>1033</v>
      </c>
      <c r="C550" s="17" t="s">
        <v>432</v>
      </c>
      <c r="D550" s="3" t="s">
        <v>1065</v>
      </c>
      <c r="E550" s="8" t="s">
        <v>1061</v>
      </c>
      <c r="F550" s="8" t="s">
        <v>422</v>
      </c>
      <c r="G550" s="33" t="s">
        <v>433</v>
      </c>
    </row>
    <row r="551" spans="1:7">
      <c r="A551" s="21" t="s">
        <v>2250</v>
      </c>
      <c r="B551" s="3" t="s">
        <v>1034</v>
      </c>
      <c r="C551" s="17" t="s">
        <v>422</v>
      </c>
      <c r="D551" s="3" t="s">
        <v>1068</v>
      </c>
      <c r="E551" s="8" t="s">
        <v>434</v>
      </c>
      <c r="F551" s="8" t="s">
        <v>422</v>
      </c>
      <c r="G551" s="33" t="s">
        <v>433</v>
      </c>
    </row>
    <row r="552" spans="1:7">
      <c r="A552" s="21" t="s">
        <v>2251</v>
      </c>
      <c r="B552" s="3" t="s">
        <v>1035</v>
      </c>
      <c r="C552" s="17" t="s">
        <v>422</v>
      </c>
      <c r="D552" s="3" t="s">
        <v>1070</v>
      </c>
      <c r="E552" s="8" t="s">
        <v>420</v>
      </c>
      <c r="F552" s="8" t="s">
        <v>422</v>
      </c>
      <c r="G552" s="33" t="s">
        <v>444</v>
      </c>
    </row>
    <row r="553" spans="1:7">
      <c r="A553" s="21" t="s">
        <v>2252</v>
      </c>
      <c r="B553" s="3" t="s">
        <v>1036</v>
      </c>
      <c r="C553" s="17" t="s">
        <v>432</v>
      </c>
      <c r="D553" s="3" t="s">
        <v>1070</v>
      </c>
      <c r="E553" s="8" t="s">
        <v>420</v>
      </c>
      <c r="F553" s="8" t="s">
        <v>422</v>
      </c>
      <c r="G553" s="33" t="s">
        <v>444</v>
      </c>
    </row>
    <row r="554" spans="1:7">
      <c r="A554" s="21" t="s">
        <v>2253</v>
      </c>
      <c r="B554" s="3" t="s">
        <v>1037</v>
      </c>
      <c r="C554" s="17" t="s">
        <v>432</v>
      </c>
      <c r="D554" s="3" t="s">
        <v>107</v>
      </c>
      <c r="E554" s="8" t="s">
        <v>420</v>
      </c>
      <c r="F554" s="8" t="s">
        <v>422</v>
      </c>
      <c r="G554" s="33" t="s">
        <v>450</v>
      </c>
    </row>
    <row r="555" spans="1:7">
      <c r="A555" s="21" t="s">
        <v>2254</v>
      </c>
      <c r="B555" s="3" t="s">
        <v>1038</v>
      </c>
      <c r="C555" s="17" t="s">
        <v>422</v>
      </c>
      <c r="D555" s="3" t="s">
        <v>1065</v>
      </c>
      <c r="E555" s="8" t="s">
        <v>420</v>
      </c>
      <c r="F555" s="8" t="s">
        <v>422</v>
      </c>
      <c r="G555" s="33" t="s">
        <v>444</v>
      </c>
    </row>
    <row r="556" spans="1:7">
      <c r="A556" s="21" t="s">
        <v>2255</v>
      </c>
      <c r="B556" s="3" t="s">
        <v>1039</v>
      </c>
      <c r="C556" s="17" t="s">
        <v>436</v>
      </c>
      <c r="D556" s="3" t="s">
        <v>107</v>
      </c>
      <c r="E556" s="8" t="s">
        <v>420</v>
      </c>
      <c r="F556" s="8" t="s">
        <v>422</v>
      </c>
      <c r="G556" s="33" t="s">
        <v>450</v>
      </c>
    </row>
    <row r="557" spans="1:7">
      <c r="A557" s="21" t="s">
        <v>2256</v>
      </c>
      <c r="B557" s="3" t="s">
        <v>1040</v>
      </c>
      <c r="C557" s="17" t="s">
        <v>432</v>
      </c>
      <c r="D557" s="3" t="s">
        <v>107</v>
      </c>
      <c r="E557" s="8" t="s">
        <v>420</v>
      </c>
      <c r="F557" s="8" t="s">
        <v>422</v>
      </c>
      <c r="G557" s="33" t="s">
        <v>444</v>
      </c>
    </row>
    <row r="558" spans="1:7">
      <c r="A558" s="21" t="s">
        <v>2257</v>
      </c>
      <c r="B558" s="3" t="s">
        <v>1041</v>
      </c>
      <c r="C558" s="17" t="s">
        <v>422</v>
      </c>
      <c r="D558" s="3" t="s">
        <v>1071</v>
      </c>
      <c r="E558" s="8" t="s">
        <v>435</v>
      </c>
      <c r="F558" s="8" t="s">
        <v>422</v>
      </c>
      <c r="G558" s="33" t="s">
        <v>436</v>
      </c>
    </row>
    <row r="559" spans="1:7">
      <c r="A559" s="21" t="s">
        <v>2258</v>
      </c>
      <c r="B559" s="3" t="s">
        <v>1042</v>
      </c>
      <c r="C559" s="17" t="s">
        <v>429</v>
      </c>
      <c r="D559" s="3" t="s">
        <v>1072</v>
      </c>
      <c r="E559" s="8" t="s">
        <v>420</v>
      </c>
      <c r="F559" s="8" t="s">
        <v>422</v>
      </c>
      <c r="G559" s="33" t="s">
        <v>433</v>
      </c>
    </row>
    <row r="560" spans="1:7">
      <c r="A560" s="21" t="s">
        <v>2259</v>
      </c>
      <c r="B560" s="3" t="s">
        <v>1043</v>
      </c>
      <c r="C560" s="17" t="s">
        <v>422</v>
      </c>
      <c r="D560" s="3" t="s">
        <v>1062</v>
      </c>
      <c r="E560" s="8" t="s">
        <v>422</v>
      </c>
      <c r="F560" s="8" t="s">
        <v>1059</v>
      </c>
      <c r="G560" s="33" t="s">
        <v>426</v>
      </c>
    </row>
    <row r="561" spans="1:7">
      <c r="A561" s="21" t="s">
        <v>2260</v>
      </c>
      <c r="B561" s="3" t="s">
        <v>1044</v>
      </c>
      <c r="C561" s="17" t="s">
        <v>422</v>
      </c>
      <c r="D561" s="3" t="s">
        <v>107</v>
      </c>
      <c r="E561" s="8" t="s">
        <v>420</v>
      </c>
      <c r="F561" s="8" t="s">
        <v>422</v>
      </c>
      <c r="G561" s="33" t="s">
        <v>450</v>
      </c>
    </row>
    <row r="562" spans="1:7">
      <c r="A562" s="21" t="s">
        <v>2261</v>
      </c>
      <c r="B562" s="3" t="s">
        <v>1045</v>
      </c>
      <c r="C562" s="17" t="s">
        <v>432</v>
      </c>
      <c r="D562" s="3" t="s">
        <v>1065</v>
      </c>
      <c r="E562" s="8" t="s">
        <v>1061</v>
      </c>
      <c r="F562" s="8" t="s">
        <v>422</v>
      </c>
      <c r="G562" s="33" t="s">
        <v>433</v>
      </c>
    </row>
    <row r="563" spans="1:7">
      <c r="A563" s="21" t="s">
        <v>2262</v>
      </c>
      <c r="B563" s="3" t="s">
        <v>1046</v>
      </c>
      <c r="C563" s="17" t="s">
        <v>422</v>
      </c>
      <c r="D563" s="3" t="s">
        <v>1067</v>
      </c>
      <c r="E563" s="8" t="s">
        <v>420</v>
      </c>
      <c r="F563" s="8" t="s">
        <v>435</v>
      </c>
      <c r="G563" s="33" t="s">
        <v>433</v>
      </c>
    </row>
    <row r="564" spans="1:7">
      <c r="A564" s="21" t="s">
        <v>2263</v>
      </c>
      <c r="B564" s="3" t="s">
        <v>1047</v>
      </c>
      <c r="C564" s="17" t="s">
        <v>422</v>
      </c>
      <c r="D564" s="3" t="s">
        <v>1070</v>
      </c>
      <c r="E564" s="8" t="s">
        <v>420</v>
      </c>
      <c r="F564" s="8" t="s">
        <v>422</v>
      </c>
      <c r="G564" s="33" t="s">
        <v>433</v>
      </c>
    </row>
    <row r="565" spans="1:7">
      <c r="A565" s="21" t="s">
        <v>2264</v>
      </c>
      <c r="B565" s="3" t="s">
        <v>1048</v>
      </c>
      <c r="C565" s="17" t="s">
        <v>422</v>
      </c>
      <c r="D565" s="3" t="s">
        <v>1067</v>
      </c>
      <c r="E565" s="8" t="s">
        <v>1061</v>
      </c>
      <c r="F565" s="8" t="s">
        <v>422</v>
      </c>
      <c r="G565" s="33" t="s">
        <v>433</v>
      </c>
    </row>
    <row r="566" spans="1:7">
      <c r="A566" s="21" t="s">
        <v>2265</v>
      </c>
      <c r="B566" s="3" t="s">
        <v>1049</v>
      </c>
      <c r="C566" s="17" t="s">
        <v>422</v>
      </c>
      <c r="D566" s="3" t="s">
        <v>1068</v>
      </c>
      <c r="E566" s="8" t="s">
        <v>1061</v>
      </c>
      <c r="F566" s="8" t="s">
        <v>435</v>
      </c>
      <c r="G566" s="33" t="s">
        <v>433</v>
      </c>
    </row>
    <row r="567" spans="1:7">
      <c r="A567" s="21" t="s">
        <v>2266</v>
      </c>
      <c r="B567" s="3" t="s">
        <v>1050</v>
      </c>
      <c r="C567" s="17" t="s">
        <v>422</v>
      </c>
      <c r="D567" s="3" t="s">
        <v>1062</v>
      </c>
      <c r="E567" s="8" t="s">
        <v>422</v>
      </c>
      <c r="F567" s="8" t="s">
        <v>1059</v>
      </c>
      <c r="G567" s="33" t="s">
        <v>423</v>
      </c>
    </row>
    <row r="568" spans="1:7">
      <c r="A568" s="21" t="s">
        <v>2267</v>
      </c>
      <c r="B568" s="3" t="s">
        <v>1051</v>
      </c>
      <c r="C568" s="17" t="s">
        <v>422</v>
      </c>
      <c r="D568" s="3" t="s">
        <v>1065</v>
      </c>
      <c r="E568" s="8" t="s">
        <v>420</v>
      </c>
      <c r="F568" s="8" t="s">
        <v>422</v>
      </c>
      <c r="G568" s="33" t="s">
        <v>450</v>
      </c>
    </row>
    <row r="569" spans="1:7">
      <c r="A569" s="21" t="s">
        <v>2268</v>
      </c>
      <c r="B569" s="3" t="s">
        <v>1052</v>
      </c>
      <c r="C569" s="17" t="s">
        <v>436</v>
      </c>
      <c r="D569" s="3" t="s">
        <v>1068</v>
      </c>
      <c r="E569" s="8" t="s">
        <v>1061</v>
      </c>
      <c r="F569" s="8" t="s">
        <v>422</v>
      </c>
      <c r="G569" s="33" t="s">
        <v>444</v>
      </c>
    </row>
    <row r="570" spans="1:7">
      <c r="A570" s="28" t="s">
        <v>2269</v>
      </c>
      <c r="B570" s="31" t="s">
        <v>1053</v>
      </c>
      <c r="C570" s="36" t="s">
        <v>422</v>
      </c>
      <c r="D570" s="31" t="s">
        <v>107</v>
      </c>
      <c r="E570" s="29" t="s">
        <v>420</v>
      </c>
      <c r="F570" s="29" t="s">
        <v>422</v>
      </c>
      <c r="G570" s="37" t="s">
        <v>450</v>
      </c>
    </row>
    <row r="571" spans="1:7">
      <c r="C571" s="18"/>
      <c r="G571" s="1"/>
    </row>
    <row r="572" spans="1:7">
      <c r="C572" s="18"/>
      <c r="G572" s="1"/>
    </row>
    <row r="573" spans="1:7">
      <c r="C573" s="18"/>
      <c r="G573" s="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B3F0-BA69-401A-9065-452EED5203C3}">
  <sheetPr>
    <tabColor theme="3" tint="0.749992370372631"/>
  </sheetPr>
  <dimension ref="A1:D570"/>
  <sheetViews>
    <sheetView workbookViewId="0">
      <selection activeCell="D4" sqref="D4"/>
    </sheetView>
  </sheetViews>
  <sheetFormatPr defaultRowHeight="14.4"/>
  <cols>
    <col min="1" max="1" width="11.6640625" customWidth="1"/>
    <col min="2" max="2" width="17" customWidth="1"/>
    <col min="3" max="3" width="13.109375" customWidth="1"/>
    <col min="4" max="4" width="21.5546875" bestFit="1" customWidth="1"/>
  </cols>
  <sheetData>
    <row r="1" spans="1:4">
      <c r="A1" s="23" t="s">
        <v>2285</v>
      </c>
      <c r="B1" s="26" t="s">
        <v>484</v>
      </c>
      <c r="C1" s="26" t="s">
        <v>2845</v>
      </c>
      <c r="D1" s="27" t="s">
        <v>2283</v>
      </c>
    </row>
    <row r="2" spans="1:4">
      <c r="A2" s="21" t="s">
        <v>2286</v>
      </c>
      <c r="B2" s="3" t="s">
        <v>485</v>
      </c>
      <c r="C2" s="3" t="s">
        <v>24</v>
      </c>
      <c r="D2" s="22" t="s">
        <v>2846</v>
      </c>
    </row>
    <row r="3" spans="1:4">
      <c r="A3" s="21" t="s">
        <v>2287</v>
      </c>
      <c r="B3" s="3" t="s">
        <v>486</v>
      </c>
      <c r="C3" s="3" t="s">
        <v>28</v>
      </c>
      <c r="D3" s="22" t="s">
        <v>2849</v>
      </c>
    </row>
    <row r="4" spans="1:4">
      <c r="A4" s="21" t="s">
        <v>2288</v>
      </c>
      <c r="B4" s="3" t="s">
        <v>487</v>
      </c>
      <c r="C4" s="3" t="s">
        <v>28</v>
      </c>
      <c r="D4" s="22" t="s">
        <v>2279</v>
      </c>
    </row>
    <row r="5" spans="1:4">
      <c r="A5" s="21" t="s">
        <v>1119</v>
      </c>
      <c r="B5" s="3" t="s">
        <v>488</v>
      </c>
      <c r="C5" s="3" t="s">
        <v>24</v>
      </c>
      <c r="D5" s="22" t="s">
        <v>2279</v>
      </c>
    </row>
    <row r="6" spans="1:4">
      <c r="A6" s="21" t="s">
        <v>2289</v>
      </c>
      <c r="B6" s="3" t="s">
        <v>489</v>
      </c>
      <c r="C6" s="3" t="s">
        <v>24</v>
      </c>
      <c r="D6" s="22" t="s">
        <v>2849</v>
      </c>
    </row>
    <row r="7" spans="1:4">
      <c r="A7" s="21" t="s">
        <v>2290</v>
      </c>
      <c r="B7" s="3" t="s">
        <v>490</v>
      </c>
      <c r="C7" s="3" t="s">
        <v>24</v>
      </c>
      <c r="D7" s="22" t="s">
        <v>2280</v>
      </c>
    </row>
    <row r="8" spans="1:4">
      <c r="A8" s="21" t="s">
        <v>2291</v>
      </c>
      <c r="B8" s="3" t="s">
        <v>491</v>
      </c>
      <c r="C8" s="3" t="s">
        <v>46</v>
      </c>
      <c r="D8" s="22" t="s">
        <v>2849</v>
      </c>
    </row>
    <row r="9" spans="1:4">
      <c r="A9" s="21" t="s">
        <v>2292</v>
      </c>
      <c r="B9" s="3" t="s">
        <v>492</v>
      </c>
      <c r="C9" s="3" t="s">
        <v>46</v>
      </c>
      <c r="D9" s="22" t="s">
        <v>2849</v>
      </c>
    </row>
    <row r="10" spans="1:4">
      <c r="A10" s="21" t="s">
        <v>2293</v>
      </c>
      <c r="B10" s="3" t="s">
        <v>493</v>
      </c>
      <c r="C10" s="3" t="s">
        <v>46</v>
      </c>
      <c r="D10" s="22" t="s">
        <v>2849</v>
      </c>
    </row>
    <row r="11" spans="1:4">
      <c r="A11" s="21" t="s">
        <v>1123</v>
      </c>
      <c r="B11" s="3" t="s">
        <v>494</v>
      </c>
      <c r="C11" s="3" t="s">
        <v>2841</v>
      </c>
      <c r="D11" s="22" t="s">
        <v>2849</v>
      </c>
    </row>
    <row r="12" spans="1:4">
      <c r="A12" s="21" t="s">
        <v>1124</v>
      </c>
      <c r="B12" s="3" t="s">
        <v>495</v>
      </c>
      <c r="C12" s="3" t="s">
        <v>28</v>
      </c>
      <c r="D12" s="22" t="s">
        <v>2849</v>
      </c>
    </row>
    <row r="13" spans="1:4">
      <c r="A13" s="21" t="s">
        <v>2294</v>
      </c>
      <c r="B13" s="3" t="s">
        <v>496</v>
      </c>
      <c r="C13" s="3" t="s">
        <v>28</v>
      </c>
      <c r="D13" s="22" t="s">
        <v>2849</v>
      </c>
    </row>
    <row r="14" spans="1:4">
      <c r="A14" s="21" t="s">
        <v>2295</v>
      </c>
      <c r="B14" s="3" t="s">
        <v>497</v>
      </c>
      <c r="C14" s="3" t="s">
        <v>46</v>
      </c>
      <c r="D14" s="22" t="s">
        <v>2849</v>
      </c>
    </row>
    <row r="15" spans="1:4">
      <c r="A15" s="21" t="s">
        <v>1126</v>
      </c>
      <c r="B15" s="3" t="s">
        <v>498</v>
      </c>
      <c r="C15" s="3" t="s">
        <v>24</v>
      </c>
      <c r="D15" s="22" t="s">
        <v>2849</v>
      </c>
    </row>
    <row r="16" spans="1:4">
      <c r="A16" s="21" t="s">
        <v>2296</v>
      </c>
      <c r="B16" s="3" t="s">
        <v>499</v>
      </c>
      <c r="C16" s="3" t="s">
        <v>46</v>
      </c>
      <c r="D16" s="22" t="s">
        <v>2849</v>
      </c>
    </row>
    <row r="17" spans="1:4">
      <c r="A17" s="21" t="s">
        <v>2297</v>
      </c>
      <c r="B17" s="3" t="s">
        <v>500</v>
      </c>
      <c r="C17" s="3" t="s">
        <v>2841</v>
      </c>
      <c r="D17" s="22" t="s">
        <v>2279</v>
      </c>
    </row>
    <row r="18" spans="1:4">
      <c r="A18" s="21" t="s">
        <v>1129</v>
      </c>
      <c r="B18" s="3" t="s">
        <v>501</v>
      </c>
      <c r="C18" s="3" t="s">
        <v>46</v>
      </c>
      <c r="D18" s="22" t="s">
        <v>2279</v>
      </c>
    </row>
    <row r="19" spans="1:4">
      <c r="A19" s="21" t="s">
        <v>1130</v>
      </c>
      <c r="B19" s="3" t="s">
        <v>502</v>
      </c>
      <c r="C19" s="3" t="s">
        <v>2842</v>
      </c>
      <c r="D19" s="22" t="s">
        <v>2281</v>
      </c>
    </row>
    <row r="20" spans="1:4">
      <c r="A20" s="21" t="s">
        <v>1131</v>
      </c>
      <c r="B20" s="3" t="s">
        <v>503</v>
      </c>
      <c r="C20" s="3" t="s">
        <v>28</v>
      </c>
      <c r="D20" s="22" t="s">
        <v>2849</v>
      </c>
    </row>
    <row r="21" spans="1:4">
      <c r="A21" s="21" t="s">
        <v>1132</v>
      </c>
      <c r="B21" s="3" t="s">
        <v>504</v>
      </c>
      <c r="C21" s="3" t="s">
        <v>24</v>
      </c>
      <c r="D21" s="22" t="s">
        <v>2849</v>
      </c>
    </row>
    <row r="22" spans="1:4">
      <c r="A22" s="21" t="s">
        <v>1133</v>
      </c>
      <c r="B22" s="3" t="s">
        <v>505</v>
      </c>
      <c r="C22" s="3" t="s">
        <v>24</v>
      </c>
      <c r="D22" s="22" t="s">
        <v>2849</v>
      </c>
    </row>
    <row r="23" spans="1:4">
      <c r="A23" s="21" t="s">
        <v>1134</v>
      </c>
      <c r="B23" s="3" t="s">
        <v>506</v>
      </c>
      <c r="C23" s="3" t="s">
        <v>46</v>
      </c>
      <c r="D23" s="22" t="s">
        <v>2847</v>
      </c>
    </row>
    <row r="24" spans="1:4">
      <c r="A24" s="21" t="s">
        <v>1135</v>
      </c>
      <c r="B24" s="3" t="s">
        <v>507</v>
      </c>
      <c r="C24" s="3" t="s">
        <v>46</v>
      </c>
      <c r="D24" s="22" t="s">
        <v>2282</v>
      </c>
    </row>
    <row r="25" spans="1:4">
      <c r="A25" s="21" t="s">
        <v>1136</v>
      </c>
      <c r="B25" s="3" t="s">
        <v>508</v>
      </c>
      <c r="C25" s="3" t="s">
        <v>2841</v>
      </c>
      <c r="D25" s="22" t="s">
        <v>2849</v>
      </c>
    </row>
    <row r="26" spans="1:4">
      <c r="A26" s="21" t="s">
        <v>2298</v>
      </c>
      <c r="B26" s="3" t="s">
        <v>509</v>
      </c>
      <c r="C26" s="3" t="s">
        <v>46</v>
      </c>
      <c r="D26" s="22" t="s">
        <v>2849</v>
      </c>
    </row>
    <row r="27" spans="1:4">
      <c r="A27" s="21" t="s">
        <v>2299</v>
      </c>
      <c r="B27" s="3" t="s">
        <v>510</v>
      </c>
      <c r="C27" s="3" t="s">
        <v>28</v>
      </c>
      <c r="D27" s="22" t="s">
        <v>2279</v>
      </c>
    </row>
    <row r="28" spans="1:4">
      <c r="A28" s="21" t="s">
        <v>2300</v>
      </c>
      <c r="B28" s="3" t="s">
        <v>511</v>
      </c>
      <c r="C28" s="3" t="s">
        <v>24</v>
      </c>
      <c r="D28" s="22" t="s">
        <v>2279</v>
      </c>
    </row>
    <row r="29" spans="1:4">
      <c r="A29" s="21" t="s">
        <v>2301</v>
      </c>
      <c r="B29" s="3" t="s">
        <v>512</v>
      </c>
      <c r="C29" s="3" t="s">
        <v>46</v>
      </c>
      <c r="D29" s="22" t="s">
        <v>2281</v>
      </c>
    </row>
    <row r="30" spans="1:4">
      <c r="A30" s="21" t="s">
        <v>1141</v>
      </c>
      <c r="B30" s="3" t="s">
        <v>513</v>
      </c>
      <c r="C30" s="3" t="s">
        <v>46</v>
      </c>
      <c r="D30" s="22" t="s">
        <v>2849</v>
      </c>
    </row>
    <row r="31" spans="1:4">
      <c r="A31" s="21" t="s">
        <v>2302</v>
      </c>
      <c r="B31" s="3" t="s">
        <v>514</v>
      </c>
      <c r="C31" s="3" t="s">
        <v>24</v>
      </c>
      <c r="D31" s="22" t="s">
        <v>2849</v>
      </c>
    </row>
    <row r="32" spans="1:4">
      <c r="A32" s="21" t="s">
        <v>1143</v>
      </c>
      <c r="B32" s="3" t="s">
        <v>515</v>
      </c>
      <c r="C32" s="3" t="s">
        <v>46</v>
      </c>
      <c r="D32" s="22" t="s">
        <v>2848</v>
      </c>
    </row>
    <row r="33" spans="1:4">
      <c r="A33" s="21" t="s">
        <v>2303</v>
      </c>
      <c r="B33" s="3" t="s">
        <v>516</v>
      </c>
      <c r="C33" s="3" t="s">
        <v>24</v>
      </c>
      <c r="D33" s="22" t="s">
        <v>2846</v>
      </c>
    </row>
    <row r="34" spans="1:4">
      <c r="A34" s="21" t="s">
        <v>2304</v>
      </c>
      <c r="B34" s="3" t="s">
        <v>517</v>
      </c>
      <c r="C34" s="3" t="s">
        <v>46</v>
      </c>
      <c r="D34" s="22" t="s">
        <v>2849</v>
      </c>
    </row>
    <row r="35" spans="1:4">
      <c r="A35" s="21" t="s">
        <v>2305</v>
      </c>
      <c r="B35" s="3" t="s">
        <v>518</v>
      </c>
      <c r="C35" s="3" t="s">
        <v>2841</v>
      </c>
      <c r="D35" s="22" t="s">
        <v>2279</v>
      </c>
    </row>
    <row r="36" spans="1:4">
      <c r="A36" s="21" t="s">
        <v>2306</v>
      </c>
      <c r="B36" s="3" t="s">
        <v>519</v>
      </c>
      <c r="C36" s="3" t="s">
        <v>28</v>
      </c>
      <c r="D36" s="22" t="s">
        <v>2279</v>
      </c>
    </row>
    <row r="37" spans="1:4">
      <c r="A37" s="21" t="s">
        <v>2307</v>
      </c>
      <c r="B37" s="3" t="s">
        <v>520</v>
      </c>
      <c r="C37" s="3" t="s">
        <v>24</v>
      </c>
      <c r="D37" s="22" t="s">
        <v>2849</v>
      </c>
    </row>
    <row r="38" spans="1:4">
      <c r="A38" s="21" t="s">
        <v>2308</v>
      </c>
      <c r="B38" s="3" t="s">
        <v>521</v>
      </c>
      <c r="C38" s="3" t="s">
        <v>24</v>
      </c>
      <c r="D38" s="22" t="s">
        <v>2280</v>
      </c>
    </row>
    <row r="39" spans="1:4">
      <c r="A39" s="21" t="s">
        <v>2309</v>
      </c>
      <c r="B39" s="3" t="s">
        <v>522</v>
      </c>
      <c r="C39" s="3" t="s">
        <v>46</v>
      </c>
      <c r="D39" s="22" t="s">
        <v>2849</v>
      </c>
    </row>
    <row r="40" spans="1:4">
      <c r="A40" s="21" t="s">
        <v>2310</v>
      </c>
      <c r="B40" s="3" t="s">
        <v>523</v>
      </c>
      <c r="C40" s="3" t="s">
        <v>149</v>
      </c>
      <c r="D40" s="22" t="s">
        <v>2849</v>
      </c>
    </row>
    <row r="41" spans="1:4">
      <c r="A41" s="21" t="s">
        <v>2311</v>
      </c>
      <c r="B41" s="3" t="s">
        <v>524</v>
      </c>
      <c r="C41" s="3" t="s">
        <v>46</v>
      </c>
      <c r="D41" s="22" t="s">
        <v>2849</v>
      </c>
    </row>
    <row r="42" spans="1:4">
      <c r="A42" s="21" t="s">
        <v>2312</v>
      </c>
      <c r="B42" s="3" t="s">
        <v>525</v>
      </c>
      <c r="C42" s="3" t="s">
        <v>2841</v>
      </c>
      <c r="D42" s="22" t="s">
        <v>2849</v>
      </c>
    </row>
    <row r="43" spans="1:4">
      <c r="A43" s="21" t="s">
        <v>2313</v>
      </c>
      <c r="B43" s="3" t="s">
        <v>526</v>
      </c>
      <c r="C43" s="3" t="s">
        <v>28</v>
      </c>
      <c r="D43" s="22" t="s">
        <v>2849</v>
      </c>
    </row>
    <row r="44" spans="1:4">
      <c r="A44" s="21" t="s">
        <v>2314</v>
      </c>
      <c r="B44" s="3" t="s">
        <v>527</v>
      </c>
      <c r="C44" s="3" t="s">
        <v>28</v>
      </c>
      <c r="D44" s="22" t="s">
        <v>2849</v>
      </c>
    </row>
    <row r="45" spans="1:4">
      <c r="A45" s="21" t="s">
        <v>2315</v>
      </c>
      <c r="B45" s="3" t="s">
        <v>528</v>
      </c>
      <c r="C45" s="3" t="s">
        <v>46</v>
      </c>
      <c r="D45" s="22" t="s">
        <v>2849</v>
      </c>
    </row>
    <row r="46" spans="1:4">
      <c r="A46" s="21" t="s">
        <v>2316</v>
      </c>
      <c r="B46" s="3" t="s">
        <v>529</v>
      </c>
      <c r="C46" s="3" t="s">
        <v>24</v>
      </c>
      <c r="D46" s="22" t="s">
        <v>2849</v>
      </c>
    </row>
    <row r="47" spans="1:4">
      <c r="A47" s="21" t="s">
        <v>2317</v>
      </c>
      <c r="B47" s="3" t="s">
        <v>530</v>
      </c>
      <c r="C47" s="3" t="s">
        <v>2841</v>
      </c>
      <c r="D47" s="22" t="s">
        <v>2849</v>
      </c>
    </row>
    <row r="48" spans="1:4">
      <c r="A48" s="21" t="s">
        <v>2318</v>
      </c>
      <c r="B48" s="3" t="s">
        <v>531</v>
      </c>
      <c r="C48" s="3" t="s">
        <v>2843</v>
      </c>
      <c r="D48" s="22" t="s">
        <v>2849</v>
      </c>
    </row>
    <row r="49" spans="1:4">
      <c r="A49" s="21" t="s">
        <v>2319</v>
      </c>
      <c r="B49" s="3" t="s">
        <v>532</v>
      </c>
      <c r="C49" s="3" t="s">
        <v>24</v>
      </c>
      <c r="D49" s="22" t="s">
        <v>2849</v>
      </c>
    </row>
    <row r="50" spans="1:4">
      <c r="A50" s="21" t="s">
        <v>2320</v>
      </c>
      <c r="B50" s="3" t="s">
        <v>533</v>
      </c>
      <c r="C50" s="3" t="s">
        <v>46</v>
      </c>
      <c r="D50" s="22" t="s">
        <v>2849</v>
      </c>
    </row>
    <row r="51" spans="1:4">
      <c r="A51" s="21" t="s">
        <v>2321</v>
      </c>
      <c r="B51" s="3" t="s">
        <v>534</v>
      </c>
      <c r="C51" s="3" t="s">
        <v>28</v>
      </c>
      <c r="D51" s="22" t="s">
        <v>2849</v>
      </c>
    </row>
    <row r="52" spans="1:4">
      <c r="A52" s="21" t="s">
        <v>2322</v>
      </c>
      <c r="B52" s="3" t="s">
        <v>535</v>
      </c>
      <c r="C52" s="3" t="s">
        <v>46</v>
      </c>
      <c r="D52" s="22" t="s">
        <v>2849</v>
      </c>
    </row>
    <row r="53" spans="1:4">
      <c r="A53" s="21" t="s">
        <v>2323</v>
      </c>
      <c r="B53" s="3" t="s">
        <v>536</v>
      </c>
      <c r="C53" s="3" t="s">
        <v>2841</v>
      </c>
      <c r="D53" s="22" t="s">
        <v>2849</v>
      </c>
    </row>
    <row r="54" spans="1:4">
      <c r="A54" s="21" t="s">
        <v>2324</v>
      </c>
      <c r="B54" s="3" t="s">
        <v>537</v>
      </c>
      <c r="C54" s="3" t="s">
        <v>24</v>
      </c>
      <c r="D54" s="22" t="s">
        <v>2280</v>
      </c>
    </row>
    <row r="55" spans="1:4">
      <c r="A55" s="21" t="s">
        <v>2325</v>
      </c>
      <c r="B55" s="3" t="s">
        <v>538</v>
      </c>
      <c r="C55" s="3" t="s">
        <v>46</v>
      </c>
      <c r="D55" s="22" t="s">
        <v>2849</v>
      </c>
    </row>
    <row r="56" spans="1:4">
      <c r="A56" s="21" t="s">
        <v>2326</v>
      </c>
      <c r="B56" s="3" t="s">
        <v>539</v>
      </c>
      <c r="C56" s="3" t="s">
        <v>46</v>
      </c>
      <c r="D56" s="22" t="s">
        <v>2849</v>
      </c>
    </row>
    <row r="57" spans="1:4">
      <c r="A57" s="21" t="s">
        <v>2327</v>
      </c>
      <c r="B57" s="3" t="s">
        <v>540</v>
      </c>
      <c r="C57" s="3" t="s">
        <v>46</v>
      </c>
      <c r="D57" s="22" t="s">
        <v>2849</v>
      </c>
    </row>
    <row r="58" spans="1:4">
      <c r="A58" s="21" t="s">
        <v>2328</v>
      </c>
      <c r="B58" s="3" t="s">
        <v>541</v>
      </c>
      <c r="C58" s="3" t="s">
        <v>2841</v>
      </c>
      <c r="D58" s="22" t="s">
        <v>2849</v>
      </c>
    </row>
    <row r="59" spans="1:4">
      <c r="A59" s="21" t="s">
        <v>2329</v>
      </c>
      <c r="B59" s="3" t="s">
        <v>542</v>
      </c>
      <c r="C59" s="3" t="s">
        <v>24</v>
      </c>
      <c r="D59" s="22" t="s">
        <v>2849</v>
      </c>
    </row>
    <row r="60" spans="1:4">
      <c r="A60" s="21" t="s">
        <v>2330</v>
      </c>
      <c r="B60" s="3" t="s">
        <v>543</v>
      </c>
      <c r="C60" s="3" t="s">
        <v>2841</v>
      </c>
      <c r="D60" s="22" t="s">
        <v>2849</v>
      </c>
    </row>
    <row r="61" spans="1:4">
      <c r="A61" s="21" t="s">
        <v>2331</v>
      </c>
      <c r="B61" s="3" t="s">
        <v>544</v>
      </c>
      <c r="C61" s="3" t="s">
        <v>24</v>
      </c>
      <c r="D61" s="22" t="s">
        <v>2849</v>
      </c>
    </row>
    <row r="62" spans="1:4">
      <c r="A62" s="21" t="s">
        <v>2332</v>
      </c>
      <c r="B62" s="3" t="s">
        <v>545</v>
      </c>
      <c r="C62" s="3" t="s">
        <v>24</v>
      </c>
      <c r="D62" s="22" t="s">
        <v>2849</v>
      </c>
    </row>
    <row r="63" spans="1:4">
      <c r="A63" s="21" t="s">
        <v>2333</v>
      </c>
      <c r="B63" s="3" t="s">
        <v>546</v>
      </c>
      <c r="C63" s="3" t="s">
        <v>2843</v>
      </c>
      <c r="D63" s="22" t="s">
        <v>2849</v>
      </c>
    </row>
    <row r="64" spans="1:4">
      <c r="A64" s="21" t="s">
        <v>2334</v>
      </c>
      <c r="B64" s="3" t="s">
        <v>547</v>
      </c>
      <c r="C64" s="3" t="s">
        <v>28</v>
      </c>
      <c r="D64" s="22" t="s">
        <v>2849</v>
      </c>
    </row>
    <row r="65" spans="1:4">
      <c r="A65" s="21" t="s">
        <v>2335</v>
      </c>
      <c r="B65" s="3" t="s">
        <v>548</v>
      </c>
      <c r="C65" s="3" t="s">
        <v>28</v>
      </c>
      <c r="D65" s="22" t="s">
        <v>2849</v>
      </c>
    </row>
    <row r="66" spans="1:4">
      <c r="A66" s="21" t="s">
        <v>2336</v>
      </c>
      <c r="B66" s="3" t="s">
        <v>549</v>
      </c>
      <c r="C66" s="3" t="s">
        <v>28</v>
      </c>
      <c r="D66" s="22" t="s">
        <v>2849</v>
      </c>
    </row>
    <row r="67" spans="1:4">
      <c r="A67" s="21" t="s">
        <v>2337</v>
      </c>
      <c r="B67" s="3" t="s">
        <v>550</v>
      </c>
      <c r="C67" s="3" t="s">
        <v>2841</v>
      </c>
      <c r="D67" s="22" t="s">
        <v>2849</v>
      </c>
    </row>
    <row r="68" spans="1:4">
      <c r="A68" s="21" t="s">
        <v>2338</v>
      </c>
      <c r="B68" s="3" t="s">
        <v>551</v>
      </c>
      <c r="C68" s="3" t="s">
        <v>24</v>
      </c>
      <c r="D68" s="22" t="s">
        <v>2849</v>
      </c>
    </row>
    <row r="69" spans="1:4">
      <c r="A69" s="21" t="s">
        <v>2339</v>
      </c>
      <c r="B69" s="3" t="s">
        <v>552</v>
      </c>
      <c r="C69" s="3" t="s">
        <v>28</v>
      </c>
      <c r="D69" s="22" t="s">
        <v>2849</v>
      </c>
    </row>
    <row r="70" spans="1:4">
      <c r="A70" s="21" t="s">
        <v>2340</v>
      </c>
      <c r="B70" s="3" t="s">
        <v>553</v>
      </c>
      <c r="C70" s="3" t="s">
        <v>2844</v>
      </c>
      <c r="D70" s="22" t="s">
        <v>2849</v>
      </c>
    </row>
    <row r="71" spans="1:4">
      <c r="A71" s="21" t="s">
        <v>2341</v>
      </c>
      <c r="B71" s="3" t="s">
        <v>554</v>
      </c>
      <c r="C71" s="3" t="s">
        <v>46</v>
      </c>
      <c r="D71" s="22" t="s">
        <v>2848</v>
      </c>
    </row>
    <row r="72" spans="1:4">
      <c r="A72" s="21" t="s">
        <v>2342</v>
      </c>
      <c r="B72" s="3" t="s">
        <v>555</v>
      </c>
      <c r="C72" s="3" t="s">
        <v>2841</v>
      </c>
      <c r="D72" s="22" t="s">
        <v>2846</v>
      </c>
    </row>
    <row r="73" spans="1:4">
      <c r="A73" s="21" t="s">
        <v>2343</v>
      </c>
      <c r="B73" s="3" t="s">
        <v>556</v>
      </c>
      <c r="C73" s="3" t="s">
        <v>46</v>
      </c>
      <c r="D73" s="22" t="s">
        <v>2847</v>
      </c>
    </row>
    <row r="74" spans="1:4">
      <c r="A74" s="21" t="s">
        <v>2344</v>
      </c>
      <c r="B74" s="3" t="s">
        <v>557</v>
      </c>
      <c r="C74" s="3" t="s">
        <v>46</v>
      </c>
      <c r="D74" s="22" t="s">
        <v>2282</v>
      </c>
    </row>
    <row r="75" spans="1:4">
      <c r="A75" s="21" t="s">
        <v>2345</v>
      </c>
      <c r="B75" s="3" t="s">
        <v>558</v>
      </c>
      <c r="C75" s="3" t="s">
        <v>2841</v>
      </c>
      <c r="D75" s="22" t="s">
        <v>2849</v>
      </c>
    </row>
    <row r="76" spans="1:4">
      <c r="A76" s="21" t="s">
        <v>2346</v>
      </c>
      <c r="B76" s="3" t="s">
        <v>559</v>
      </c>
      <c r="C76" s="3" t="s">
        <v>28</v>
      </c>
      <c r="D76" s="22" t="s">
        <v>2849</v>
      </c>
    </row>
    <row r="77" spans="1:4">
      <c r="A77" s="21" t="s">
        <v>2347</v>
      </c>
      <c r="B77" s="3" t="s">
        <v>560</v>
      </c>
      <c r="C77" s="3" t="s">
        <v>24</v>
      </c>
      <c r="D77" s="22" t="s">
        <v>2279</v>
      </c>
    </row>
    <row r="78" spans="1:4">
      <c r="A78" s="21" t="s">
        <v>2348</v>
      </c>
      <c r="B78" s="3" t="s">
        <v>561</v>
      </c>
      <c r="C78" s="3" t="s">
        <v>46</v>
      </c>
      <c r="D78" s="22" t="s">
        <v>2279</v>
      </c>
    </row>
    <row r="79" spans="1:4">
      <c r="A79" s="21" t="s">
        <v>2349</v>
      </c>
      <c r="B79" s="3" t="s">
        <v>562</v>
      </c>
      <c r="C79" s="3" t="s">
        <v>46</v>
      </c>
      <c r="D79" s="22" t="s">
        <v>2281</v>
      </c>
    </row>
    <row r="80" spans="1:4">
      <c r="A80" s="21" t="s">
        <v>2350</v>
      </c>
      <c r="B80" s="3" t="s">
        <v>563</v>
      </c>
      <c r="C80" s="3" t="s">
        <v>24</v>
      </c>
      <c r="D80" s="22" t="s">
        <v>2849</v>
      </c>
    </row>
    <row r="81" spans="1:4">
      <c r="A81" s="21" t="s">
        <v>2351</v>
      </c>
      <c r="B81" s="3" t="s">
        <v>564</v>
      </c>
      <c r="C81" s="3" t="s">
        <v>24</v>
      </c>
      <c r="D81" s="22" t="s">
        <v>2849</v>
      </c>
    </row>
    <row r="82" spans="1:4">
      <c r="A82" s="21" t="s">
        <v>2352</v>
      </c>
      <c r="B82" s="3" t="s">
        <v>565</v>
      </c>
      <c r="C82" s="3" t="s">
        <v>46</v>
      </c>
      <c r="D82" s="22" t="s">
        <v>2847</v>
      </c>
    </row>
    <row r="83" spans="1:4">
      <c r="A83" s="21" t="s">
        <v>2353</v>
      </c>
      <c r="B83" s="3" t="s">
        <v>566</v>
      </c>
      <c r="C83" s="3" t="s">
        <v>46</v>
      </c>
      <c r="D83" s="22" t="s">
        <v>2282</v>
      </c>
    </row>
    <row r="84" spans="1:4">
      <c r="A84" s="21" t="s">
        <v>2354</v>
      </c>
      <c r="B84" s="3" t="s">
        <v>567</v>
      </c>
      <c r="C84" s="3" t="s">
        <v>2841</v>
      </c>
      <c r="D84" s="22" t="s">
        <v>2849</v>
      </c>
    </row>
    <row r="85" spans="1:4">
      <c r="A85" s="21" t="s">
        <v>2355</v>
      </c>
      <c r="B85" s="3" t="s">
        <v>568</v>
      </c>
      <c r="C85" s="3" t="s">
        <v>28</v>
      </c>
      <c r="D85" s="22" t="s">
        <v>2849</v>
      </c>
    </row>
    <row r="86" spans="1:4">
      <c r="A86" s="21" t="s">
        <v>2356</v>
      </c>
      <c r="B86" s="3" t="s">
        <v>569</v>
      </c>
      <c r="C86" s="3" t="s">
        <v>28</v>
      </c>
      <c r="D86" s="22" t="s">
        <v>2279</v>
      </c>
    </row>
    <row r="87" spans="1:4">
      <c r="A87" s="21" t="s">
        <v>2357</v>
      </c>
      <c r="B87" s="3" t="s">
        <v>570</v>
      </c>
      <c r="C87" s="3" t="s">
        <v>46</v>
      </c>
      <c r="D87" s="22" t="s">
        <v>2279</v>
      </c>
    </row>
    <row r="88" spans="1:4">
      <c r="A88" s="21" t="s">
        <v>2358</v>
      </c>
      <c r="B88" s="3" t="s">
        <v>571</v>
      </c>
      <c r="C88" s="3" t="s">
        <v>24</v>
      </c>
      <c r="D88" s="22" t="s">
        <v>2281</v>
      </c>
    </row>
    <row r="89" spans="1:4">
      <c r="A89" s="21" t="s">
        <v>2359</v>
      </c>
      <c r="B89" s="3" t="s">
        <v>572</v>
      </c>
      <c r="C89" s="3" t="s">
        <v>46</v>
      </c>
      <c r="D89" s="22" t="s">
        <v>2849</v>
      </c>
    </row>
    <row r="90" spans="1:4">
      <c r="A90" s="21" t="s">
        <v>2360</v>
      </c>
      <c r="B90" s="3" t="s">
        <v>573</v>
      </c>
      <c r="C90" s="3" t="s">
        <v>24</v>
      </c>
      <c r="D90" s="22" t="s">
        <v>2849</v>
      </c>
    </row>
    <row r="91" spans="1:4">
      <c r="A91" s="21" t="s">
        <v>2361</v>
      </c>
      <c r="B91" s="3" t="s">
        <v>574</v>
      </c>
      <c r="C91" s="3" t="s">
        <v>46</v>
      </c>
      <c r="D91" s="22" t="s">
        <v>2850</v>
      </c>
    </row>
    <row r="92" spans="1:4">
      <c r="A92" s="21" t="s">
        <v>2362</v>
      </c>
      <c r="B92" s="3" t="s">
        <v>575</v>
      </c>
      <c r="C92" s="3" t="s">
        <v>2841</v>
      </c>
      <c r="D92" s="22" t="s">
        <v>1061</v>
      </c>
    </row>
    <row r="93" spans="1:4">
      <c r="A93" s="21" t="s">
        <v>2363</v>
      </c>
      <c r="B93" s="3" t="s">
        <v>576</v>
      </c>
      <c r="C93" s="3" t="s">
        <v>46</v>
      </c>
      <c r="D93" s="22" t="s">
        <v>2850</v>
      </c>
    </row>
    <row r="94" spans="1:4">
      <c r="A94" s="21" t="s">
        <v>2364</v>
      </c>
      <c r="B94" s="3" t="s">
        <v>577</v>
      </c>
      <c r="C94" s="3" t="s">
        <v>28</v>
      </c>
      <c r="D94" s="22" t="s">
        <v>1073</v>
      </c>
    </row>
    <row r="95" spans="1:4">
      <c r="A95" s="21" t="s">
        <v>2365</v>
      </c>
      <c r="B95" s="3" t="s">
        <v>578</v>
      </c>
      <c r="C95" s="3" t="s">
        <v>2841</v>
      </c>
      <c r="D95" s="22" t="s">
        <v>2850</v>
      </c>
    </row>
    <row r="96" spans="1:4">
      <c r="A96" s="21" t="s">
        <v>2366</v>
      </c>
      <c r="B96" s="3" t="s">
        <v>579</v>
      </c>
      <c r="C96" s="3" t="s">
        <v>28</v>
      </c>
      <c r="D96" s="22" t="s">
        <v>2850</v>
      </c>
    </row>
    <row r="97" spans="1:4">
      <c r="A97" s="21" t="s">
        <v>2367</v>
      </c>
      <c r="B97" s="3" t="s">
        <v>580</v>
      </c>
      <c r="C97" s="3" t="s">
        <v>46</v>
      </c>
      <c r="D97" s="22" t="s">
        <v>2850</v>
      </c>
    </row>
    <row r="98" spans="1:4">
      <c r="A98" s="21" t="s">
        <v>2368</v>
      </c>
      <c r="B98" s="3" t="s">
        <v>581</v>
      </c>
      <c r="C98" s="3" t="s">
        <v>46</v>
      </c>
      <c r="D98" s="22" t="s">
        <v>2850</v>
      </c>
    </row>
    <row r="99" spans="1:4">
      <c r="A99" s="21" t="s">
        <v>2369</v>
      </c>
      <c r="B99" s="3" t="s">
        <v>582</v>
      </c>
      <c r="C99" s="3" t="s">
        <v>24</v>
      </c>
      <c r="D99" s="22" t="s">
        <v>2850</v>
      </c>
    </row>
    <row r="100" spans="1:4">
      <c r="A100" s="21" t="s">
        <v>2370</v>
      </c>
      <c r="B100" s="3" t="s">
        <v>583</v>
      </c>
      <c r="C100" s="3" t="s">
        <v>46</v>
      </c>
      <c r="D100" s="22" t="s">
        <v>2850</v>
      </c>
    </row>
    <row r="101" spans="1:4">
      <c r="A101" s="21" t="s">
        <v>2371</v>
      </c>
      <c r="B101" s="3" t="s">
        <v>584</v>
      </c>
      <c r="C101" s="3" t="s">
        <v>46</v>
      </c>
      <c r="D101" s="22" t="s">
        <v>2851</v>
      </c>
    </row>
    <row r="102" spans="1:4">
      <c r="A102" s="21" t="s">
        <v>2372</v>
      </c>
      <c r="B102" s="3" t="s">
        <v>585</v>
      </c>
      <c r="C102" s="3" t="s">
        <v>2841</v>
      </c>
      <c r="D102" s="22" t="s">
        <v>2849</v>
      </c>
    </row>
    <row r="103" spans="1:4">
      <c r="A103" s="21" t="s">
        <v>2373</v>
      </c>
      <c r="B103" s="3" t="s">
        <v>586</v>
      </c>
      <c r="C103" s="3" t="s">
        <v>28</v>
      </c>
      <c r="D103" s="22" t="s">
        <v>2849</v>
      </c>
    </row>
    <row r="104" spans="1:4">
      <c r="A104" s="21" t="s">
        <v>2374</v>
      </c>
      <c r="B104" s="3" t="s">
        <v>587</v>
      </c>
      <c r="C104" s="3" t="s">
        <v>28</v>
      </c>
      <c r="D104" s="22" t="s">
        <v>2279</v>
      </c>
    </row>
    <row r="105" spans="1:4">
      <c r="A105" s="21" t="s">
        <v>2375</v>
      </c>
      <c r="B105" s="3" t="s">
        <v>588</v>
      </c>
      <c r="C105" s="3" t="s">
        <v>28</v>
      </c>
      <c r="D105" s="22" t="s">
        <v>2279</v>
      </c>
    </row>
    <row r="106" spans="1:4">
      <c r="A106" s="21" t="s">
        <v>2376</v>
      </c>
      <c r="B106" s="3" t="s">
        <v>589</v>
      </c>
      <c r="C106" s="3" t="s">
        <v>46</v>
      </c>
      <c r="D106" s="22" t="s">
        <v>2281</v>
      </c>
    </row>
    <row r="107" spans="1:4">
      <c r="A107" s="21" t="s">
        <v>2377</v>
      </c>
      <c r="B107" s="3" t="s">
        <v>590</v>
      </c>
      <c r="C107" s="3" t="s">
        <v>46</v>
      </c>
      <c r="D107" s="22" t="s">
        <v>2849</v>
      </c>
    </row>
    <row r="108" spans="1:4">
      <c r="A108" s="21" t="s">
        <v>2378</v>
      </c>
      <c r="B108" s="3" t="s">
        <v>591</v>
      </c>
      <c r="C108" s="3" t="s">
        <v>24</v>
      </c>
      <c r="D108" s="22" t="s">
        <v>2849</v>
      </c>
    </row>
    <row r="109" spans="1:4">
      <c r="A109" s="21" t="s">
        <v>2379</v>
      </c>
      <c r="B109" s="3" t="s">
        <v>592</v>
      </c>
      <c r="C109" s="3" t="s">
        <v>24</v>
      </c>
      <c r="D109" s="22" t="s">
        <v>2850</v>
      </c>
    </row>
    <row r="110" spans="1:4">
      <c r="A110" s="21" t="s">
        <v>2380</v>
      </c>
      <c r="B110" s="3" t="s">
        <v>593</v>
      </c>
      <c r="C110" s="3" t="s">
        <v>46</v>
      </c>
      <c r="D110" s="22" t="s">
        <v>2852</v>
      </c>
    </row>
    <row r="111" spans="1:4">
      <c r="A111" s="21" t="s">
        <v>2381</v>
      </c>
      <c r="B111" s="3" t="s">
        <v>594</v>
      </c>
      <c r="C111" s="3" t="s">
        <v>28</v>
      </c>
      <c r="D111" s="22" t="s">
        <v>2850</v>
      </c>
    </row>
    <row r="112" spans="1:4">
      <c r="A112" s="21" t="s">
        <v>2382</v>
      </c>
      <c r="B112" s="3" t="s">
        <v>595</v>
      </c>
      <c r="C112" s="3" t="s">
        <v>2841</v>
      </c>
      <c r="D112" s="22" t="s">
        <v>2849</v>
      </c>
    </row>
    <row r="113" spans="1:4">
      <c r="A113" s="21" t="s">
        <v>2383</v>
      </c>
      <c r="B113" s="3" t="s">
        <v>596</v>
      </c>
      <c r="C113" s="3" t="s">
        <v>24</v>
      </c>
      <c r="D113" s="22" t="s">
        <v>2849</v>
      </c>
    </row>
    <row r="114" spans="1:4">
      <c r="A114" s="21" t="s">
        <v>2384</v>
      </c>
      <c r="B114" s="3" t="s">
        <v>597</v>
      </c>
      <c r="C114" s="3" t="s">
        <v>2843</v>
      </c>
      <c r="D114" s="22" t="s">
        <v>2849</v>
      </c>
    </row>
    <row r="115" spans="1:4">
      <c r="A115" s="21" t="s">
        <v>2385</v>
      </c>
      <c r="B115" s="3" t="s">
        <v>598</v>
      </c>
      <c r="C115" s="3" t="s">
        <v>2844</v>
      </c>
      <c r="D115" s="22" t="s">
        <v>2849</v>
      </c>
    </row>
    <row r="116" spans="1:4">
      <c r="A116" s="21" t="s">
        <v>2386</v>
      </c>
      <c r="B116" s="3" t="s">
        <v>599</v>
      </c>
      <c r="C116" s="3" t="s">
        <v>2843</v>
      </c>
      <c r="D116" s="22" t="s">
        <v>2849</v>
      </c>
    </row>
    <row r="117" spans="1:4">
      <c r="A117" s="21" t="s">
        <v>2387</v>
      </c>
      <c r="B117" s="3" t="s">
        <v>600</v>
      </c>
      <c r="C117" s="3" t="s">
        <v>2842</v>
      </c>
      <c r="D117" s="22" t="s">
        <v>2846</v>
      </c>
    </row>
    <row r="118" spans="1:4">
      <c r="A118" s="21" t="s">
        <v>2388</v>
      </c>
      <c r="B118" s="3" t="s">
        <v>601</v>
      </c>
      <c r="C118" s="3" t="s">
        <v>2843</v>
      </c>
      <c r="D118" s="22" t="s">
        <v>2849</v>
      </c>
    </row>
    <row r="119" spans="1:4">
      <c r="A119" s="21" t="s">
        <v>2389</v>
      </c>
      <c r="B119" s="3" t="s">
        <v>602</v>
      </c>
      <c r="C119" s="3" t="s">
        <v>24</v>
      </c>
      <c r="D119" s="22" t="s">
        <v>2849</v>
      </c>
    </row>
    <row r="120" spans="1:4">
      <c r="A120" s="21" t="s">
        <v>2390</v>
      </c>
      <c r="B120" s="3" t="s">
        <v>603</v>
      </c>
      <c r="C120" s="3" t="s">
        <v>2841</v>
      </c>
      <c r="D120" s="22" t="s">
        <v>2849</v>
      </c>
    </row>
    <row r="121" spans="1:4">
      <c r="A121" s="21" t="s">
        <v>2391</v>
      </c>
      <c r="B121" s="3" t="s">
        <v>604</v>
      </c>
      <c r="C121" s="3" t="s">
        <v>24</v>
      </c>
      <c r="D121" s="22" t="s">
        <v>2280</v>
      </c>
    </row>
    <row r="122" spans="1:4">
      <c r="A122" s="21" t="s">
        <v>2392</v>
      </c>
      <c r="B122" s="3" t="s">
        <v>605</v>
      </c>
      <c r="C122" s="3" t="s">
        <v>2843</v>
      </c>
      <c r="D122" s="22" t="s">
        <v>2849</v>
      </c>
    </row>
    <row r="123" spans="1:4">
      <c r="A123" s="21" t="s">
        <v>2393</v>
      </c>
      <c r="B123" s="3" t="s">
        <v>606</v>
      </c>
      <c r="C123" s="3" t="s">
        <v>46</v>
      </c>
      <c r="D123" s="22" t="s">
        <v>2849</v>
      </c>
    </row>
    <row r="124" spans="1:4">
      <c r="A124" s="21" t="s">
        <v>2394</v>
      </c>
      <c r="B124" s="3" t="s">
        <v>607</v>
      </c>
      <c r="C124" s="3" t="s">
        <v>46</v>
      </c>
      <c r="D124" s="22" t="s">
        <v>2849</v>
      </c>
    </row>
    <row r="125" spans="1:4">
      <c r="A125" s="21" t="s">
        <v>2395</v>
      </c>
      <c r="B125" s="3" t="s">
        <v>608</v>
      </c>
      <c r="C125" s="3" t="s">
        <v>2843</v>
      </c>
      <c r="D125" s="22" t="s">
        <v>2849</v>
      </c>
    </row>
    <row r="126" spans="1:4">
      <c r="A126" s="21" t="s">
        <v>2396</v>
      </c>
      <c r="B126" s="3" t="s">
        <v>609</v>
      </c>
      <c r="C126" s="3" t="s">
        <v>2844</v>
      </c>
      <c r="D126" s="22" t="s">
        <v>2849</v>
      </c>
    </row>
    <row r="127" spans="1:4">
      <c r="A127" s="21" t="s">
        <v>2397</v>
      </c>
      <c r="B127" s="3" t="s">
        <v>610</v>
      </c>
      <c r="C127" s="3" t="s">
        <v>149</v>
      </c>
      <c r="D127" s="22" t="s">
        <v>2848</v>
      </c>
    </row>
    <row r="128" spans="1:4">
      <c r="A128" s="21" t="s">
        <v>2398</v>
      </c>
      <c r="B128" s="3" t="s">
        <v>611</v>
      </c>
      <c r="C128" s="3" t="s">
        <v>46</v>
      </c>
      <c r="D128" s="22" t="s">
        <v>2849</v>
      </c>
    </row>
    <row r="129" spans="1:4">
      <c r="A129" s="21" t="s">
        <v>2399</v>
      </c>
      <c r="B129" s="3" t="s">
        <v>612</v>
      </c>
      <c r="C129" s="3" t="s">
        <v>149</v>
      </c>
      <c r="D129" s="22" t="s">
        <v>2849</v>
      </c>
    </row>
    <row r="130" spans="1:4">
      <c r="A130" s="21" t="s">
        <v>2400</v>
      </c>
      <c r="B130" s="3" t="s">
        <v>613</v>
      </c>
      <c r="C130" s="3" t="s">
        <v>2843</v>
      </c>
      <c r="D130" s="22" t="s">
        <v>2849</v>
      </c>
    </row>
    <row r="131" spans="1:4">
      <c r="A131" s="21" t="s">
        <v>2401</v>
      </c>
      <c r="B131" s="3" t="s">
        <v>614</v>
      </c>
      <c r="C131" s="3" t="s">
        <v>2841</v>
      </c>
      <c r="D131" s="22" t="s">
        <v>2849</v>
      </c>
    </row>
    <row r="132" spans="1:4">
      <c r="A132" s="21" t="s">
        <v>2402</v>
      </c>
      <c r="B132" s="3" t="s">
        <v>615</v>
      </c>
      <c r="C132" s="3" t="s">
        <v>46</v>
      </c>
      <c r="D132" s="22" t="s">
        <v>2849</v>
      </c>
    </row>
    <row r="133" spans="1:4">
      <c r="A133" s="21" t="s">
        <v>2403</v>
      </c>
      <c r="B133" s="3" t="s">
        <v>616</v>
      </c>
      <c r="C133" s="3" t="s">
        <v>149</v>
      </c>
      <c r="D133" s="22" t="s">
        <v>2847</v>
      </c>
    </row>
    <row r="134" spans="1:4">
      <c r="A134" s="21" t="s">
        <v>2404</v>
      </c>
      <c r="B134" s="3" t="s">
        <v>617</v>
      </c>
      <c r="C134" s="3" t="s">
        <v>28</v>
      </c>
      <c r="D134" s="22" t="s">
        <v>2849</v>
      </c>
    </row>
    <row r="135" spans="1:4">
      <c r="A135" s="21" t="s">
        <v>2405</v>
      </c>
      <c r="B135" s="3" t="s">
        <v>618</v>
      </c>
      <c r="C135" s="3" t="s">
        <v>46</v>
      </c>
      <c r="D135" s="22" t="s">
        <v>2282</v>
      </c>
    </row>
    <row r="136" spans="1:4">
      <c r="A136" s="21" t="s">
        <v>2406</v>
      </c>
      <c r="B136" s="3" t="s">
        <v>619</v>
      </c>
      <c r="C136" s="3" t="s">
        <v>2841</v>
      </c>
      <c r="D136" s="22" t="s">
        <v>2849</v>
      </c>
    </row>
    <row r="137" spans="1:4">
      <c r="A137" s="21" t="s">
        <v>2407</v>
      </c>
      <c r="B137" s="3" t="s">
        <v>620</v>
      </c>
      <c r="C137" s="3" t="s">
        <v>24</v>
      </c>
      <c r="D137" s="22" t="s">
        <v>2849</v>
      </c>
    </row>
    <row r="138" spans="1:4">
      <c r="A138" s="21" t="s">
        <v>2408</v>
      </c>
      <c r="B138" s="3" t="s">
        <v>621</v>
      </c>
      <c r="C138" s="3" t="s">
        <v>2843</v>
      </c>
      <c r="D138" s="22" t="s">
        <v>2849</v>
      </c>
    </row>
    <row r="139" spans="1:4">
      <c r="A139" s="21" t="s">
        <v>2409</v>
      </c>
      <c r="B139" s="3" t="s">
        <v>622</v>
      </c>
      <c r="C139" s="3" t="s">
        <v>2844</v>
      </c>
      <c r="D139" s="22" t="s">
        <v>2849</v>
      </c>
    </row>
    <row r="140" spans="1:4">
      <c r="A140" s="21" t="s">
        <v>2410</v>
      </c>
      <c r="B140" s="3" t="s">
        <v>623</v>
      </c>
      <c r="C140" s="3" t="s">
        <v>2843</v>
      </c>
      <c r="D140" s="22" t="s">
        <v>2849</v>
      </c>
    </row>
    <row r="141" spans="1:4">
      <c r="A141" s="21" t="s">
        <v>2411</v>
      </c>
      <c r="B141" s="3" t="s">
        <v>624</v>
      </c>
      <c r="C141" s="3" t="s">
        <v>2842</v>
      </c>
      <c r="D141" s="22" t="s">
        <v>2846</v>
      </c>
    </row>
    <row r="142" spans="1:4">
      <c r="A142" s="21" t="s">
        <v>2412</v>
      </c>
      <c r="B142" s="3" t="s">
        <v>625</v>
      </c>
      <c r="C142" s="3" t="s">
        <v>2843</v>
      </c>
      <c r="D142" s="22" t="s">
        <v>2849</v>
      </c>
    </row>
    <row r="143" spans="1:4">
      <c r="A143" s="21" t="s">
        <v>2413</v>
      </c>
      <c r="B143" s="3" t="s">
        <v>626</v>
      </c>
      <c r="C143" s="3" t="s">
        <v>24</v>
      </c>
      <c r="D143" s="22" t="s">
        <v>2849</v>
      </c>
    </row>
    <row r="144" spans="1:4">
      <c r="A144" s="21" t="s">
        <v>2414</v>
      </c>
      <c r="B144" s="3" t="s">
        <v>627</v>
      </c>
      <c r="C144" s="3" t="s">
        <v>2841</v>
      </c>
      <c r="D144" s="22" t="s">
        <v>2849</v>
      </c>
    </row>
    <row r="145" spans="1:4">
      <c r="A145" s="21" t="s">
        <v>2415</v>
      </c>
      <c r="B145" s="3" t="s">
        <v>628</v>
      </c>
      <c r="C145" s="3" t="s">
        <v>24</v>
      </c>
      <c r="D145" s="22" t="s">
        <v>2280</v>
      </c>
    </row>
    <row r="146" spans="1:4">
      <c r="A146" s="21" t="s">
        <v>2416</v>
      </c>
      <c r="B146" s="3" t="s">
        <v>629</v>
      </c>
      <c r="C146" s="3" t="s">
        <v>2843</v>
      </c>
      <c r="D146" s="22" t="s">
        <v>2849</v>
      </c>
    </row>
    <row r="147" spans="1:4">
      <c r="A147" s="21" t="s">
        <v>2417</v>
      </c>
      <c r="B147" s="3" t="s">
        <v>630</v>
      </c>
      <c r="C147" s="3" t="s">
        <v>46</v>
      </c>
      <c r="D147" s="22" t="s">
        <v>2849</v>
      </c>
    </row>
    <row r="148" spans="1:4">
      <c r="A148" s="21" t="s">
        <v>2418</v>
      </c>
      <c r="B148" s="3" t="s">
        <v>631</v>
      </c>
      <c r="C148" s="3" t="s">
        <v>46</v>
      </c>
      <c r="D148" s="22" t="s">
        <v>2849</v>
      </c>
    </row>
    <row r="149" spans="1:4">
      <c r="A149" s="21" t="s">
        <v>2419</v>
      </c>
      <c r="B149" s="3" t="s">
        <v>632</v>
      </c>
      <c r="C149" s="3" t="s">
        <v>2843</v>
      </c>
      <c r="D149" s="22" t="s">
        <v>2849</v>
      </c>
    </row>
    <row r="150" spans="1:4">
      <c r="A150" s="21" t="s">
        <v>2420</v>
      </c>
      <c r="B150" s="3" t="s">
        <v>633</v>
      </c>
      <c r="C150" s="3" t="s">
        <v>2844</v>
      </c>
      <c r="D150" s="22" t="s">
        <v>2849</v>
      </c>
    </row>
    <row r="151" spans="1:4">
      <c r="A151" s="21" t="s">
        <v>2421</v>
      </c>
      <c r="B151" s="3" t="s">
        <v>634</v>
      </c>
      <c r="C151" s="3" t="s">
        <v>149</v>
      </c>
      <c r="D151" s="22" t="s">
        <v>2848</v>
      </c>
    </row>
    <row r="152" spans="1:4">
      <c r="A152" s="21" t="s">
        <v>2422</v>
      </c>
      <c r="B152" s="3" t="s">
        <v>635</v>
      </c>
      <c r="C152" s="3" t="s">
        <v>46</v>
      </c>
      <c r="D152" s="22" t="s">
        <v>2849</v>
      </c>
    </row>
    <row r="153" spans="1:4">
      <c r="A153" s="21" t="s">
        <v>2423</v>
      </c>
      <c r="B153" s="3" t="s">
        <v>636</v>
      </c>
      <c r="C153" s="3" t="s">
        <v>149</v>
      </c>
      <c r="D153" s="22" t="s">
        <v>2849</v>
      </c>
    </row>
    <row r="154" spans="1:4">
      <c r="A154" s="21" t="s">
        <v>2424</v>
      </c>
      <c r="B154" s="3" t="s">
        <v>637</v>
      </c>
      <c r="C154" s="3" t="s">
        <v>2843</v>
      </c>
      <c r="D154" s="22" t="s">
        <v>2849</v>
      </c>
    </row>
    <row r="155" spans="1:4">
      <c r="A155" s="21" t="s">
        <v>2425</v>
      </c>
      <c r="B155" s="3" t="s">
        <v>638</v>
      </c>
      <c r="C155" s="3" t="s">
        <v>2841</v>
      </c>
      <c r="D155" s="22" t="s">
        <v>2849</v>
      </c>
    </row>
    <row r="156" spans="1:4">
      <c r="A156" s="21" t="s">
        <v>2426</v>
      </c>
      <c r="B156" s="3" t="s">
        <v>639</v>
      </c>
      <c r="C156" s="3" t="s">
        <v>46</v>
      </c>
      <c r="D156" s="22" t="s">
        <v>2849</v>
      </c>
    </row>
    <row r="157" spans="1:4">
      <c r="A157" s="21" t="s">
        <v>2427</v>
      </c>
      <c r="B157" s="3" t="s">
        <v>640</v>
      </c>
      <c r="C157" s="3" t="s">
        <v>149</v>
      </c>
      <c r="D157" s="22" t="s">
        <v>2847</v>
      </c>
    </row>
    <row r="158" spans="1:4">
      <c r="A158" s="21" t="s">
        <v>2428</v>
      </c>
      <c r="B158" s="3" t="s">
        <v>641</v>
      </c>
      <c r="C158" s="3" t="s">
        <v>28</v>
      </c>
      <c r="D158" s="22" t="s">
        <v>2849</v>
      </c>
    </row>
    <row r="159" spans="1:4">
      <c r="A159" s="21" t="s">
        <v>2429</v>
      </c>
      <c r="B159" s="3" t="s">
        <v>642</v>
      </c>
      <c r="C159" s="3" t="s">
        <v>46</v>
      </c>
      <c r="D159" s="22" t="s">
        <v>2282</v>
      </c>
    </row>
    <row r="160" spans="1:4">
      <c r="A160" s="21" t="s">
        <v>2430</v>
      </c>
      <c r="B160" s="3" t="s">
        <v>643</v>
      </c>
      <c r="C160" s="3" t="s">
        <v>2841</v>
      </c>
      <c r="D160" s="22" t="s">
        <v>2849</v>
      </c>
    </row>
    <row r="161" spans="1:4">
      <c r="A161" s="21" t="s">
        <v>2431</v>
      </c>
      <c r="B161" s="3" t="s">
        <v>644</v>
      </c>
      <c r="C161" s="3" t="s">
        <v>24</v>
      </c>
      <c r="D161" s="22" t="s">
        <v>2849</v>
      </c>
    </row>
    <row r="162" spans="1:4">
      <c r="A162" s="21" t="s">
        <v>2432</v>
      </c>
      <c r="B162" s="3" t="s">
        <v>645</v>
      </c>
      <c r="C162" s="3" t="s">
        <v>2843</v>
      </c>
      <c r="D162" s="22" t="s">
        <v>2849</v>
      </c>
    </row>
    <row r="163" spans="1:4">
      <c r="A163" s="21" t="s">
        <v>2433</v>
      </c>
      <c r="B163" s="3" t="s">
        <v>646</v>
      </c>
      <c r="C163" s="3" t="s">
        <v>2844</v>
      </c>
      <c r="D163" s="22" t="s">
        <v>2849</v>
      </c>
    </row>
    <row r="164" spans="1:4">
      <c r="A164" s="21" t="s">
        <v>2434</v>
      </c>
      <c r="B164" s="3" t="s">
        <v>647</v>
      </c>
      <c r="C164" s="3" t="s">
        <v>2843</v>
      </c>
      <c r="D164" s="22" t="s">
        <v>2849</v>
      </c>
    </row>
    <row r="165" spans="1:4">
      <c r="A165" s="21" t="s">
        <v>2435</v>
      </c>
      <c r="B165" s="3" t="s">
        <v>648</v>
      </c>
      <c r="C165" s="3" t="s">
        <v>2842</v>
      </c>
      <c r="D165" s="22" t="s">
        <v>2846</v>
      </c>
    </row>
    <row r="166" spans="1:4">
      <c r="A166" s="21" t="s">
        <v>2436</v>
      </c>
      <c r="B166" s="3" t="s">
        <v>649</v>
      </c>
      <c r="C166" s="3" t="s">
        <v>2843</v>
      </c>
      <c r="D166" s="22" t="s">
        <v>2849</v>
      </c>
    </row>
    <row r="167" spans="1:4">
      <c r="A167" s="21" t="s">
        <v>2437</v>
      </c>
      <c r="B167" s="3" t="s">
        <v>650</v>
      </c>
      <c r="C167" s="3" t="s">
        <v>24</v>
      </c>
      <c r="D167" s="22" t="s">
        <v>2849</v>
      </c>
    </row>
    <row r="168" spans="1:4">
      <c r="A168" s="21" t="s">
        <v>2438</v>
      </c>
      <c r="B168" s="3" t="s">
        <v>651</v>
      </c>
      <c r="C168" s="3" t="s">
        <v>2841</v>
      </c>
      <c r="D168" s="22" t="s">
        <v>2849</v>
      </c>
    </row>
    <row r="169" spans="1:4">
      <c r="A169" s="21" t="s">
        <v>2439</v>
      </c>
      <c r="B169" s="3" t="s">
        <v>652</v>
      </c>
      <c r="C169" s="3" t="s">
        <v>24</v>
      </c>
      <c r="D169" s="22" t="s">
        <v>2280</v>
      </c>
    </row>
    <row r="170" spans="1:4">
      <c r="A170" s="21" t="s">
        <v>2440</v>
      </c>
      <c r="B170" s="3" t="s">
        <v>653</v>
      </c>
      <c r="C170" s="3" t="s">
        <v>2843</v>
      </c>
      <c r="D170" s="22" t="s">
        <v>2849</v>
      </c>
    </row>
    <row r="171" spans="1:4">
      <c r="A171" s="21" t="s">
        <v>2441</v>
      </c>
      <c r="B171" s="3" t="s">
        <v>654</v>
      </c>
      <c r="C171" s="3" t="s">
        <v>46</v>
      </c>
      <c r="D171" s="22" t="s">
        <v>2849</v>
      </c>
    </row>
    <row r="172" spans="1:4">
      <c r="A172" s="21" t="s">
        <v>2442</v>
      </c>
      <c r="B172" s="3" t="s">
        <v>655</v>
      </c>
      <c r="C172" s="3" t="s">
        <v>46</v>
      </c>
      <c r="D172" s="22" t="s">
        <v>2849</v>
      </c>
    </row>
    <row r="173" spans="1:4">
      <c r="A173" s="21" t="s">
        <v>2443</v>
      </c>
      <c r="B173" s="3" t="s">
        <v>656</v>
      </c>
      <c r="C173" s="3" t="s">
        <v>2843</v>
      </c>
      <c r="D173" s="22" t="s">
        <v>2849</v>
      </c>
    </row>
    <row r="174" spans="1:4">
      <c r="A174" s="21" t="s">
        <v>2444</v>
      </c>
      <c r="B174" s="3" t="s">
        <v>657</v>
      </c>
      <c r="C174" s="3" t="s">
        <v>2844</v>
      </c>
      <c r="D174" s="22" t="s">
        <v>2849</v>
      </c>
    </row>
    <row r="175" spans="1:4">
      <c r="A175" s="21" t="s">
        <v>2445</v>
      </c>
      <c r="B175" s="3" t="s">
        <v>658</v>
      </c>
      <c r="C175" s="3" t="s">
        <v>149</v>
      </c>
      <c r="D175" s="22" t="s">
        <v>2848</v>
      </c>
    </row>
    <row r="176" spans="1:4">
      <c r="A176" s="21" t="s">
        <v>2446</v>
      </c>
      <c r="B176" s="3" t="s">
        <v>659</v>
      </c>
      <c r="C176" s="3" t="s">
        <v>46</v>
      </c>
      <c r="D176" s="22" t="s">
        <v>2849</v>
      </c>
    </row>
    <row r="177" spans="1:4">
      <c r="A177" s="21" t="s">
        <v>2447</v>
      </c>
      <c r="B177" s="3" t="s">
        <v>660</v>
      </c>
      <c r="C177" s="3" t="s">
        <v>149</v>
      </c>
      <c r="D177" s="22" t="s">
        <v>2849</v>
      </c>
    </row>
    <row r="178" spans="1:4">
      <c r="A178" s="21" t="s">
        <v>2448</v>
      </c>
      <c r="B178" s="3" t="s">
        <v>661</v>
      </c>
      <c r="C178" s="3" t="s">
        <v>2843</v>
      </c>
      <c r="D178" s="22" t="s">
        <v>2849</v>
      </c>
    </row>
    <row r="179" spans="1:4">
      <c r="A179" s="21" t="s">
        <v>2449</v>
      </c>
      <c r="B179" s="3" t="s">
        <v>662</v>
      </c>
      <c r="C179" s="3" t="s">
        <v>2841</v>
      </c>
      <c r="D179" s="22" t="s">
        <v>2849</v>
      </c>
    </row>
    <row r="180" spans="1:4">
      <c r="A180" s="21" t="s">
        <v>2450</v>
      </c>
      <c r="B180" s="3" t="s">
        <v>663</v>
      </c>
      <c r="C180" s="3" t="s">
        <v>46</v>
      </c>
      <c r="D180" s="22" t="s">
        <v>2849</v>
      </c>
    </row>
    <row r="181" spans="1:4">
      <c r="A181" s="21" t="s">
        <v>2451</v>
      </c>
      <c r="B181" s="3" t="s">
        <v>664</v>
      </c>
      <c r="C181" s="3" t="s">
        <v>149</v>
      </c>
      <c r="D181" s="22" t="s">
        <v>2847</v>
      </c>
    </row>
    <row r="182" spans="1:4">
      <c r="A182" s="21" t="s">
        <v>2452</v>
      </c>
      <c r="B182" s="3" t="s">
        <v>665</v>
      </c>
      <c r="C182" s="3" t="s">
        <v>28</v>
      </c>
      <c r="D182" s="22" t="s">
        <v>2849</v>
      </c>
    </row>
    <row r="183" spans="1:4">
      <c r="A183" s="21" t="s">
        <v>2453</v>
      </c>
      <c r="B183" s="3" t="s">
        <v>666</v>
      </c>
      <c r="C183" s="3" t="s">
        <v>46</v>
      </c>
      <c r="D183" s="22" t="s">
        <v>2282</v>
      </c>
    </row>
    <row r="184" spans="1:4">
      <c r="A184" s="21" t="s">
        <v>2454</v>
      </c>
      <c r="B184" s="3" t="s">
        <v>667</v>
      </c>
      <c r="C184" s="3" t="s">
        <v>2841</v>
      </c>
      <c r="D184" s="22" t="s">
        <v>2849</v>
      </c>
    </row>
    <row r="185" spans="1:4">
      <c r="A185" s="21" t="s">
        <v>2455</v>
      </c>
      <c r="B185" s="3" t="s">
        <v>668</v>
      </c>
      <c r="C185" s="3" t="s">
        <v>24</v>
      </c>
      <c r="D185" s="22" t="s">
        <v>2849</v>
      </c>
    </row>
    <row r="186" spans="1:4">
      <c r="A186" s="21" t="s">
        <v>2456</v>
      </c>
      <c r="B186" s="3" t="s">
        <v>669</v>
      </c>
      <c r="C186" s="3" t="s">
        <v>2843</v>
      </c>
      <c r="D186" s="22" t="s">
        <v>2849</v>
      </c>
    </row>
    <row r="187" spans="1:4">
      <c r="A187" s="21" t="s">
        <v>2457</v>
      </c>
      <c r="B187" s="3" t="s">
        <v>670</v>
      </c>
      <c r="C187" s="3" t="s">
        <v>2844</v>
      </c>
      <c r="D187" s="22" t="s">
        <v>2849</v>
      </c>
    </row>
    <row r="188" spans="1:4">
      <c r="A188" s="21" t="s">
        <v>2458</v>
      </c>
      <c r="B188" s="3" t="s">
        <v>671</v>
      </c>
      <c r="C188" s="3" t="s">
        <v>2843</v>
      </c>
      <c r="D188" s="22" t="s">
        <v>2849</v>
      </c>
    </row>
    <row r="189" spans="1:4">
      <c r="A189" s="21" t="s">
        <v>2459</v>
      </c>
      <c r="B189" s="3" t="s">
        <v>672</v>
      </c>
      <c r="C189" s="3" t="s">
        <v>2842</v>
      </c>
      <c r="D189" s="22" t="s">
        <v>2846</v>
      </c>
    </row>
    <row r="190" spans="1:4">
      <c r="A190" s="21" t="s">
        <v>2460</v>
      </c>
      <c r="B190" s="3" t="s">
        <v>673</v>
      </c>
      <c r="C190" s="3" t="s">
        <v>2843</v>
      </c>
      <c r="D190" s="22" t="s">
        <v>2849</v>
      </c>
    </row>
    <row r="191" spans="1:4">
      <c r="A191" s="21" t="s">
        <v>2461</v>
      </c>
      <c r="B191" s="3" t="s">
        <v>674</v>
      </c>
      <c r="C191" s="3" t="s">
        <v>24</v>
      </c>
      <c r="D191" s="22" t="s">
        <v>2849</v>
      </c>
    </row>
    <row r="192" spans="1:4">
      <c r="A192" s="21" t="s">
        <v>2462</v>
      </c>
      <c r="B192" s="3" t="s">
        <v>675</v>
      </c>
      <c r="C192" s="3" t="s">
        <v>2841</v>
      </c>
      <c r="D192" s="22" t="s">
        <v>2849</v>
      </c>
    </row>
    <row r="193" spans="1:4">
      <c r="A193" s="21" t="s">
        <v>2463</v>
      </c>
      <c r="B193" s="3" t="s">
        <v>676</v>
      </c>
      <c r="C193" s="3" t="s">
        <v>24</v>
      </c>
      <c r="D193" s="22" t="s">
        <v>2280</v>
      </c>
    </row>
    <row r="194" spans="1:4">
      <c r="A194" s="21" t="s">
        <v>2464</v>
      </c>
      <c r="B194" s="3" t="s">
        <v>677</v>
      </c>
      <c r="C194" s="3" t="s">
        <v>2843</v>
      </c>
      <c r="D194" s="22" t="s">
        <v>2849</v>
      </c>
    </row>
    <row r="195" spans="1:4">
      <c r="A195" s="21" t="s">
        <v>2465</v>
      </c>
      <c r="B195" s="3" t="s">
        <v>678</v>
      </c>
      <c r="C195" s="3" t="s">
        <v>46</v>
      </c>
      <c r="D195" s="22" t="s">
        <v>2849</v>
      </c>
    </row>
    <row r="196" spans="1:4">
      <c r="A196" s="21" t="s">
        <v>2466</v>
      </c>
      <c r="B196" s="3" t="s">
        <v>679</v>
      </c>
      <c r="C196" s="3" t="s">
        <v>46</v>
      </c>
      <c r="D196" s="22" t="s">
        <v>2849</v>
      </c>
    </row>
    <row r="197" spans="1:4">
      <c r="A197" s="21" t="s">
        <v>2467</v>
      </c>
      <c r="B197" s="3" t="s">
        <v>680</v>
      </c>
      <c r="C197" s="3" t="s">
        <v>2843</v>
      </c>
      <c r="D197" s="22" t="s">
        <v>2849</v>
      </c>
    </row>
    <row r="198" spans="1:4">
      <c r="A198" s="21" t="s">
        <v>2468</v>
      </c>
      <c r="B198" s="3" t="s">
        <v>681</v>
      </c>
      <c r="C198" s="3" t="s">
        <v>2844</v>
      </c>
      <c r="D198" s="22" t="s">
        <v>2849</v>
      </c>
    </row>
    <row r="199" spans="1:4">
      <c r="A199" s="21" t="s">
        <v>2469</v>
      </c>
      <c r="B199" s="3" t="s">
        <v>682</v>
      </c>
      <c r="C199" s="3" t="s">
        <v>149</v>
      </c>
      <c r="D199" s="22" t="s">
        <v>2848</v>
      </c>
    </row>
    <row r="200" spans="1:4">
      <c r="A200" s="21" t="s">
        <v>2470</v>
      </c>
      <c r="B200" s="3" t="s">
        <v>683</v>
      </c>
      <c r="C200" s="3" t="s">
        <v>46</v>
      </c>
      <c r="D200" s="22" t="s">
        <v>2849</v>
      </c>
    </row>
    <row r="201" spans="1:4">
      <c r="A201" s="21" t="s">
        <v>2471</v>
      </c>
      <c r="B201" s="3" t="s">
        <v>684</v>
      </c>
      <c r="C201" s="3" t="s">
        <v>149</v>
      </c>
      <c r="D201" s="22" t="s">
        <v>2849</v>
      </c>
    </row>
    <row r="202" spans="1:4">
      <c r="A202" s="21" t="s">
        <v>2472</v>
      </c>
      <c r="B202" s="3" t="s">
        <v>685</v>
      </c>
      <c r="C202" s="3" t="s">
        <v>2843</v>
      </c>
      <c r="D202" s="22" t="s">
        <v>2849</v>
      </c>
    </row>
    <row r="203" spans="1:4">
      <c r="A203" s="21" t="s">
        <v>2473</v>
      </c>
      <c r="B203" s="3" t="s">
        <v>686</v>
      </c>
      <c r="C203" s="3" t="s">
        <v>2841</v>
      </c>
      <c r="D203" s="22" t="s">
        <v>2849</v>
      </c>
    </row>
    <row r="204" spans="1:4">
      <c r="A204" s="21" t="s">
        <v>2474</v>
      </c>
      <c r="B204" s="3" t="s">
        <v>687</v>
      </c>
      <c r="C204" s="3" t="s">
        <v>46</v>
      </c>
      <c r="D204" s="22" t="s">
        <v>2849</v>
      </c>
    </row>
    <row r="205" spans="1:4">
      <c r="A205" s="21" t="s">
        <v>2475</v>
      </c>
      <c r="B205" s="3" t="s">
        <v>688</v>
      </c>
      <c r="C205" s="3" t="s">
        <v>149</v>
      </c>
      <c r="D205" s="22" t="s">
        <v>2847</v>
      </c>
    </row>
    <row r="206" spans="1:4">
      <c r="A206" s="21" t="s">
        <v>2476</v>
      </c>
      <c r="B206" s="3" t="s">
        <v>689</v>
      </c>
      <c r="C206" s="3" t="s">
        <v>28</v>
      </c>
      <c r="D206" s="22" t="s">
        <v>2849</v>
      </c>
    </row>
    <row r="207" spans="1:4">
      <c r="A207" s="21" t="s">
        <v>2477</v>
      </c>
      <c r="B207" s="3" t="s">
        <v>690</v>
      </c>
      <c r="C207" s="3" t="s">
        <v>46</v>
      </c>
      <c r="D207" s="22" t="s">
        <v>2282</v>
      </c>
    </row>
    <row r="208" spans="1:4">
      <c r="A208" s="21" t="s">
        <v>2478</v>
      </c>
      <c r="B208" s="3" t="s">
        <v>691</v>
      </c>
      <c r="C208" s="3" t="s">
        <v>2841</v>
      </c>
      <c r="D208" s="22" t="s">
        <v>2849</v>
      </c>
    </row>
    <row r="209" spans="1:4">
      <c r="A209" s="21" t="s">
        <v>2479</v>
      </c>
      <c r="B209" s="3" t="s">
        <v>692</v>
      </c>
      <c r="C209" s="3" t="s">
        <v>24</v>
      </c>
      <c r="D209" s="22" t="s">
        <v>2849</v>
      </c>
    </row>
    <row r="210" spans="1:4">
      <c r="A210" s="21" t="s">
        <v>2480</v>
      </c>
      <c r="B210" s="3" t="s">
        <v>693</v>
      </c>
      <c r="C210" s="3" t="s">
        <v>2843</v>
      </c>
      <c r="D210" s="22" t="s">
        <v>2849</v>
      </c>
    </row>
    <row r="211" spans="1:4">
      <c r="A211" s="21" t="s">
        <v>2481</v>
      </c>
      <c r="B211" s="3" t="s">
        <v>694</v>
      </c>
      <c r="C211" s="3" t="s">
        <v>2844</v>
      </c>
      <c r="D211" s="22" t="s">
        <v>2849</v>
      </c>
    </row>
    <row r="212" spans="1:4">
      <c r="A212" s="21" t="s">
        <v>2482</v>
      </c>
      <c r="B212" s="3" t="s">
        <v>695</v>
      </c>
      <c r="C212" s="3" t="s">
        <v>2843</v>
      </c>
      <c r="D212" s="22" t="s">
        <v>2849</v>
      </c>
    </row>
    <row r="213" spans="1:4">
      <c r="A213" s="21" t="s">
        <v>2483</v>
      </c>
      <c r="B213" s="3" t="s">
        <v>696</v>
      </c>
      <c r="C213" s="3" t="s">
        <v>2842</v>
      </c>
      <c r="D213" s="22" t="s">
        <v>2846</v>
      </c>
    </row>
    <row r="214" spans="1:4">
      <c r="A214" s="21" t="s">
        <v>2484</v>
      </c>
      <c r="B214" s="3" t="s">
        <v>697</v>
      </c>
      <c r="C214" s="3" t="s">
        <v>2843</v>
      </c>
      <c r="D214" s="22" t="s">
        <v>2849</v>
      </c>
    </row>
    <row r="215" spans="1:4">
      <c r="A215" s="21" t="s">
        <v>2485</v>
      </c>
      <c r="B215" s="3" t="s">
        <v>698</v>
      </c>
      <c r="C215" s="3" t="s">
        <v>24</v>
      </c>
      <c r="D215" s="22" t="s">
        <v>2849</v>
      </c>
    </row>
    <row r="216" spans="1:4">
      <c r="A216" s="21" t="s">
        <v>2486</v>
      </c>
      <c r="B216" s="3" t="s">
        <v>699</v>
      </c>
      <c r="C216" s="3" t="s">
        <v>2841</v>
      </c>
      <c r="D216" s="22" t="s">
        <v>2849</v>
      </c>
    </row>
    <row r="217" spans="1:4">
      <c r="A217" s="21" t="s">
        <v>2487</v>
      </c>
      <c r="B217" s="3" t="s">
        <v>700</v>
      </c>
      <c r="C217" s="3" t="s">
        <v>24</v>
      </c>
      <c r="D217" s="22" t="s">
        <v>2280</v>
      </c>
    </row>
    <row r="218" spans="1:4">
      <c r="A218" s="21" t="s">
        <v>2488</v>
      </c>
      <c r="B218" s="3" t="s">
        <v>701</v>
      </c>
      <c r="C218" s="3" t="s">
        <v>2843</v>
      </c>
      <c r="D218" s="22" t="s">
        <v>2849</v>
      </c>
    </row>
    <row r="219" spans="1:4">
      <c r="A219" s="21" t="s">
        <v>2489</v>
      </c>
      <c r="B219" s="3" t="s">
        <v>702</v>
      </c>
      <c r="C219" s="3" t="s">
        <v>46</v>
      </c>
      <c r="D219" s="22" t="s">
        <v>2849</v>
      </c>
    </row>
    <row r="220" spans="1:4">
      <c r="A220" s="21" t="s">
        <v>2490</v>
      </c>
      <c r="B220" s="3" t="s">
        <v>703</v>
      </c>
      <c r="C220" s="3" t="s">
        <v>46</v>
      </c>
      <c r="D220" s="22" t="s">
        <v>2849</v>
      </c>
    </row>
    <row r="221" spans="1:4">
      <c r="A221" s="21" t="s">
        <v>2491</v>
      </c>
      <c r="B221" s="3" t="s">
        <v>704</v>
      </c>
      <c r="C221" s="3" t="s">
        <v>2843</v>
      </c>
      <c r="D221" s="22" t="s">
        <v>2849</v>
      </c>
    </row>
    <row r="222" spans="1:4">
      <c r="A222" s="21" t="s">
        <v>2492</v>
      </c>
      <c r="B222" s="3" t="s">
        <v>705</v>
      </c>
      <c r="C222" s="3" t="s">
        <v>2844</v>
      </c>
      <c r="D222" s="22" t="s">
        <v>2849</v>
      </c>
    </row>
    <row r="223" spans="1:4">
      <c r="A223" s="21" t="s">
        <v>2493</v>
      </c>
      <c r="B223" s="3" t="s">
        <v>706</v>
      </c>
      <c r="C223" s="3" t="s">
        <v>149</v>
      </c>
      <c r="D223" s="22" t="s">
        <v>2848</v>
      </c>
    </row>
    <row r="224" spans="1:4">
      <c r="A224" s="21" t="s">
        <v>2494</v>
      </c>
      <c r="B224" s="3" t="s">
        <v>707</v>
      </c>
      <c r="C224" s="3" t="s">
        <v>46</v>
      </c>
      <c r="D224" s="22" t="s">
        <v>2849</v>
      </c>
    </row>
    <row r="225" spans="1:4">
      <c r="A225" s="21" t="s">
        <v>2495</v>
      </c>
      <c r="B225" s="3" t="s">
        <v>708</v>
      </c>
      <c r="C225" s="3" t="s">
        <v>149</v>
      </c>
      <c r="D225" s="22" t="s">
        <v>2849</v>
      </c>
    </row>
    <row r="226" spans="1:4">
      <c r="A226" s="21" t="s">
        <v>2496</v>
      </c>
      <c r="B226" s="3" t="s">
        <v>709</v>
      </c>
      <c r="C226" s="3" t="s">
        <v>2843</v>
      </c>
      <c r="D226" s="22" t="s">
        <v>2849</v>
      </c>
    </row>
    <row r="227" spans="1:4">
      <c r="A227" s="21" t="s">
        <v>2497</v>
      </c>
      <c r="B227" s="3" t="s">
        <v>710</v>
      </c>
      <c r="C227" s="3" t="s">
        <v>2841</v>
      </c>
      <c r="D227" s="22" t="s">
        <v>2849</v>
      </c>
    </row>
    <row r="228" spans="1:4">
      <c r="A228" s="21" t="s">
        <v>2498</v>
      </c>
      <c r="B228" s="3" t="s">
        <v>711</v>
      </c>
      <c r="C228" s="3" t="s">
        <v>46</v>
      </c>
      <c r="D228" s="22" t="s">
        <v>2849</v>
      </c>
    </row>
    <row r="229" spans="1:4">
      <c r="A229" s="21" t="s">
        <v>2499</v>
      </c>
      <c r="B229" s="3" t="s">
        <v>712</v>
      </c>
      <c r="C229" s="3" t="s">
        <v>149</v>
      </c>
      <c r="D229" s="22" t="s">
        <v>2847</v>
      </c>
    </row>
    <row r="230" spans="1:4">
      <c r="A230" s="21" t="s">
        <v>2500</v>
      </c>
      <c r="B230" s="3" t="s">
        <v>713</v>
      </c>
      <c r="C230" s="3" t="s">
        <v>28</v>
      </c>
      <c r="D230" s="22" t="s">
        <v>2849</v>
      </c>
    </row>
    <row r="231" spans="1:4">
      <c r="A231" s="21" t="s">
        <v>2501</v>
      </c>
      <c r="B231" s="3" t="s">
        <v>714</v>
      </c>
      <c r="C231" s="3" t="s">
        <v>46</v>
      </c>
      <c r="D231" s="22" t="s">
        <v>2282</v>
      </c>
    </row>
    <row r="232" spans="1:4">
      <c r="A232" s="21" t="s">
        <v>2502</v>
      </c>
      <c r="B232" s="3" t="s">
        <v>715</v>
      </c>
      <c r="C232" s="3" t="s">
        <v>2841</v>
      </c>
      <c r="D232" s="22" t="s">
        <v>2849</v>
      </c>
    </row>
    <row r="233" spans="1:4">
      <c r="A233" s="21" t="s">
        <v>2503</v>
      </c>
      <c r="B233" s="3" t="s">
        <v>716</v>
      </c>
      <c r="C233" s="3" t="s">
        <v>24</v>
      </c>
      <c r="D233" s="22" t="s">
        <v>2849</v>
      </c>
    </row>
    <row r="234" spans="1:4">
      <c r="A234" s="21" t="s">
        <v>2504</v>
      </c>
      <c r="B234" s="3" t="s">
        <v>717</v>
      </c>
      <c r="C234" s="3" t="s">
        <v>2843</v>
      </c>
      <c r="D234" s="22" t="s">
        <v>2849</v>
      </c>
    </row>
    <row r="235" spans="1:4">
      <c r="A235" s="21" t="s">
        <v>2505</v>
      </c>
      <c r="B235" s="3" t="s">
        <v>718</v>
      </c>
      <c r="C235" s="3" t="s">
        <v>2844</v>
      </c>
      <c r="D235" s="22" t="s">
        <v>2849</v>
      </c>
    </row>
    <row r="236" spans="1:4">
      <c r="A236" s="21" t="s">
        <v>2506</v>
      </c>
      <c r="B236" s="3" t="s">
        <v>719</v>
      </c>
      <c r="C236" s="3" t="s">
        <v>2843</v>
      </c>
      <c r="D236" s="22" t="s">
        <v>2849</v>
      </c>
    </row>
    <row r="237" spans="1:4">
      <c r="A237" s="21" t="s">
        <v>2507</v>
      </c>
      <c r="B237" s="3" t="s">
        <v>720</v>
      </c>
      <c r="C237" s="3" t="s">
        <v>2842</v>
      </c>
      <c r="D237" s="22" t="s">
        <v>2846</v>
      </c>
    </row>
    <row r="238" spans="1:4">
      <c r="A238" s="21" t="s">
        <v>2508</v>
      </c>
      <c r="B238" s="3" t="s">
        <v>721</v>
      </c>
      <c r="C238" s="3" t="s">
        <v>2843</v>
      </c>
      <c r="D238" s="22" t="s">
        <v>2849</v>
      </c>
    </row>
    <row r="239" spans="1:4">
      <c r="A239" s="21" t="s">
        <v>2509</v>
      </c>
      <c r="B239" s="3" t="s">
        <v>722</v>
      </c>
      <c r="C239" s="3" t="s">
        <v>24</v>
      </c>
      <c r="D239" s="22" t="s">
        <v>2849</v>
      </c>
    </row>
    <row r="240" spans="1:4">
      <c r="A240" s="21" t="s">
        <v>2510</v>
      </c>
      <c r="B240" s="3" t="s">
        <v>723</v>
      </c>
      <c r="C240" s="3" t="s">
        <v>2841</v>
      </c>
      <c r="D240" s="22" t="s">
        <v>2849</v>
      </c>
    </row>
    <row r="241" spans="1:4">
      <c r="A241" s="21" t="s">
        <v>2511</v>
      </c>
      <c r="B241" s="3" t="s">
        <v>724</v>
      </c>
      <c r="C241" s="3" t="s">
        <v>24</v>
      </c>
      <c r="D241" s="22" t="s">
        <v>2280</v>
      </c>
    </row>
    <row r="242" spans="1:4">
      <c r="A242" s="21" t="s">
        <v>2512</v>
      </c>
      <c r="B242" s="3" t="s">
        <v>725</v>
      </c>
      <c r="C242" s="3" t="s">
        <v>2843</v>
      </c>
      <c r="D242" s="22" t="s">
        <v>2849</v>
      </c>
    </row>
    <row r="243" spans="1:4">
      <c r="A243" s="21" t="s">
        <v>2513</v>
      </c>
      <c r="B243" s="3" t="s">
        <v>726</v>
      </c>
      <c r="C243" s="3" t="s">
        <v>46</v>
      </c>
      <c r="D243" s="22" t="s">
        <v>2849</v>
      </c>
    </row>
    <row r="244" spans="1:4">
      <c r="A244" s="21" t="s">
        <v>2514</v>
      </c>
      <c r="B244" s="3" t="s">
        <v>727</v>
      </c>
      <c r="C244" s="3" t="s">
        <v>46</v>
      </c>
      <c r="D244" s="22" t="s">
        <v>2849</v>
      </c>
    </row>
    <row r="245" spans="1:4">
      <c r="A245" s="21" t="s">
        <v>2515</v>
      </c>
      <c r="B245" s="3" t="s">
        <v>728</v>
      </c>
      <c r="C245" s="3" t="s">
        <v>2843</v>
      </c>
      <c r="D245" s="22" t="s">
        <v>2849</v>
      </c>
    </row>
    <row r="246" spans="1:4">
      <c r="A246" s="21" t="s">
        <v>2516</v>
      </c>
      <c r="B246" s="3" t="s">
        <v>729</v>
      </c>
      <c r="C246" s="3" t="s">
        <v>2844</v>
      </c>
      <c r="D246" s="22" t="s">
        <v>2849</v>
      </c>
    </row>
    <row r="247" spans="1:4">
      <c r="A247" s="21" t="s">
        <v>2517</v>
      </c>
      <c r="B247" s="3" t="s">
        <v>730</v>
      </c>
      <c r="C247" s="3" t="s">
        <v>149</v>
      </c>
      <c r="D247" s="22" t="s">
        <v>2848</v>
      </c>
    </row>
    <row r="248" spans="1:4">
      <c r="A248" s="21" t="s">
        <v>2518</v>
      </c>
      <c r="B248" s="3" t="s">
        <v>731</v>
      </c>
      <c r="C248" s="3" t="s">
        <v>46</v>
      </c>
      <c r="D248" s="22" t="s">
        <v>2849</v>
      </c>
    </row>
    <row r="249" spans="1:4">
      <c r="A249" s="21" t="s">
        <v>2519</v>
      </c>
      <c r="B249" s="3" t="s">
        <v>732</v>
      </c>
      <c r="C249" s="3" t="s">
        <v>149</v>
      </c>
      <c r="D249" s="22" t="s">
        <v>2849</v>
      </c>
    </row>
    <row r="250" spans="1:4">
      <c r="A250" s="21" t="s">
        <v>2520</v>
      </c>
      <c r="B250" s="3" t="s">
        <v>733</v>
      </c>
      <c r="C250" s="3" t="s">
        <v>2843</v>
      </c>
      <c r="D250" s="22" t="s">
        <v>2849</v>
      </c>
    </row>
    <row r="251" spans="1:4">
      <c r="A251" s="21" t="s">
        <v>2521</v>
      </c>
      <c r="B251" s="3" t="s">
        <v>734</v>
      </c>
      <c r="C251" s="3" t="s">
        <v>2841</v>
      </c>
      <c r="D251" s="22" t="s">
        <v>2849</v>
      </c>
    </row>
    <row r="252" spans="1:4">
      <c r="A252" s="21" t="s">
        <v>2522</v>
      </c>
      <c r="B252" s="3" t="s">
        <v>735</v>
      </c>
      <c r="C252" s="3" t="s">
        <v>46</v>
      </c>
      <c r="D252" s="22" t="s">
        <v>2849</v>
      </c>
    </row>
    <row r="253" spans="1:4">
      <c r="A253" s="21" t="s">
        <v>2523</v>
      </c>
      <c r="B253" s="3" t="s">
        <v>736</v>
      </c>
      <c r="C253" s="3" t="s">
        <v>149</v>
      </c>
      <c r="D253" s="22" t="s">
        <v>2847</v>
      </c>
    </row>
    <row r="254" spans="1:4">
      <c r="A254" s="21" t="s">
        <v>2524</v>
      </c>
      <c r="B254" s="3" t="s">
        <v>737</v>
      </c>
      <c r="C254" s="3" t="s">
        <v>28</v>
      </c>
      <c r="D254" s="22" t="s">
        <v>2849</v>
      </c>
    </row>
    <row r="255" spans="1:4">
      <c r="A255" s="21" t="s">
        <v>2525</v>
      </c>
      <c r="B255" s="3" t="s">
        <v>738</v>
      </c>
      <c r="C255" s="3" t="s">
        <v>46</v>
      </c>
      <c r="D255" s="22" t="s">
        <v>2282</v>
      </c>
    </row>
    <row r="256" spans="1:4">
      <c r="A256" s="21" t="s">
        <v>2526</v>
      </c>
      <c r="B256" s="3" t="s">
        <v>739</v>
      </c>
      <c r="C256" s="3" t="s">
        <v>2841</v>
      </c>
      <c r="D256" s="22" t="s">
        <v>2849</v>
      </c>
    </row>
    <row r="257" spans="1:4">
      <c r="A257" s="21" t="s">
        <v>2527</v>
      </c>
      <c r="B257" s="3" t="s">
        <v>740</v>
      </c>
      <c r="C257" s="3" t="s">
        <v>24</v>
      </c>
      <c r="D257" s="22" t="s">
        <v>2849</v>
      </c>
    </row>
    <row r="258" spans="1:4">
      <c r="A258" s="21" t="s">
        <v>2528</v>
      </c>
      <c r="B258" s="3" t="s">
        <v>741</v>
      </c>
      <c r="C258" s="3" t="s">
        <v>2843</v>
      </c>
      <c r="D258" s="22" t="s">
        <v>2849</v>
      </c>
    </row>
    <row r="259" spans="1:4">
      <c r="A259" s="21" t="s">
        <v>2529</v>
      </c>
      <c r="B259" s="3" t="s">
        <v>742</v>
      </c>
      <c r="C259" s="3" t="s">
        <v>2844</v>
      </c>
      <c r="D259" s="22" t="s">
        <v>2849</v>
      </c>
    </row>
    <row r="260" spans="1:4">
      <c r="A260" s="21" t="s">
        <v>2530</v>
      </c>
      <c r="B260" s="3" t="s">
        <v>743</v>
      </c>
      <c r="C260" s="3" t="s">
        <v>2843</v>
      </c>
      <c r="D260" s="22" t="s">
        <v>2849</v>
      </c>
    </row>
    <row r="261" spans="1:4">
      <c r="A261" s="21" t="s">
        <v>2531</v>
      </c>
      <c r="B261" s="3" t="s">
        <v>744</v>
      </c>
      <c r="C261" s="3" t="s">
        <v>2842</v>
      </c>
      <c r="D261" s="22" t="s">
        <v>2846</v>
      </c>
    </row>
    <row r="262" spans="1:4">
      <c r="A262" s="21" t="s">
        <v>2532</v>
      </c>
      <c r="B262" s="3" t="s">
        <v>745</v>
      </c>
      <c r="C262" s="3" t="s">
        <v>2843</v>
      </c>
      <c r="D262" s="22" t="s">
        <v>2849</v>
      </c>
    </row>
    <row r="263" spans="1:4">
      <c r="A263" s="21" t="s">
        <v>2533</v>
      </c>
      <c r="B263" s="3" t="s">
        <v>746</v>
      </c>
      <c r="C263" s="3" t="s">
        <v>24</v>
      </c>
      <c r="D263" s="22" t="s">
        <v>2849</v>
      </c>
    </row>
    <row r="264" spans="1:4">
      <c r="A264" s="21" t="s">
        <v>2534</v>
      </c>
      <c r="B264" s="3" t="s">
        <v>747</v>
      </c>
      <c r="C264" s="3" t="s">
        <v>2841</v>
      </c>
      <c r="D264" s="22" t="s">
        <v>2849</v>
      </c>
    </row>
    <row r="265" spans="1:4">
      <c r="A265" s="21" t="s">
        <v>2535</v>
      </c>
      <c r="B265" s="3" t="s">
        <v>748</v>
      </c>
      <c r="C265" s="3" t="s">
        <v>24</v>
      </c>
      <c r="D265" s="22" t="s">
        <v>2280</v>
      </c>
    </row>
    <row r="266" spans="1:4">
      <c r="A266" s="21" t="s">
        <v>2536</v>
      </c>
      <c r="B266" s="3" t="s">
        <v>749</v>
      </c>
      <c r="C266" s="3" t="s">
        <v>2843</v>
      </c>
      <c r="D266" s="22" t="s">
        <v>2849</v>
      </c>
    </row>
    <row r="267" spans="1:4">
      <c r="A267" s="21" t="s">
        <v>2537</v>
      </c>
      <c r="B267" s="3" t="s">
        <v>750</v>
      </c>
      <c r="C267" s="3" t="s">
        <v>46</v>
      </c>
      <c r="D267" s="22" t="s">
        <v>2849</v>
      </c>
    </row>
    <row r="268" spans="1:4">
      <c r="A268" s="21" t="s">
        <v>2538</v>
      </c>
      <c r="B268" s="3" t="s">
        <v>751</v>
      </c>
      <c r="C268" s="3" t="s">
        <v>46</v>
      </c>
      <c r="D268" s="22" t="s">
        <v>2849</v>
      </c>
    </row>
    <row r="269" spans="1:4">
      <c r="A269" s="21" t="s">
        <v>2539</v>
      </c>
      <c r="B269" s="3" t="s">
        <v>752</v>
      </c>
      <c r="C269" s="3" t="s">
        <v>2843</v>
      </c>
      <c r="D269" s="22" t="s">
        <v>2849</v>
      </c>
    </row>
    <row r="270" spans="1:4">
      <c r="A270" s="21" t="s">
        <v>2540</v>
      </c>
      <c r="B270" s="3" t="s">
        <v>753</v>
      </c>
      <c r="C270" s="3" t="s">
        <v>2844</v>
      </c>
      <c r="D270" s="22" t="s">
        <v>2849</v>
      </c>
    </row>
    <row r="271" spans="1:4">
      <c r="A271" s="21" t="s">
        <v>2541</v>
      </c>
      <c r="B271" s="3" t="s">
        <v>754</v>
      </c>
      <c r="C271" s="3" t="s">
        <v>149</v>
      </c>
      <c r="D271" s="22" t="s">
        <v>2848</v>
      </c>
    </row>
    <row r="272" spans="1:4">
      <c r="A272" s="21" t="s">
        <v>2542</v>
      </c>
      <c r="B272" s="3" t="s">
        <v>755</v>
      </c>
      <c r="C272" s="3" t="s">
        <v>46</v>
      </c>
      <c r="D272" s="22" t="s">
        <v>2849</v>
      </c>
    </row>
    <row r="273" spans="1:4">
      <c r="A273" s="21" t="s">
        <v>2543</v>
      </c>
      <c r="B273" s="3" t="s">
        <v>756</v>
      </c>
      <c r="C273" s="3" t="s">
        <v>149</v>
      </c>
      <c r="D273" s="22" t="s">
        <v>2849</v>
      </c>
    </row>
    <row r="274" spans="1:4">
      <c r="A274" s="21" t="s">
        <v>2544</v>
      </c>
      <c r="B274" s="3" t="s">
        <v>757</v>
      </c>
      <c r="C274" s="3" t="s">
        <v>2843</v>
      </c>
      <c r="D274" s="22" t="s">
        <v>2849</v>
      </c>
    </row>
    <row r="275" spans="1:4">
      <c r="A275" s="21" t="s">
        <v>2545</v>
      </c>
      <c r="B275" s="3" t="s">
        <v>758</v>
      </c>
      <c r="C275" s="3" t="s">
        <v>2841</v>
      </c>
      <c r="D275" s="22" t="s">
        <v>2849</v>
      </c>
    </row>
    <row r="276" spans="1:4">
      <c r="A276" s="21" t="s">
        <v>2546</v>
      </c>
      <c r="B276" s="3" t="s">
        <v>759</v>
      </c>
      <c r="C276" s="3" t="s">
        <v>46</v>
      </c>
      <c r="D276" s="22" t="s">
        <v>2849</v>
      </c>
    </row>
    <row r="277" spans="1:4">
      <c r="A277" s="21" t="s">
        <v>2547</v>
      </c>
      <c r="B277" s="3" t="s">
        <v>760</v>
      </c>
      <c r="C277" s="3" t="s">
        <v>149</v>
      </c>
      <c r="D277" s="22" t="s">
        <v>2847</v>
      </c>
    </row>
    <row r="278" spans="1:4">
      <c r="A278" s="21" t="s">
        <v>2548</v>
      </c>
      <c r="B278" s="3" t="s">
        <v>761</v>
      </c>
      <c r="C278" s="3" t="s">
        <v>28</v>
      </c>
      <c r="D278" s="22" t="s">
        <v>2849</v>
      </c>
    </row>
    <row r="279" spans="1:4">
      <c r="A279" s="21" t="s">
        <v>2549</v>
      </c>
      <c r="B279" s="3" t="s">
        <v>762</v>
      </c>
      <c r="C279" s="3" t="s">
        <v>46</v>
      </c>
      <c r="D279" s="22" t="s">
        <v>2282</v>
      </c>
    </row>
    <row r="280" spans="1:4">
      <c r="A280" s="21" t="s">
        <v>2550</v>
      </c>
      <c r="B280" s="3" t="s">
        <v>763</v>
      </c>
      <c r="C280" s="3" t="s">
        <v>2841</v>
      </c>
      <c r="D280" s="22" t="s">
        <v>2849</v>
      </c>
    </row>
    <row r="281" spans="1:4">
      <c r="A281" s="21" t="s">
        <v>2551</v>
      </c>
      <c r="B281" s="3" t="s">
        <v>764</v>
      </c>
      <c r="C281" s="3" t="s">
        <v>24</v>
      </c>
      <c r="D281" s="22" t="s">
        <v>2849</v>
      </c>
    </row>
    <row r="282" spans="1:4">
      <c r="A282" s="21" t="s">
        <v>2552</v>
      </c>
      <c r="B282" s="3" t="s">
        <v>765</v>
      </c>
      <c r="C282" s="3" t="s">
        <v>2843</v>
      </c>
      <c r="D282" s="22" t="s">
        <v>2849</v>
      </c>
    </row>
    <row r="283" spans="1:4">
      <c r="A283" s="21" t="s">
        <v>2553</v>
      </c>
      <c r="B283" s="3" t="s">
        <v>766</v>
      </c>
      <c r="C283" s="3" t="s">
        <v>2844</v>
      </c>
      <c r="D283" s="22" t="s">
        <v>2849</v>
      </c>
    </row>
    <row r="284" spans="1:4">
      <c r="A284" s="21" t="s">
        <v>2554</v>
      </c>
      <c r="B284" s="3" t="s">
        <v>767</v>
      </c>
      <c r="C284" s="3" t="s">
        <v>2843</v>
      </c>
      <c r="D284" s="22" t="s">
        <v>2849</v>
      </c>
    </row>
    <row r="285" spans="1:4">
      <c r="A285" s="21" t="s">
        <v>2555</v>
      </c>
      <c r="B285" s="3" t="s">
        <v>768</v>
      </c>
      <c r="C285" s="3" t="s">
        <v>2842</v>
      </c>
      <c r="D285" s="22" t="s">
        <v>2846</v>
      </c>
    </row>
    <row r="286" spans="1:4">
      <c r="A286" s="21" t="s">
        <v>2556</v>
      </c>
      <c r="B286" s="3" t="s">
        <v>769</v>
      </c>
      <c r="C286" s="3" t="s">
        <v>2843</v>
      </c>
      <c r="D286" s="22" t="s">
        <v>2849</v>
      </c>
    </row>
    <row r="287" spans="1:4">
      <c r="A287" s="21" t="s">
        <v>2557</v>
      </c>
      <c r="B287" s="3" t="s">
        <v>770</v>
      </c>
      <c r="C287" s="3" t="s">
        <v>24</v>
      </c>
      <c r="D287" s="22" t="s">
        <v>2849</v>
      </c>
    </row>
    <row r="288" spans="1:4">
      <c r="A288" s="21" t="s">
        <v>2558</v>
      </c>
      <c r="B288" s="3" t="s">
        <v>771</v>
      </c>
      <c r="C288" s="3" t="s">
        <v>2841</v>
      </c>
      <c r="D288" s="22" t="s">
        <v>2849</v>
      </c>
    </row>
    <row r="289" spans="1:4">
      <c r="A289" s="21" t="s">
        <v>2559</v>
      </c>
      <c r="B289" s="3" t="s">
        <v>772</v>
      </c>
      <c r="C289" s="3" t="s">
        <v>24</v>
      </c>
      <c r="D289" s="22" t="s">
        <v>2280</v>
      </c>
    </row>
    <row r="290" spans="1:4">
      <c r="A290" s="21" t="s">
        <v>2560</v>
      </c>
      <c r="B290" s="3" t="s">
        <v>773</v>
      </c>
      <c r="C290" s="3" t="s">
        <v>2843</v>
      </c>
      <c r="D290" s="22" t="s">
        <v>2849</v>
      </c>
    </row>
    <row r="291" spans="1:4">
      <c r="A291" s="21" t="s">
        <v>2561</v>
      </c>
      <c r="B291" s="3" t="s">
        <v>774</v>
      </c>
      <c r="C291" s="3" t="s">
        <v>46</v>
      </c>
      <c r="D291" s="22" t="s">
        <v>2849</v>
      </c>
    </row>
    <row r="292" spans="1:4">
      <c r="A292" s="21" t="s">
        <v>2562</v>
      </c>
      <c r="B292" s="3" t="s">
        <v>775</v>
      </c>
      <c r="C292" s="3" t="s">
        <v>46</v>
      </c>
      <c r="D292" s="22" t="s">
        <v>2849</v>
      </c>
    </row>
    <row r="293" spans="1:4">
      <c r="A293" s="21" t="s">
        <v>2563</v>
      </c>
      <c r="B293" s="3" t="s">
        <v>776</v>
      </c>
      <c r="C293" s="3" t="s">
        <v>2843</v>
      </c>
      <c r="D293" s="22" t="s">
        <v>2849</v>
      </c>
    </row>
    <row r="294" spans="1:4">
      <c r="A294" s="21" t="s">
        <v>2564</v>
      </c>
      <c r="B294" s="3" t="s">
        <v>777</v>
      </c>
      <c r="C294" s="3" t="s">
        <v>2844</v>
      </c>
      <c r="D294" s="22" t="s">
        <v>2849</v>
      </c>
    </row>
    <row r="295" spans="1:4">
      <c r="A295" s="21" t="s">
        <v>2565</v>
      </c>
      <c r="B295" s="3" t="s">
        <v>778</v>
      </c>
      <c r="C295" s="3" t="s">
        <v>149</v>
      </c>
      <c r="D295" s="22" t="s">
        <v>2848</v>
      </c>
    </row>
    <row r="296" spans="1:4">
      <c r="A296" s="21" t="s">
        <v>2566</v>
      </c>
      <c r="B296" s="3" t="s">
        <v>779</v>
      </c>
      <c r="C296" s="3" t="s">
        <v>46</v>
      </c>
      <c r="D296" s="22" t="s">
        <v>2849</v>
      </c>
    </row>
    <row r="297" spans="1:4">
      <c r="A297" s="21" t="s">
        <v>2567</v>
      </c>
      <c r="B297" s="3" t="s">
        <v>780</v>
      </c>
      <c r="C297" s="3" t="s">
        <v>149</v>
      </c>
      <c r="D297" s="22" t="s">
        <v>2849</v>
      </c>
    </row>
    <row r="298" spans="1:4">
      <c r="A298" s="21" t="s">
        <v>2568</v>
      </c>
      <c r="B298" s="3" t="s">
        <v>781</v>
      </c>
      <c r="C298" s="3" t="s">
        <v>2843</v>
      </c>
      <c r="D298" s="22" t="s">
        <v>2849</v>
      </c>
    </row>
    <row r="299" spans="1:4">
      <c r="A299" s="21" t="s">
        <v>2569</v>
      </c>
      <c r="B299" s="3" t="s">
        <v>782</v>
      </c>
      <c r="C299" s="3" t="s">
        <v>2841</v>
      </c>
      <c r="D299" s="22" t="s">
        <v>2849</v>
      </c>
    </row>
    <row r="300" spans="1:4">
      <c r="A300" s="21" t="s">
        <v>2570</v>
      </c>
      <c r="B300" s="3" t="s">
        <v>783</v>
      </c>
      <c r="C300" s="3" t="s">
        <v>46</v>
      </c>
      <c r="D300" s="22" t="s">
        <v>2849</v>
      </c>
    </row>
    <row r="301" spans="1:4">
      <c r="A301" s="21" t="s">
        <v>2571</v>
      </c>
      <c r="B301" s="3" t="s">
        <v>784</v>
      </c>
      <c r="C301" s="3" t="s">
        <v>149</v>
      </c>
      <c r="D301" s="22" t="s">
        <v>2847</v>
      </c>
    </row>
    <row r="302" spans="1:4">
      <c r="A302" s="21" t="s">
        <v>2572</v>
      </c>
      <c r="B302" s="3" t="s">
        <v>785</v>
      </c>
      <c r="C302" s="3" t="s">
        <v>28</v>
      </c>
      <c r="D302" s="22" t="s">
        <v>2849</v>
      </c>
    </row>
    <row r="303" spans="1:4">
      <c r="A303" s="21" t="s">
        <v>2573</v>
      </c>
      <c r="B303" s="3" t="s">
        <v>786</v>
      </c>
      <c r="C303" s="3" t="s">
        <v>46</v>
      </c>
      <c r="D303" s="22" t="s">
        <v>2282</v>
      </c>
    </row>
    <row r="304" spans="1:4">
      <c r="A304" s="21" t="s">
        <v>2574</v>
      </c>
      <c r="B304" s="3" t="s">
        <v>787</v>
      </c>
      <c r="C304" s="3" t="s">
        <v>2841</v>
      </c>
      <c r="D304" s="22" t="s">
        <v>2849</v>
      </c>
    </row>
    <row r="305" spans="1:4">
      <c r="A305" s="21" t="s">
        <v>2575</v>
      </c>
      <c r="B305" s="3" t="s">
        <v>788</v>
      </c>
      <c r="C305" s="3" t="s">
        <v>24</v>
      </c>
      <c r="D305" s="22" t="s">
        <v>2849</v>
      </c>
    </row>
    <row r="306" spans="1:4">
      <c r="A306" s="21" t="s">
        <v>2576</v>
      </c>
      <c r="B306" s="3" t="s">
        <v>789</v>
      </c>
      <c r="C306" s="3" t="s">
        <v>2843</v>
      </c>
      <c r="D306" s="22" t="s">
        <v>2849</v>
      </c>
    </row>
    <row r="307" spans="1:4">
      <c r="A307" s="21" t="s">
        <v>2577</v>
      </c>
      <c r="B307" s="3" t="s">
        <v>790</v>
      </c>
      <c r="C307" s="3" t="s">
        <v>2844</v>
      </c>
      <c r="D307" s="22" t="s">
        <v>2849</v>
      </c>
    </row>
    <row r="308" spans="1:4">
      <c r="A308" s="21" t="s">
        <v>2578</v>
      </c>
      <c r="B308" s="3" t="s">
        <v>791</v>
      </c>
      <c r="C308" s="3" t="s">
        <v>2843</v>
      </c>
      <c r="D308" s="22" t="s">
        <v>2849</v>
      </c>
    </row>
    <row r="309" spans="1:4">
      <c r="A309" s="21" t="s">
        <v>2579</v>
      </c>
      <c r="B309" s="3" t="s">
        <v>792</v>
      </c>
      <c r="C309" s="3" t="s">
        <v>2842</v>
      </c>
      <c r="D309" s="22" t="s">
        <v>2846</v>
      </c>
    </row>
    <row r="310" spans="1:4">
      <c r="A310" s="21" t="s">
        <v>2580</v>
      </c>
      <c r="B310" s="3" t="s">
        <v>793</v>
      </c>
      <c r="C310" s="3" t="s">
        <v>2843</v>
      </c>
      <c r="D310" s="22" t="s">
        <v>2849</v>
      </c>
    </row>
    <row r="311" spans="1:4">
      <c r="A311" s="21" t="s">
        <v>2581</v>
      </c>
      <c r="B311" s="3" t="s">
        <v>794</v>
      </c>
      <c r="C311" s="3" t="s">
        <v>24</v>
      </c>
      <c r="D311" s="22" t="s">
        <v>2849</v>
      </c>
    </row>
    <row r="312" spans="1:4">
      <c r="A312" s="21" t="s">
        <v>2582</v>
      </c>
      <c r="B312" s="3" t="s">
        <v>795</v>
      </c>
      <c r="C312" s="3" t="s">
        <v>2841</v>
      </c>
      <c r="D312" s="22" t="s">
        <v>2849</v>
      </c>
    </row>
    <row r="313" spans="1:4">
      <c r="A313" s="21" t="s">
        <v>2583</v>
      </c>
      <c r="B313" s="3" t="s">
        <v>796</v>
      </c>
      <c r="C313" s="3" t="s">
        <v>24</v>
      </c>
      <c r="D313" s="22" t="s">
        <v>2280</v>
      </c>
    </row>
    <row r="314" spans="1:4">
      <c r="A314" s="21" t="s">
        <v>2584</v>
      </c>
      <c r="B314" s="3" t="s">
        <v>797</v>
      </c>
      <c r="C314" s="3" t="s">
        <v>2843</v>
      </c>
      <c r="D314" s="22" t="s">
        <v>2849</v>
      </c>
    </row>
    <row r="315" spans="1:4">
      <c r="A315" s="21" t="s">
        <v>2585</v>
      </c>
      <c r="B315" s="3" t="s">
        <v>798</v>
      </c>
      <c r="C315" s="3" t="s">
        <v>46</v>
      </c>
      <c r="D315" s="22" t="s">
        <v>2849</v>
      </c>
    </row>
    <row r="316" spans="1:4">
      <c r="A316" s="21" t="s">
        <v>2586</v>
      </c>
      <c r="B316" s="3" t="s">
        <v>799</v>
      </c>
      <c r="C316" s="3" t="s">
        <v>46</v>
      </c>
      <c r="D316" s="22" t="s">
        <v>2849</v>
      </c>
    </row>
    <row r="317" spans="1:4">
      <c r="A317" s="21" t="s">
        <v>2587</v>
      </c>
      <c r="B317" s="3" t="s">
        <v>800</v>
      </c>
      <c r="C317" s="3" t="s">
        <v>2843</v>
      </c>
      <c r="D317" s="22" t="s">
        <v>2849</v>
      </c>
    </row>
    <row r="318" spans="1:4">
      <c r="A318" s="21" t="s">
        <v>2588</v>
      </c>
      <c r="B318" s="3" t="s">
        <v>801</v>
      </c>
      <c r="C318" s="3" t="s">
        <v>2844</v>
      </c>
      <c r="D318" s="22" t="s">
        <v>2849</v>
      </c>
    </row>
    <row r="319" spans="1:4">
      <c r="A319" s="21" t="s">
        <v>2589</v>
      </c>
      <c r="B319" s="3" t="s">
        <v>802</v>
      </c>
      <c r="C319" s="3" t="s">
        <v>149</v>
      </c>
      <c r="D319" s="22" t="s">
        <v>2848</v>
      </c>
    </row>
    <row r="320" spans="1:4">
      <c r="A320" s="21" t="s">
        <v>2590</v>
      </c>
      <c r="B320" s="3" t="s">
        <v>803</v>
      </c>
      <c r="C320" s="3" t="s">
        <v>46</v>
      </c>
      <c r="D320" s="22" t="s">
        <v>2849</v>
      </c>
    </row>
    <row r="321" spans="1:4">
      <c r="A321" s="21" t="s">
        <v>2591</v>
      </c>
      <c r="B321" s="3" t="s">
        <v>804</v>
      </c>
      <c r="C321" s="3" t="s">
        <v>149</v>
      </c>
      <c r="D321" s="22" t="s">
        <v>2849</v>
      </c>
    </row>
    <row r="322" spans="1:4">
      <c r="A322" s="21" t="s">
        <v>2592</v>
      </c>
      <c r="B322" s="3" t="s">
        <v>805</v>
      </c>
      <c r="C322" s="3" t="s">
        <v>2843</v>
      </c>
      <c r="D322" s="22" t="s">
        <v>2849</v>
      </c>
    </row>
    <row r="323" spans="1:4">
      <c r="A323" s="21" t="s">
        <v>2593</v>
      </c>
      <c r="B323" s="3" t="s">
        <v>806</v>
      </c>
      <c r="C323" s="3" t="s">
        <v>2841</v>
      </c>
      <c r="D323" s="22" t="s">
        <v>2849</v>
      </c>
    </row>
    <row r="324" spans="1:4">
      <c r="A324" s="21" t="s">
        <v>2594</v>
      </c>
      <c r="B324" s="3" t="s">
        <v>807</v>
      </c>
      <c r="C324" s="3" t="s">
        <v>46</v>
      </c>
      <c r="D324" s="22" t="s">
        <v>2849</v>
      </c>
    </row>
    <row r="325" spans="1:4">
      <c r="A325" s="21" t="s">
        <v>2595</v>
      </c>
      <c r="B325" s="3" t="s">
        <v>808</v>
      </c>
      <c r="C325" s="3" t="s">
        <v>149</v>
      </c>
      <c r="D325" s="22" t="s">
        <v>2847</v>
      </c>
    </row>
    <row r="326" spans="1:4">
      <c r="A326" s="21" t="s">
        <v>2596</v>
      </c>
      <c r="B326" s="3" t="s">
        <v>809</v>
      </c>
      <c r="C326" s="3" t="s">
        <v>28</v>
      </c>
      <c r="D326" s="22" t="s">
        <v>2849</v>
      </c>
    </row>
    <row r="327" spans="1:4">
      <c r="A327" s="21" t="s">
        <v>2597</v>
      </c>
      <c r="B327" s="3" t="s">
        <v>810</v>
      </c>
      <c r="C327" s="3" t="s">
        <v>46</v>
      </c>
      <c r="D327" s="22" t="s">
        <v>2282</v>
      </c>
    </row>
    <row r="328" spans="1:4">
      <c r="A328" s="21" t="s">
        <v>2598</v>
      </c>
      <c r="B328" s="3" t="s">
        <v>811</v>
      </c>
      <c r="C328" s="3" t="s">
        <v>2841</v>
      </c>
      <c r="D328" s="22" t="s">
        <v>2849</v>
      </c>
    </row>
    <row r="329" spans="1:4">
      <c r="A329" s="21" t="s">
        <v>2599</v>
      </c>
      <c r="B329" s="3" t="s">
        <v>812</v>
      </c>
      <c r="C329" s="3" t="s">
        <v>24</v>
      </c>
      <c r="D329" s="22" t="s">
        <v>2849</v>
      </c>
    </row>
    <row r="330" spans="1:4">
      <c r="A330" s="21" t="s">
        <v>2600</v>
      </c>
      <c r="B330" s="3" t="s">
        <v>813</v>
      </c>
      <c r="C330" s="3" t="s">
        <v>2843</v>
      </c>
      <c r="D330" s="22" t="s">
        <v>2849</v>
      </c>
    </row>
    <row r="331" spans="1:4">
      <c r="A331" s="21" t="s">
        <v>2601</v>
      </c>
      <c r="B331" s="3" t="s">
        <v>814</v>
      </c>
      <c r="C331" s="3" t="s">
        <v>2844</v>
      </c>
      <c r="D331" s="22" t="s">
        <v>2849</v>
      </c>
    </row>
    <row r="332" spans="1:4">
      <c r="A332" s="21" t="s">
        <v>2602</v>
      </c>
      <c r="B332" s="3" t="s">
        <v>815</v>
      </c>
      <c r="C332" s="3" t="s">
        <v>2843</v>
      </c>
      <c r="D332" s="22" t="s">
        <v>2849</v>
      </c>
    </row>
    <row r="333" spans="1:4">
      <c r="A333" s="21" t="s">
        <v>2603</v>
      </c>
      <c r="B333" s="3" t="s">
        <v>816</v>
      </c>
      <c r="C333" s="3" t="s">
        <v>2842</v>
      </c>
      <c r="D333" s="22" t="s">
        <v>2846</v>
      </c>
    </row>
    <row r="334" spans="1:4">
      <c r="A334" s="21" t="s">
        <v>2604</v>
      </c>
      <c r="B334" s="3" t="s">
        <v>817</v>
      </c>
      <c r="C334" s="3" t="s">
        <v>2843</v>
      </c>
      <c r="D334" s="22" t="s">
        <v>2849</v>
      </c>
    </row>
    <row r="335" spans="1:4">
      <c r="A335" s="21" t="s">
        <v>2605</v>
      </c>
      <c r="B335" s="3" t="s">
        <v>818</v>
      </c>
      <c r="C335" s="3" t="s">
        <v>24</v>
      </c>
      <c r="D335" s="22" t="s">
        <v>2849</v>
      </c>
    </row>
    <row r="336" spans="1:4">
      <c r="A336" s="21" t="s">
        <v>2606</v>
      </c>
      <c r="B336" s="3" t="s">
        <v>819</v>
      </c>
      <c r="C336" s="3" t="s">
        <v>2841</v>
      </c>
      <c r="D336" s="22" t="s">
        <v>2849</v>
      </c>
    </row>
    <row r="337" spans="1:4">
      <c r="A337" s="21" t="s">
        <v>2607</v>
      </c>
      <c r="B337" s="3" t="s">
        <v>820</v>
      </c>
      <c r="C337" s="3" t="s">
        <v>24</v>
      </c>
      <c r="D337" s="22" t="s">
        <v>2280</v>
      </c>
    </row>
    <row r="338" spans="1:4">
      <c r="A338" s="21" t="s">
        <v>2608</v>
      </c>
      <c r="B338" s="3" t="s">
        <v>821</v>
      </c>
      <c r="C338" s="3" t="s">
        <v>2843</v>
      </c>
      <c r="D338" s="22" t="s">
        <v>2849</v>
      </c>
    </row>
    <row r="339" spans="1:4">
      <c r="A339" s="21" t="s">
        <v>2609</v>
      </c>
      <c r="B339" s="3" t="s">
        <v>822</v>
      </c>
      <c r="C339" s="3" t="s">
        <v>46</v>
      </c>
      <c r="D339" s="22" t="s">
        <v>2849</v>
      </c>
    </row>
    <row r="340" spans="1:4">
      <c r="A340" s="21" t="s">
        <v>2610</v>
      </c>
      <c r="B340" s="3" t="s">
        <v>823</v>
      </c>
      <c r="C340" s="3" t="s">
        <v>46</v>
      </c>
      <c r="D340" s="22" t="s">
        <v>2849</v>
      </c>
    </row>
    <row r="341" spans="1:4">
      <c r="A341" s="21" t="s">
        <v>2611</v>
      </c>
      <c r="B341" s="3" t="s">
        <v>824</v>
      </c>
      <c r="C341" s="3" t="s">
        <v>2843</v>
      </c>
      <c r="D341" s="22" t="s">
        <v>2849</v>
      </c>
    </row>
    <row r="342" spans="1:4">
      <c r="A342" s="21" t="s">
        <v>2612</v>
      </c>
      <c r="B342" s="3" t="s">
        <v>825</v>
      </c>
      <c r="C342" s="3" t="s">
        <v>2844</v>
      </c>
      <c r="D342" s="22" t="s">
        <v>2849</v>
      </c>
    </row>
    <row r="343" spans="1:4">
      <c r="A343" s="21" t="s">
        <v>2613</v>
      </c>
      <c r="B343" s="3" t="s">
        <v>826</v>
      </c>
      <c r="C343" s="3" t="s">
        <v>149</v>
      </c>
      <c r="D343" s="22" t="s">
        <v>2848</v>
      </c>
    </row>
    <row r="344" spans="1:4">
      <c r="A344" s="21" t="s">
        <v>2614</v>
      </c>
      <c r="B344" s="3" t="s">
        <v>827</v>
      </c>
      <c r="C344" s="3" t="s">
        <v>46</v>
      </c>
      <c r="D344" s="22" t="s">
        <v>2849</v>
      </c>
    </row>
    <row r="345" spans="1:4">
      <c r="A345" s="21" t="s">
        <v>2615</v>
      </c>
      <c r="B345" s="3" t="s">
        <v>828</v>
      </c>
      <c r="C345" s="3" t="s">
        <v>149</v>
      </c>
      <c r="D345" s="22" t="s">
        <v>2849</v>
      </c>
    </row>
    <row r="346" spans="1:4">
      <c r="A346" s="21" t="s">
        <v>2616</v>
      </c>
      <c r="B346" s="3" t="s">
        <v>829</v>
      </c>
      <c r="C346" s="3" t="s">
        <v>2843</v>
      </c>
      <c r="D346" s="22" t="s">
        <v>2849</v>
      </c>
    </row>
    <row r="347" spans="1:4">
      <c r="A347" s="21" t="s">
        <v>2617</v>
      </c>
      <c r="B347" s="3" t="s">
        <v>830</v>
      </c>
      <c r="C347" s="3" t="s">
        <v>2841</v>
      </c>
      <c r="D347" s="22" t="s">
        <v>2849</v>
      </c>
    </row>
    <row r="348" spans="1:4">
      <c r="A348" s="21" t="s">
        <v>2618</v>
      </c>
      <c r="B348" s="3" t="s">
        <v>831</v>
      </c>
      <c r="C348" s="3" t="s">
        <v>46</v>
      </c>
      <c r="D348" s="22" t="s">
        <v>2849</v>
      </c>
    </row>
    <row r="349" spans="1:4">
      <c r="A349" s="21" t="s">
        <v>2619</v>
      </c>
      <c r="B349" s="3" t="s">
        <v>832</v>
      </c>
      <c r="C349" s="3" t="s">
        <v>149</v>
      </c>
      <c r="D349" s="22" t="s">
        <v>2847</v>
      </c>
    </row>
    <row r="350" spans="1:4">
      <c r="A350" s="21" t="s">
        <v>2620</v>
      </c>
      <c r="B350" s="3" t="s">
        <v>833</v>
      </c>
      <c r="C350" s="3" t="s">
        <v>28</v>
      </c>
      <c r="D350" s="22" t="s">
        <v>2849</v>
      </c>
    </row>
    <row r="351" spans="1:4">
      <c r="A351" s="21" t="s">
        <v>2621</v>
      </c>
      <c r="B351" s="3" t="s">
        <v>834</v>
      </c>
      <c r="C351" s="3" t="s">
        <v>46</v>
      </c>
      <c r="D351" s="22" t="s">
        <v>2282</v>
      </c>
    </row>
    <row r="352" spans="1:4">
      <c r="A352" s="21" t="s">
        <v>2622</v>
      </c>
      <c r="B352" s="3" t="s">
        <v>835</v>
      </c>
      <c r="C352" s="3" t="s">
        <v>2841</v>
      </c>
      <c r="D352" s="22" t="s">
        <v>2849</v>
      </c>
    </row>
    <row r="353" spans="1:4">
      <c r="A353" s="21" t="s">
        <v>2623</v>
      </c>
      <c r="B353" s="3" t="s">
        <v>836</v>
      </c>
      <c r="C353" s="3" t="s">
        <v>24</v>
      </c>
      <c r="D353" s="22" t="s">
        <v>2849</v>
      </c>
    </row>
    <row r="354" spans="1:4">
      <c r="A354" s="21" t="s">
        <v>2624</v>
      </c>
      <c r="B354" s="3" t="s">
        <v>837</v>
      </c>
      <c r="C354" s="3" t="s">
        <v>2843</v>
      </c>
      <c r="D354" s="22" t="s">
        <v>2849</v>
      </c>
    </row>
    <row r="355" spans="1:4">
      <c r="A355" s="21" t="s">
        <v>2625</v>
      </c>
      <c r="B355" s="3" t="s">
        <v>838</v>
      </c>
      <c r="C355" s="3" t="s">
        <v>2844</v>
      </c>
      <c r="D355" s="22" t="s">
        <v>2849</v>
      </c>
    </row>
    <row r="356" spans="1:4">
      <c r="A356" s="21" t="s">
        <v>2626</v>
      </c>
      <c r="B356" s="3" t="s">
        <v>839</v>
      </c>
      <c r="C356" s="3" t="s">
        <v>2843</v>
      </c>
      <c r="D356" s="22" t="s">
        <v>2849</v>
      </c>
    </row>
    <row r="357" spans="1:4">
      <c r="A357" s="21" t="s">
        <v>2627</v>
      </c>
      <c r="B357" s="3" t="s">
        <v>840</v>
      </c>
      <c r="C357" s="3" t="s">
        <v>2842</v>
      </c>
      <c r="D357" s="22" t="s">
        <v>2846</v>
      </c>
    </row>
    <row r="358" spans="1:4">
      <c r="A358" s="21" t="s">
        <v>2628</v>
      </c>
      <c r="B358" s="3" t="s">
        <v>841</v>
      </c>
      <c r="C358" s="3" t="s">
        <v>2843</v>
      </c>
      <c r="D358" s="22" t="s">
        <v>2849</v>
      </c>
    </row>
    <row r="359" spans="1:4">
      <c r="A359" s="21" t="s">
        <v>2629</v>
      </c>
      <c r="B359" s="3" t="s">
        <v>842</v>
      </c>
      <c r="C359" s="3" t="s">
        <v>24</v>
      </c>
      <c r="D359" s="22" t="s">
        <v>2849</v>
      </c>
    </row>
    <row r="360" spans="1:4">
      <c r="A360" s="21" t="s">
        <v>2630</v>
      </c>
      <c r="B360" s="3" t="s">
        <v>843</v>
      </c>
      <c r="C360" s="3" t="s">
        <v>2841</v>
      </c>
      <c r="D360" s="22" t="s">
        <v>2849</v>
      </c>
    </row>
    <row r="361" spans="1:4">
      <c r="A361" s="21" t="s">
        <v>2631</v>
      </c>
      <c r="B361" s="3" t="s">
        <v>844</v>
      </c>
      <c r="C361" s="3" t="s">
        <v>24</v>
      </c>
      <c r="D361" s="22" t="s">
        <v>2280</v>
      </c>
    </row>
    <row r="362" spans="1:4">
      <c r="A362" s="21" t="s">
        <v>2632</v>
      </c>
      <c r="B362" s="3" t="s">
        <v>845</v>
      </c>
      <c r="C362" s="3" t="s">
        <v>2843</v>
      </c>
      <c r="D362" s="22" t="s">
        <v>2849</v>
      </c>
    </row>
    <row r="363" spans="1:4">
      <c r="A363" s="21" t="s">
        <v>2633</v>
      </c>
      <c r="B363" s="3" t="s">
        <v>846</v>
      </c>
      <c r="C363" s="3" t="s">
        <v>46</v>
      </c>
      <c r="D363" s="22" t="s">
        <v>2849</v>
      </c>
    </row>
    <row r="364" spans="1:4">
      <c r="A364" s="21" t="s">
        <v>2634</v>
      </c>
      <c r="B364" s="3" t="s">
        <v>847</v>
      </c>
      <c r="C364" s="3" t="s">
        <v>46</v>
      </c>
      <c r="D364" s="22" t="s">
        <v>2849</v>
      </c>
    </row>
    <row r="365" spans="1:4">
      <c r="A365" s="21" t="s">
        <v>2635</v>
      </c>
      <c r="B365" s="3" t="s">
        <v>848</v>
      </c>
      <c r="C365" s="3" t="s">
        <v>2843</v>
      </c>
      <c r="D365" s="22" t="s">
        <v>2849</v>
      </c>
    </row>
    <row r="366" spans="1:4">
      <c r="A366" s="21" t="s">
        <v>2636</v>
      </c>
      <c r="B366" s="3" t="s">
        <v>849</v>
      </c>
      <c r="C366" s="3" t="s">
        <v>2844</v>
      </c>
      <c r="D366" s="22" t="s">
        <v>2849</v>
      </c>
    </row>
    <row r="367" spans="1:4">
      <c r="A367" s="21" t="s">
        <v>2637</v>
      </c>
      <c r="B367" s="3" t="s">
        <v>850</v>
      </c>
      <c r="C367" s="3" t="s">
        <v>149</v>
      </c>
      <c r="D367" s="22" t="s">
        <v>2848</v>
      </c>
    </row>
    <row r="368" spans="1:4">
      <c r="A368" s="21" t="s">
        <v>2638</v>
      </c>
      <c r="B368" s="3" t="s">
        <v>851</v>
      </c>
      <c r="C368" s="3" t="s">
        <v>46</v>
      </c>
      <c r="D368" s="22" t="s">
        <v>2849</v>
      </c>
    </row>
    <row r="369" spans="1:4">
      <c r="A369" s="21" t="s">
        <v>2639</v>
      </c>
      <c r="B369" s="3" t="s">
        <v>852</v>
      </c>
      <c r="C369" s="3" t="s">
        <v>149</v>
      </c>
      <c r="D369" s="22" t="s">
        <v>2849</v>
      </c>
    </row>
    <row r="370" spans="1:4">
      <c r="A370" s="21" t="s">
        <v>2640</v>
      </c>
      <c r="B370" s="3" t="s">
        <v>853</v>
      </c>
      <c r="C370" s="3" t="s">
        <v>2843</v>
      </c>
      <c r="D370" s="22" t="s">
        <v>2849</v>
      </c>
    </row>
    <row r="371" spans="1:4">
      <c r="A371" s="21" t="s">
        <v>2641</v>
      </c>
      <c r="B371" s="3" t="s">
        <v>854</v>
      </c>
      <c r="C371" s="3" t="s">
        <v>2841</v>
      </c>
      <c r="D371" s="22" t="s">
        <v>2849</v>
      </c>
    </row>
    <row r="372" spans="1:4">
      <c r="A372" s="21" t="s">
        <v>2642</v>
      </c>
      <c r="B372" s="3" t="s">
        <v>855</v>
      </c>
      <c r="C372" s="3" t="s">
        <v>46</v>
      </c>
      <c r="D372" s="22" t="s">
        <v>2849</v>
      </c>
    </row>
    <row r="373" spans="1:4">
      <c r="A373" s="21" t="s">
        <v>2643</v>
      </c>
      <c r="B373" s="3" t="s">
        <v>856</v>
      </c>
      <c r="C373" s="3" t="s">
        <v>149</v>
      </c>
      <c r="D373" s="22" t="s">
        <v>2847</v>
      </c>
    </row>
    <row r="374" spans="1:4">
      <c r="A374" s="21" t="s">
        <v>2644</v>
      </c>
      <c r="B374" s="3" t="s">
        <v>857</v>
      </c>
      <c r="C374" s="3" t="s">
        <v>28</v>
      </c>
      <c r="D374" s="22" t="s">
        <v>2849</v>
      </c>
    </row>
    <row r="375" spans="1:4">
      <c r="A375" s="21" t="s">
        <v>2645</v>
      </c>
      <c r="B375" s="3" t="s">
        <v>858</v>
      </c>
      <c r="C375" s="3" t="s">
        <v>46</v>
      </c>
      <c r="D375" s="22" t="s">
        <v>2282</v>
      </c>
    </row>
    <row r="376" spans="1:4">
      <c r="A376" s="21" t="s">
        <v>2646</v>
      </c>
      <c r="B376" s="3" t="s">
        <v>859</v>
      </c>
      <c r="C376" s="3" t="s">
        <v>2841</v>
      </c>
      <c r="D376" s="22" t="s">
        <v>2849</v>
      </c>
    </row>
    <row r="377" spans="1:4">
      <c r="A377" s="21" t="s">
        <v>2647</v>
      </c>
      <c r="B377" s="3" t="s">
        <v>860</v>
      </c>
      <c r="C377" s="3" t="s">
        <v>24</v>
      </c>
      <c r="D377" s="22" t="s">
        <v>2849</v>
      </c>
    </row>
    <row r="378" spans="1:4">
      <c r="A378" s="21" t="s">
        <v>2648</v>
      </c>
      <c r="B378" s="3" t="s">
        <v>861</v>
      </c>
      <c r="C378" s="3" t="s">
        <v>2843</v>
      </c>
      <c r="D378" s="22" t="s">
        <v>2849</v>
      </c>
    </row>
    <row r="379" spans="1:4">
      <c r="A379" s="21" t="s">
        <v>2649</v>
      </c>
      <c r="B379" s="3" t="s">
        <v>862</v>
      </c>
      <c r="C379" s="3" t="s">
        <v>2844</v>
      </c>
      <c r="D379" s="22" t="s">
        <v>2849</v>
      </c>
    </row>
    <row r="380" spans="1:4">
      <c r="A380" s="21" t="s">
        <v>2650</v>
      </c>
      <c r="B380" s="3" t="s">
        <v>863</v>
      </c>
      <c r="C380" s="3" t="s">
        <v>2843</v>
      </c>
      <c r="D380" s="22" t="s">
        <v>2849</v>
      </c>
    </row>
    <row r="381" spans="1:4">
      <c r="A381" s="21" t="s">
        <v>2651</v>
      </c>
      <c r="B381" s="3" t="s">
        <v>864</v>
      </c>
      <c r="C381" s="3" t="s">
        <v>2842</v>
      </c>
      <c r="D381" s="22" t="s">
        <v>2846</v>
      </c>
    </row>
    <row r="382" spans="1:4">
      <c r="A382" s="21" t="s">
        <v>2652</v>
      </c>
      <c r="B382" s="3" t="s">
        <v>865</v>
      </c>
      <c r="C382" s="3" t="s">
        <v>2843</v>
      </c>
      <c r="D382" s="22" t="s">
        <v>2849</v>
      </c>
    </row>
    <row r="383" spans="1:4">
      <c r="A383" s="21" t="s">
        <v>2653</v>
      </c>
      <c r="B383" s="3" t="s">
        <v>866</v>
      </c>
      <c r="C383" s="3" t="s">
        <v>24</v>
      </c>
      <c r="D383" s="22" t="s">
        <v>2849</v>
      </c>
    </row>
    <row r="384" spans="1:4">
      <c r="A384" s="21" t="s">
        <v>2654</v>
      </c>
      <c r="B384" s="3" t="s">
        <v>867</v>
      </c>
      <c r="C384" s="3" t="s">
        <v>2841</v>
      </c>
      <c r="D384" s="22" t="s">
        <v>2849</v>
      </c>
    </row>
    <row r="385" spans="1:4">
      <c r="A385" s="21" t="s">
        <v>2655</v>
      </c>
      <c r="B385" s="3" t="s">
        <v>868</v>
      </c>
      <c r="C385" s="3" t="s">
        <v>24</v>
      </c>
      <c r="D385" s="22" t="s">
        <v>2280</v>
      </c>
    </row>
    <row r="386" spans="1:4">
      <c r="A386" s="21" t="s">
        <v>2656</v>
      </c>
      <c r="B386" s="3" t="s">
        <v>869</v>
      </c>
      <c r="C386" s="3" t="s">
        <v>2843</v>
      </c>
      <c r="D386" s="22" t="s">
        <v>2849</v>
      </c>
    </row>
    <row r="387" spans="1:4">
      <c r="A387" s="21" t="s">
        <v>2657</v>
      </c>
      <c r="B387" s="3" t="s">
        <v>870</v>
      </c>
      <c r="C387" s="3" t="s">
        <v>46</v>
      </c>
      <c r="D387" s="22" t="s">
        <v>2849</v>
      </c>
    </row>
    <row r="388" spans="1:4">
      <c r="A388" s="21" t="s">
        <v>2658</v>
      </c>
      <c r="B388" s="3" t="s">
        <v>871</v>
      </c>
      <c r="C388" s="3" t="s">
        <v>46</v>
      </c>
      <c r="D388" s="22" t="s">
        <v>2849</v>
      </c>
    </row>
    <row r="389" spans="1:4">
      <c r="A389" s="21" t="s">
        <v>2659</v>
      </c>
      <c r="B389" s="3" t="s">
        <v>872</v>
      </c>
      <c r="C389" s="3" t="s">
        <v>2843</v>
      </c>
      <c r="D389" s="22" t="s">
        <v>2849</v>
      </c>
    </row>
    <row r="390" spans="1:4">
      <c r="A390" s="21" t="s">
        <v>2660</v>
      </c>
      <c r="B390" s="3" t="s">
        <v>873</v>
      </c>
      <c r="C390" s="3" t="s">
        <v>2844</v>
      </c>
      <c r="D390" s="22" t="s">
        <v>2849</v>
      </c>
    </row>
    <row r="391" spans="1:4">
      <c r="A391" s="21" t="s">
        <v>2661</v>
      </c>
      <c r="B391" s="3" t="s">
        <v>874</v>
      </c>
      <c r="C391" s="3" t="s">
        <v>149</v>
      </c>
      <c r="D391" s="22" t="s">
        <v>2848</v>
      </c>
    </row>
    <row r="392" spans="1:4">
      <c r="A392" s="21" t="s">
        <v>2662</v>
      </c>
      <c r="B392" s="3" t="s">
        <v>875</v>
      </c>
      <c r="C392" s="3" t="s">
        <v>46</v>
      </c>
      <c r="D392" s="22" t="s">
        <v>2849</v>
      </c>
    </row>
    <row r="393" spans="1:4">
      <c r="A393" s="21" t="s">
        <v>2663</v>
      </c>
      <c r="B393" s="3" t="s">
        <v>876</v>
      </c>
      <c r="C393" s="3" t="s">
        <v>149</v>
      </c>
      <c r="D393" s="22" t="s">
        <v>2849</v>
      </c>
    </row>
    <row r="394" spans="1:4">
      <c r="A394" s="21" t="s">
        <v>2664</v>
      </c>
      <c r="B394" s="3" t="s">
        <v>877</v>
      </c>
      <c r="C394" s="3" t="s">
        <v>2843</v>
      </c>
      <c r="D394" s="22" t="s">
        <v>2849</v>
      </c>
    </row>
    <row r="395" spans="1:4">
      <c r="A395" s="21" t="s">
        <v>2665</v>
      </c>
      <c r="B395" s="3" t="s">
        <v>878</v>
      </c>
      <c r="C395" s="3" t="s">
        <v>2841</v>
      </c>
      <c r="D395" s="22" t="s">
        <v>2849</v>
      </c>
    </row>
    <row r="396" spans="1:4">
      <c r="A396" s="21" t="s">
        <v>2666</v>
      </c>
      <c r="B396" s="3" t="s">
        <v>879</v>
      </c>
      <c r="C396" s="3" t="s">
        <v>46</v>
      </c>
      <c r="D396" s="22" t="s">
        <v>2849</v>
      </c>
    </row>
    <row r="397" spans="1:4">
      <c r="A397" s="21" t="s">
        <v>2667</v>
      </c>
      <c r="B397" s="3" t="s">
        <v>880</v>
      </c>
      <c r="C397" s="3" t="s">
        <v>149</v>
      </c>
      <c r="D397" s="22" t="s">
        <v>2847</v>
      </c>
    </row>
    <row r="398" spans="1:4">
      <c r="A398" s="21" t="s">
        <v>2668</v>
      </c>
      <c r="B398" s="3" t="s">
        <v>881</v>
      </c>
      <c r="C398" s="3" t="s">
        <v>28</v>
      </c>
      <c r="D398" s="22" t="s">
        <v>2849</v>
      </c>
    </row>
    <row r="399" spans="1:4">
      <c r="A399" s="21" t="s">
        <v>2669</v>
      </c>
      <c r="B399" s="3" t="s">
        <v>882</v>
      </c>
      <c r="C399" s="3" t="s">
        <v>46</v>
      </c>
      <c r="D399" s="22" t="s">
        <v>2282</v>
      </c>
    </row>
    <row r="400" spans="1:4">
      <c r="A400" s="21" t="s">
        <v>2670</v>
      </c>
      <c r="B400" s="3" t="s">
        <v>883</v>
      </c>
      <c r="C400" s="3" t="s">
        <v>2841</v>
      </c>
      <c r="D400" s="22" t="s">
        <v>2849</v>
      </c>
    </row>
    <row r="401" spans="1:4">
      <c r="A401" s="21" t="s">
        <v>2671</v>
      </c>
      <c r="B401" s="3" t="s">
        <v>884</v>
      </c>
      <c r="C401" s="3" t="s">
        <v>24</v>
      </c>
      <c r="D401" s="22" t="s">
        <v>2849</v>
      </c>
    </row>
    <row r="402" spans="1:4">
      <c r="A402" s="21" t="s">
        <v>2672</v>
      </c>
      <c r="B402" s="3" t="s">
        <v>885</v>
      </c>
      <c r="C402" s="3" t="s">
        <v>2843</v>
      </c>
      <c r="D402" s="22" t="s">
        <v>2849</v>
      </c>
    </row>
    <row r="403" spans="1:4">
      <c r="A403" s="21" t="s">
        <v>2673</v>
      </c>
      <c r="B403" s="3" t="s">
        <v>886</v>
      </c>
      <c r="C403" s="3" t="s">
        <v>2844</v>
      </c>
      <c r="D403" s="22" t="s">
        <v>2849</v>
      </c>
    </row>
    <row r="404" spans="1:4">
      <c r="A404" s="21" t="s">
        <v>2674</v>
      </c>
      <c r="B404" s="3" t="s">
        <v>887</v>
      </c>
      <c r="C404" s="3" t="s">
        <v>2843</v>
      </c>
      <c r="D404" s="22" t="s">
        <v>2849</v>
      </c>
    </row>
    <row r="405" spans="1:4">
      <c r="A405" s="21" t="s">
        <v>2675</v>
      </c>
      <c r="B405" s="3" t="s">
        <v>888</v>
      </c>
      <c r="C405" s="3" t="s">
        <v>2842</v>
      </c>
      <c r="D405" s="22" t="s">
        <v>2846</v>
      </c>
    </row>
    <row r="406" spans="1:4">
      <c r="A406" s="21" t="s">
        <v>2676</v>
      </c>
      <c r="B406" s="3" t="s">
        <v>889</v>
      </c>
      <c r="C406" s="3" t="s">
        <v>2843</v>
      </c>
      <c r="D406" s="22" t="s">
        <v>2849</v>
      </c>
    </row>
    <row r="407" spans="1:4">
      <c r="A407" s="21" t="s">
        <v>2677</v>
      </c>
      <c r="B407" s="3" t="s">
        <v>890</v>
      </c>
      <c r="C407" s="3" t="s">
        <v>24</v>
      </c>
      <c r="D407" s="22" t="s">
        <v>2849</v>
      </c>
    </row>
    <row r="408" spans="1:4">
      <c r="A408" s="21" t="s">
        <v>2678</v>
      </c>
      <c r="B408" s="3" t="s">
        <v>891</v>
      </c>
      <c r="C408" s="3" t="s">
        <v>2841</v>
      </c>
      <c r="D408" s="22" t="s">
        <v>2849</v>
      </c>
    </row>
    <row r="409" spans="1:4">
      <c r="A409" s="21" t="s">
        <v>2679</v>
      </c>
      <c r="B409" s="3" t="s">
        <v>892</v>
      </c>
      <c r="C409" s="3" t="s">
        <v>24</v>
      </c>
      <c r="D409" s="22" t="s">
        <v>2280</v>
      </c>
    </row>
    <row r="410" spans="1:4">
      <c r="A410" s="21" t="s">
        <v>2680</v>
      </c>
      <c r="B410" s="3" t="s">
        <v>893</v>
      </c>
      <c r="C410" s="3" t="s">
        <v>2843</v>
      </c>
      <c r="D410" s="22" t="s">
        <v>2849</v>
      </c>
    </row>
    <row r="411" spans="1:4">
      <c r="A411" s="21" t="s">
        <v>2681</v>
      </c>
      <c r="B411" s="3" t="s">
        <v>894</v>
      </c>
      <c r="C411" s="3" t="s">
        <v>46</v>
      </c>
      <c r="D411" s="22" t="s">
        <v>2849</v>
      </c>
    </row>
    <row r="412" spans="1:4">
      <c r="A412" s="21" t="s">
        <v>2682</v>
      </c>
      <c r="B412" s="3" t="s">
        <v>895</v>
      </c>
      <c r="C412" s="3" t="s">
        <v>46</v>
      </c>
      <c r="D412" s="22" t="s">
        <v>2849</v>
      </c>
    </row>
    <row r="413" spans="1:4">
      <c r="A413" s="21" t="s">
        <v>2683</v>
      </c>
      <c r="B413" s="3" t="s">
        <v>896</v>
      </c>
      <c r="C413" s="3" t="s">
        <v>2843</v>
      </c>
      <c r="D413" s="22" t="s">
        <v>2849</v>
      </c>
    </row>
    <row r="414" spans="1:4">
      <c r="A414" s="21" t="s">
        <v>2684</v>
      </c>
      <c r="B414" s="3" t="s">
        <v>897</v>
      </c>
      <c r="C414" s="3" t="s">
        <v>2844</v>
      </c>
      <c r="D414" s="22" t="s">
        <v>2849</v>
      </c>
    </row>
    <row r="415" spans="1:4">
      <c r="A415" s="21" t="s">
        <v>2685</v>
      </c>
      <c r="B415" s="3" t="s">
        <v>898</v>
      </c>
      <c r="C415" s="3" t="s">
        <v>149</v>
      </c>
      <c r="D415" s="22" t="s">
        <v>2848</v>
      </c>
    </row>
    <row r="416" spans="1:4">
      <c r="A416" s="21" t="s">
        <v>2686</v>
      </c>
      <c r="B416" s="3" t="s">
        <v>899</v>
      </c>
      <c r="C416" s="3" t="s">
        <v>46</v>
      </c>
      <c r="D416" s="22" t="s">
        <v>2849</v>
      </c>
    </row>
    <row r="417" spans="1:4">
      <c r="A417" s="21" t="s">
        <v>2687</v>
      </c>
      <c r="B417" s="3" t="s">
        <v>900</v>
      </c>
      <c r="C417" s="3" t="s">
        <v>149</v>
      </c>
      <c r="D417" s="22" t="s">
        <v>2849</v>
      </c>
    </row>
    <row r="418" spans="1:4">
      <c r="A418" s="21" t="s">
        <v>2688</v>
      </c>
      <c r="B418" s="3" t="s">
        <v>901</v>
      </c>
      <c r="C418" s="3" t="s">
        <v>2843</v>
      </c>
      <c r="D418" s="22" t="s">
        <v>2849</v>
      </c>
    </row>
    <row r="419" spans="1:4">
      <c r="A419" s="21" t="s">
        <v>2689</v>
      </c>
      <c r="B419" s="3" t="s">
        <v>902</v>
      </c>
      <c r="C419" s="3" t="s">
        <v>2841</v>
      </c>
      <c r="D419" s="22" t="s">
        <v>2849</v>
      </c>
    </row>
    <row r="420" spans="1:4">
      <c r="A420" s="21" t="s">
        <v>2690</v>
      </c>
      <c r="B420" s="3" t="s">
        <v>903</v>
      </c>
      <c r="C420" s="3" t="s">
        <v>46</v>
      </c>
      <c r="D420" s="22" t="s">
        <v>2849</v>
      </c>
    </row>
    <row r="421" spans="1:4">
      <c r="A421" s="21" t="s">
        <v>2691</v>
      </c>
      <c r="B421" s="3" t="s">
        <v>904</v>
      </c>
      <c r="C421" s="3" t="s">
        <v>149</v>
      </c>
      <c r="D421" s="22" t="s">
        <v>2847</v>
      </c>
    </row>
    <row r="422" spans="1:4">
      <c r="A422" s="21" t="s">
        <v>2692</v>
      </c>
      <c r="B422" s="3" t="s">
        <v>905</v>
      </c>
      <c r="C422" s="3" t="s">
        <v>28</v>
      </c>
      <c r="D422" s="22" t="s">
        <v>2849</v>
      </c>
    </row>
    <row r="423" spans="1:4">
      <c r="A423" s="21" t="s">
        <v>2693</v>
      </c>
      <c r="B423" s="3" t="s">
        <v>906</v>
      </c>
      <c r="C423" s="3" t="s">
        <v>46</v>
      </c>
      <c r="D423" s="22" t="s">
        <v>2282</v>
      </c>
    </row>
    <row r="424" spans="1:4">
      <c r="A424" s="21" t="s">
        <v>2694</v>
      </c>
      <c r="B424" s="3" t="s">
        <v>907</v>
      </c>
      <c r="C424" s="3" t="s">
        <v>2841</v>
      </c>
      <c r="D424" s="22" t="s">
        <v>2849</v>
      </c>
    </row>
    <row r="425" spans="1:4">
      <c r="A425" s="21" t="s">
        <v>2695</v>
      </c>
      <c r="B425" s="3" t="s">
        <v>908</v>
      </c>
      <c r="C425" s="3" t="s">
        <v>24</v>
      </c>
      <c r="D425" s="22" t="s">
        <v>2849</v>
      </c>
    </row>
    <row r="426" spans="1:4">
      <c r="A426" s="21" t="s">
        <v>2696</v>
      </c>
      <c r="B426" s="3" t="s">
        <v>909</v>
      </c>
      <c r="C426" s="3" t="s">
        <v>2843</v>
      </c>
      <c r="D426" s="22" t="s">
        <v>2849</v>
      </c>
    </row>
    <row r="427" spans="1:4">
      <c r="A427" s="21" t="s">
        <v>2697</v>
      </c>
      <c r="B427" s="3" t="s">
        <v>910</v>
      </c>
      <c r="C427" s="3" t="s">
        <v>2844</v>
      </c>
      <c r="D427" s="22" t="s">
        <v>2849</v>
      </c>
    </row>
    <row r="428" spans="1:4">
      <c r="A428" s="21" t="s">
        <v>2698</v>
      </c>
      <c r="B428" s="3" t="s">
        <v>911</v>
      </c>
      <c r="C428" s="3" t="s">
        <v>2843</v>
      </c>
      <c r="D428" s="22" t="s">
        <v>2849</v>
      </c>
    </row>
    <row r="429" spans="1:4">
      <c r="A429" s="21" t="s">
        <v>2699</v>
      </c>
      <c r="B429" s="3" t="s">
        <v>912</v>
      </c>
      <c r="C429" s="3" t="s">
        <v>2842</v>
      </c>
      <c r="D429" s="22" t="s">
        <v>2846</v>
      </c>
    </row>
    <row r="430" spans="1:4">
      <c r="A430" s="21" t="s">
        <v>2700</v>
      </c>
      <c r="B430" s="3" t="s">
        <v>913</v>
      </c>
      <c r="C430" s="3" t="s">
        <v>2843</v>
      </c>
      <c r="D430" s="22" t="s">
        <v>2849</v>
      </c>
    </row>
    <row r="431" spans="1:4">
      <c r="A431" s="21" t="s">
        <v>2701</v>
      </c>
      <c r="B431" s="3" t="s">
        <v>914</v>
      </c>
      <c r="C431" s="3" t="s">
        <v>24</v>
      </c>
      <c r="D431" s="22" t="s">
        <v>2849</v>
      </c>
    </row>
    <row r="432" spans="1:4">
      <c r="A432" s="21" t="s">
        <v>2702</v>
      </c>
      <c r="B432" s="3" t="s">
        <v>915</v>
      </c>
      <c r="C432" s="3" t="s">
        <v>2841</v>
      </c>
      <c r="D432" s="22" t="s">
        <v>2849</v>
      </c>
    </row>
    <row r="433" spans="1:4">
      <c r="A433" s="21" t="s">
        <v>2703</v>
      </c>
      <c r="B433" s="3" t="s">
        <v>916</v>
      </c>
      <c r="C433" s="3" t="s">
        <v>24</v>
      </c>
      <c r="D433" s="22" t="s">
        <v>2280</v>
      </c>
    </row>
    <row r="434" spans="1:4">
      <c r="A434" s="21" t="s">
        <v>2704</v>
      </c>
      <c r="B434" s="3" t="s">
        <v>917</v>
      </c>
      <c r="C434" s="3" t="s">
        <v>2843</v>
      </c>
      <c r="D434" s="22" t="s">
        <v>2849</v>
      </c>
    </row>
    <row r="435" spans="1:4">
      <c r="A435" s="21" t="s">
        <v>2705</v>
      </c>
      <c r="B435" s="3" t="s">
        <v>918</v>
      </c>
      <c r="C435" s="3" t="s">
        <v>46</v>
      </c>
      <c r="D435" s="22" t="s">
        <v>2849</v>
      </c>
    </row>
    <row r="436" spans="1:4">
      <c r="A436" s="21" t="s">
        <v>2706</v>
      </c>
      <c r="B436" s="3" t="s">
        <v>919</v>
      </c>
      <c r="C436" s="3" t="s">
        <v>46</v>
      </c>
      <c r="D436" s="22" t="s">
        <v>2849</v>
      </c>
    </row>
    <row r="437" spans="1:4">
      <c r="A437" s="21" t="s">
        <v>2707</v>
      </c>
      <c r="B437" s="3" t="s">
        <v>920</v>
      </c>
      <c r="C437" s="3" t="s">
        <v>2843</v>
      </c>
      <c r="D437" s="22" t="s">
        <v>2849</v>
      </c>
    </row>
    <row r="438" spans="1:4">
      <c r="A438" s="21" t="s">
        <v>2708</v>
      </c>
      <c r="B438" s="3" t="s">
        <v>921</v>
      </c>
      <c r="C438" s="3" t="s">
        <v>2844</v>
      </c>
      <c r="D438" s="22" t="s">
        <v>2849</v>
      </c>
    </row>
    <row r="439" spans="1:4">
      <c r="A439" s="21" t="s">
        <v>2709</v>
      </c>
      <c r="B439" s="3" t="s">
        <v>922</v>
      </c>
      <c r="C439" s="3" t="s">
        <v>149</v>
      </c>
      <c r="D439" s="22" t="s">
        <v>2848</v>
      </c>
    </row>
    <row r="440" spans="1:4">
      <c r="A440" s="21" t="s">
        <v>2710</v>
      </c>
      <c r="B440" s="3" t="s">
        <v>923</v>
      </c>
      <c r="C440" s="3" t="s">
        <v>46</v>
      </c>
      <c r="D440" s="22" t="s">
        <v>2849</v>
      </c>
    </row>
    <row r="441" spans="1:4">
      <c r="A441" s="21" t="s">
        <v>2711</v>
      </c>
      <c r="B441" s="3" t="s">
        <v>924</v>
      </c>
      <c r="C441" s="3" t="s">
        <v>149</v>
      </c>
      <c r="D441" s="22" t="s">
        <v>2849</v>
      </c>
    </row>
    <row r="442" spans="1:4">
      <c r="A442" s="21" t="s">
        <v>2712</v>
      </c>
      <c r="B442" s="3" t="s">
        <v>925</v>
      </c>
      <c r="C442" s="3" t="s">
        <v>2843</v>
      </c>
      <c r="D442" s="22" t="s">
        <v>2849</v>
      </c>
    </row>
    <row r="443" spans="1:4">
      <c r="A443" s="21" t="s">
        <v>2713</v>
      </c>
      <c r="B443" s="3" t="s">
        <v>926</v>
      </c>
      <c r="C443" s="3" t="s">
        <v>2841</v>
      </c>
      <c r="D443" s="22" t="s">
        <v>2849</v>
      </c>
    </row>
    <row r="444" spans="1:4">
      <c r="A444" s="21" t="s">
        <v>2714</v>
      </c>
      <c r="B444" s="3" t="s">
        <v>927</v>
      </c>
      <c r="C444" s="3" t="s">
        <v>46</v>
      </c>
      <c r="D444" s="22" t="s">
        <v>2849</v>
      </c>
    </row>
    <row r="445" spans="1:4">
      <c r="A445" s="21" t="s">
        <v>2715</v>
      </c>
      <c r="B445" s="3" t="s">
        <v>928</v>
      </c>
      <c r="C445" s="3" t="s">
        <v>149</v>
      </c>
      <c r="D445" s="22" t="s">
        <v>2847</v>
      </c>
    </row>
    <row r="446" spans="1:4">
      <c r="A446" s="21" t="s">
        <v>2716</v>
      </c>
      <c r="B446" s="3" t="s">
        <v>929</v>
      </c>
      <c r="C446" s="3" t="s">
        <v>28</v>
      </c>
      <c r="D446" s="22" t="s">
        <v>2849</v>
      </c>
    </row>
    <row r="447" spans="1:4">
      <c r="A447" s="21" t="s">
        <v>2717</v>
      </c>
      <c r="B447" s="3" t="s">
        <v>930</v>
      </c>
      <c r="C447" s="3" t="s">
        <v>46</v>
      </c>
      <c r="D447" s="22" t="s">
        <v>2282</v>
      </c>
    </row>
    <row r="448" spans="1:4">
      <c r="A448" s="21" t="s">
        <v>2718</v>
      </c>
      <c r="B448" s="3" t="s">
        <v>931</v>
      </c>
      <c r="C448" s="3" t="s">
        <v>2841</v>
      </c>
      <c r="D448" s="22" t="s">
        <v>2849</v>
      </c>
    </row>
    <row r="449" spans="1:4">
      <c r="A449" s="21" t="s">
        <v>2719</v>
      </c>
      <c r="B449" s="3" t="s">
        <v>932</v>
      </c>
      <c r="C449" s="3" t="s">
        <v>24</v>
      </c>
      <c r="D449" s="22" t="s">
        <v>2849</v>
      </c>
    </row>
    <row r="450" spans="1:4">
      <c r="A450" s="21" t="s">
        <v>2720</v>
      </c>
      <c r="B450" s="3" t="s">
        <v>933</v>
      </c>
      <c r="C450" s="3" t="s">
        <v>2843</v>
      </c>
      <c r="D450" s="22" t="s">
        <v>2849</v>
      </c>
    </row>
    <row r="451" spans="1:4">
      <c r="A451" s="21" t="s">
        <v>2721</v>
      </c>
      <c r="B451" s="3" t="s">
        <v>934</v>
      </c>
      <c r="C451" s="3" t="s">
        <v>2844</v>
      </c>
      <c r="D451" s="22" t="s">
        <v>2849</v>
      </c>
    </row>
    <row r="452" spans="1:4">
      <c r="A452" s="21" t="s">
        <v>2722</v>
      </c>
      <c r="B452" s="3" t="s">
        <v>935</v>
      </c>
      <c r="C452" s="3" t="s">
        <v>2843</v>
      </c>
      <c r="D452" s="22" t="s">
        <v>2849</v>
      </c>
    </row>
    <row r="453" spans="1:4">
      <c r="A453" s="21" t="s">
        <v>2723</v>
      </c>
      <c r="B453" s="3" t="s">
        <v>936</v>
      </c>
      <c r="C453" s="3" t="s">
        <v>2842</v>
      </c>
      <c r="D453" s="22" t="s">
        <v>2846</v>
      </c>
    </row>
    <row r="454" spans="1:4">
      <c r="A454" s="21" t="s">
        <v>2724</v>
      </c>
      <c r="B454" s="3" t="s">
        <v>937</v>
      </c>
      <c r="C454" s="3" t="s">
        <v>2843</v>
      </c>
      <c r="D454" s="22" t="s">
        <v>2849</v>
      </c>
    </row>
    <row r="455" spans="1:4">
      <c r="A455" s="21" t="s">
        <v>2725</v>
      </c>
      <c r="B455" s="3" t="s">
        <v>938</v>
      </c>
      <c r="C455" s="3" t="s">
        <v>24</v>
      </c>
      <c r="D455" s="22" t="s">
        <v>2849</v>
      </c>
    </row>
    <row r="456" spans="1:4">
      <c r="A456" s="21" t="s">
        <v>2726</v>
      </c>
      <c r="B456" s="3" t="s">
        <v>939</v>
      </c>
      <c r="C456" s="3" t="s">
        <v>2841</v>
      </c>
      <c r="D456" s="22" t="s">
        <v>2849</v>
      </c>
    </row>
    <row r="457" spans="1:4">
      <c r="A457" s="21" t="s">
        <v>2727</v>
      </c>
      <c r="B457" s="3" t="s">
        <v>940</v>
      </c>
      <c r="C457" s="3" t="s">
        <v>24</v>
      </c>
      <c r="D457" s="22" t="s">
        <v>2280</v>
      </c>
    </row>
    <row r="458" spans="1:4">
      <c r="A458" s="21" t="s">
        <v>2728</v>
      </c>
      <c r="B458" s="3" t="s">
        <v>941</v>
      </c>
      <c r="C458" s="3" t="s">
        <v>2843</v>
      </c>
      <c r="D458" s="22" t="s">
        <v>2849</v>
      </c>
    </row>
    <row r="459" spans="1:4">
      <c r="A459" s="21" t="s">
        <v>2729</v>
      </c>
      <c r="B459" s="3" t="s">
        <v>942</v>
      </c>
      <c r="C459" s="3" t="s">
        <v>46</v>
      </c>
      <c r="D459" s="22" t="s">
        <v>2849</v>
      </c>
    </row>
    <row r="460" spans="1:4">
      <c r="A460" s="21" t="s">
        <v>2730</v>
      </c>
      <c r="B460" s="3" t="s">
        <v>943</v>
      </c>
      <c r="C460" s="3" t="s">
        <v>46</v>
      </c>
      <c r="D460" s="22" t="s">
        <v>2849</v>
      </c>
    </row>
    <row r="461" spans="1:4">
      <c r="A461" s="21" t="s">
        <v>2731</v>
      </c>
      <c r="B461" s="3" t="s">
        <v>944</v>
      </c>
      <c r="C461" s="3" t="s">
        <v>2843</v>
      </c>
      <c r="D461" s="22" t="s">
        <v>2849</v>
      </c>
    </row>
    <row r="462" spans="1:4">
      <c r="A462" s="21" t="s">
        <v>2732</v>
      </c>
      <c r="B462" s="3" t="s">
        <v>945</v>
      </c>
      <c r="C462" s="3" t="s">
        <v>2844</v>
      </c>
      <c r="D462" s="22" t="s">
        <v>2849</v>
      </c>
    </row>
    <row r="463" spans="1:4">
      <c r="A463" s="21" t="s">
        <v>2733</v>
      </c>
      <c r="B463" s="3" t="s">
        <v>946</v>
      </c>
      <c r="C463" s="3" t="s">
        <v>149</v>
      </c>
      <c r="D463" s="22" t="s">
        <v>2848</v>
      </c>
    </row>
    <row r="464" spans="1:4">
      <c r="A464" s="21" t="s">
        <v>2734</v>
      </c>
      <c r="B464" s="3" t="s">
        <v>947</v>
      </c>
      <c r="C464" s="3" t="s">
        <v>149</v>
      </c>
      <c r="D464" s="22" t="s">
        <v>2849</v>
      </c>
    </row>
    <row r="465" spans="1:4">
      <c r="A465" s="21" t="s">
        <v>2735</v>
      </c>
      <c r="B465" s="3" t="s">
        <v>948</v>
      </c>
      <c r="C465" s="3" t="s">
        <v>2843</v>
      </c>
      <c r="D465" s="22" t="s">
        <v>2849</v>
      </c>
    </row>
    <row r="466" spans="1:4">
      <c r="A466" s="21" t="s">
        <v>2736</v>
      </c>
      <c r="B466" s="3" t="s">
        <v>949</v>
      </c>
      <c r="C466" s="3" t="s">
        <v>2841</v>
      </c>
      <c r="D466" s="22" t="s">
        <v>2849</v>
      </c>
    </row>
    <row r="467" spans="1:4">
      <c r="A467" s="21" t="s">
        <v>2737</v>
      </c>
      <c r="B467" s="3" t="s">
        <v>950</v>
      </c>
      <c r="C467" s="3" t="s">
        <v>46</v>
      </c>
      <c r="D467" s="22" t="s">
        <v>2849</v>
      </c>
    </row>
    <row r="468" spans="1:4">
      <c r="A468" s="21" t="s">
        <v>2738</v>
      </c>
      <c r="B468" s="3" t="s">
        <v>951</v>
      </c>
      <c r="C468" s="3" t="s">
        <v>149</v>
      </c>
      <c r="D468" s="22" t="s">
        <v>2847</v>
      </c>
    </row>
    <row r="469" spans="1:4">
      <c r="A469" s="21" t="s">
        <v>2739</v>
      </c>
      <c r="B469" s="3" t="s">
        <v>952</v>
      </c>
      <c r="C469" s="3" t="s">
        <v>28</v>
      </c>
      <c r="D469" s="22" t="s">
        <v>2849</v>
      </c>
    </row>
    <row r="470" spans="1:4">
      <c r="A470" s="21" t="s">
        <v>2740</v>
      </c>
      <c r="B470" s="3" t="s">
        <v>953</v>
      </c>
      <c r="C470" s="3" t="s">
        <v>46</v>
      </c>
      <c r="D470" s="22" t="s">
        <v>2282</v>
      </c>
    </row>
    <row r="471" spans="1:4">
      <c r="A471" s="21" t="s">
        <v>2741</v>
      </c>
      <c r="B471" s="3" t="s">
        <v>954</v>
      </c>
      <c r="C471" s="3" t="s">
        <v>2841</v>
      </c>
      <c r="D471" s="22" t="s">
        <v>2849</v>
      </c>
    </row>
    <row r="472" spans="1:4">
      <c r="A472" s="21" t="s">
        <v>2742</v>
      </c>
      <c r="B472" s="3" t="s">
        <v>955</v>
      </c>
      <c r="C472" s="3" t="s">
        <v>24</v>
      </c>
      <c r="D472" s="22" t="s">
        <v>2849</v>
      </c>
    </row>
    <row r="473" spans="1:4">
      <c r="A473" s="21" t="s">
        <v>2743</v>
      </c>
      <c r="B473" s="3" t="s">
        <v>956</v>
      </c>
      <c r="C473" s="3" t="s">
        <v>2843</v>
      </c>
      <c r="D473" s="22" t="s">
        <v>2849</v>
      </c>
    </row>
    <row r="474" spans="1:4">
      <c r="A474" s="21" t="s">
        <v>2744</v>
      </c>
      <c r="B474" s="3" t="s">
        <v>957</v>
      </c>
      <c r="C474" s="3" t="s">
        <v>2844</v>
      </c>
      <c r="D474" s="22" t="s">
        <v>2849</v>
      </c>
    </row>
    <row r="475" spans="1:4">
      <c r="A475" s="21" t="s">
        <v>2745</v>
      </c>
      <c r="B475" s="3" t="s">
        <v>958</v>
      </c>
      <c r="C475" s="3" t="s">
        <v>2843</v>
      </c>
      <c r="D475" s="22" t="s">
        <v>2849</v>
      </c>
    </row>
    <row r="476" spans="1:4">
      <c r="A476" s="21" t="s">
        <v>2746</v>
      </c>
      <c r="B476" s="3" t="s">
        <v>959</v>
      </c>
      <c r="C476" s="3" t="s">
        <v>2842</v>
      </c>
      <c r="D476" s="22" t="s">
        <v>2846</v>
      </c>
    </row>
    <row r="477" spans="1:4">
      <c r="A477" s="21" t="s">
        <v>2747</v>
      </c>
      <c r="B477" s="3" t="s">
        <v>960</v>
      </c>
      <c r="C477" s="3" t="s">
        <v>2843</v>
      </c>
      <c r="D477" s="22" t="s">
        <v>2849</v>
      </c>
    </row>
    <row r="478" spans="1:4">
      <c r="A478" s="21" t="s">
        <v>2748</v>
      </c>
      <c r="B478" s="3" t="s">
        <v>961</v>
      </c>
      <c r="C478" s="3" t="s">
        <v>24</v>
      </c>
      <c r="D478" s="22" t="s">
        <v>2849</v>
      </c>
    </row>
    <row r="479" spans="1:4">
      <c r="A479" s="21" t="s">
        <v>2749</v>
      </c>
      <c r="B479" s="3" t="s">
        <v>962</v>
      </c>
      <c r="C479" s="3" t="s">
        <v>2841</v>
      </c>
      <c r="D479" s="22" t="s">
        <v>2849</v>
      </c>
    </row>
    <row r="480" spans="1:4">
      <c r="A480" s="21" t="s">
        <v>2750</v>
      </c>
      <c r="B480" s="3" t="s">
        <v>963</v>
      </c>
      <c r="C480" s="3" t="s">
        <v>24</v>
      </c>
      <c r="D480" s="22" t="s">
        <v>2280</v>
      </c>
    </row>
    <row r="481" spans="1:4">
      <c r="A481" s="21" t="s">
        <v>2751</v>
      </c>
      <c r="B481" s="3" t="s">
        <v>964</v>
      </c>
      <c r="C481" s="3" t="s">
        <v>2843</v>
      </c>
      <c r="D481" s="22" t="s">
        <v>2849</v>
      </c>
    </row>
    <row r="482" spans="1:4">
      <c r="A482" s="21" t="s">
        <v>2752</v>
      </c>
      <c r="B482" s="3" t="s">
        <v>965</v>
      </c>
      <c r="C482" s="3" t="s">
        <v>46</v>
      </c>
      <c r="D482" s="22" t="s">
        <v>2849</v>
      </c>
    </row>
    <row r="483" spans="1:4">
      <c r="A483" s="21" t="s">
        <v>2753</v>
      </c>
      <c r="B483" s="3" t="s">
        <v>966</v>
      </c>
      <c r="C483" s="3" t="s">
        <v>46</v>
      </c>
      <c r="D483" s="22" t="s">
        <v>2849</v>
      </c>
    </row>
    <row r="484" spans="1:4">
      <c r="A484" s="21" t="s">
        <v>2754</v>
      </c>
      <c r="B484" s="3" t="s">
        <v>967</v>
      </c>
      <c r="C484" s="3" t="s">
        <v>2843</v>
      </c>
      <c r="D484" s="22" t="s">
        <v>2849</v>
      </c>
    </row>
    <row r="485" spans="1:4">
      <c r="A485" s="21" t="s">
        <v>2755</v>
      </c>
      <c r="B485" s="3" t="s">
        <v>968</v>
      </c>
      <c r="C485" s="3" t="s">
        <v>2844</v>
      </c>
      <c r="D485" s="22" t="s">
        <v>2849</v>
      </c>
    </row>
    <row r="486" spans="1:4">
      <c r="A486" s="21" t="s">
        <v>2756</v>
      </c>
      <c r="B486" s="3" t="s">
        <v>969</v>
      </c>
      <c r="C486" s="3" t="s">
        <v>149</v>
      </c>
      <c r="D486" s="22" t="s">
        <v>2848</v>
      </c>
    </row>
    <row r="487" spans="1:4">
      <c r="A487" s="21" t="s">
        <v>2757</v>
      </c>
      <c r="B487" s="3" t="s">
        <v>970</v>
      </c>
      <c r="C487" s="3" t="s">
        <v>46</v>
      </c>
      <c r="D487" s="22" t="s">
        <v>2849</v>
      </c>
    </row>
    <row r="488" spans="1:4">
      <c r="A488" s="21" t="s">
        <v>2758</v>
      </c>
      <c r="B488" s="3" t="s">
        <v>971</v>
      </c>
      <c r="C488" s="3" t="s">
        <v>149</v>
      </c>
      <c r="D488" s="22" t="s">
        <v>2849</v>
      </c>
    </row>
    <row r="489" spans="1:4">
      <c r="A489" s="21" t="s">
        <v>2759</v>
      </c>
      <c r="B489" s="3" t="s">
        <v>972</v>
      </c>
      <c r="C489" s="3" t="s">
        <v>2843</v>
      </c>
      <c r="D489" s="22" t="s">
        <v>2849</v>
      </c>
    </row>
    <row r="490" spans="1:4">
      <c r="A490" s="21" t="s">
        <v>2760</v>
      </c>
      <c r="B490" s="3" t="s">
        <v>973</v>
      </c>
      <c r="C490" s="3" t="s">
        <v>2841</v>
      </c>
      <c r="D490" s="22" t="s">
        <v>2849</v>
      </c>
    </row>
    <row r="491" spans="1:4">
      <c r="A491" s="21" t="s">
        <v>2761</v>
      </c>
      <c r="B491" s="3" t="s">
        <v>974</v>
      </c>
      <c r="C491" s="3" t="s">
        <v>46</v>
      </c>
      <c r="D491" s="22" t="s">
        <v>2849</v>
      </c>
    </row>
    <row r="492" spans="1:4">
      <c r="A492" s="21" t="s">
        <v>2762</v>
      </c>
      <c r="B492" s="3" t="s">
        <v>975</v>
      </c>
      <c r="C492" s="3" t="s">
        <v>149</v>
      </c>
      <c r="D492" s="22" t="s">
        <v>2847</v>
      </c>
    </row>
    <row r="493" spans="1:4">
      <c r="A493" s="21" t="s">
        <v>2763</v>
      </c>
      <c r="B493" s="3" t="s">
        <v>976</v>
      </c>
      <c r="C493" s="3" t="s">
        <v>28</v>
      </c>
      <c r="D493" s="22" t="s">
        <v>2849</v>
      </c>
    </row>
    <row r="494" spans="1:4">
      <c r="A494" s="21" t="s">
        <v>2764</v>
      </c>
      <c r="B494" s="3" t="s">
        <v>977</v>
      </c>
      <c r="C494" s="3" t="s">
        <v>46</v>
      </c>
      <c r="D494" s="22" t="s">
        <v>2282</v>
      </c>
    </row>
    <row r="495" spans="1:4">
      <c r="A495" s="21" t="s">
        <v>2765</v>
      </c>
      <c r="B495" s="3" t="s">
        <v>978</v>
      </c>
      <c r="C495" s="3" t="s">
        <v>2841</v>
      </c>
      <c r="D495" s="22" t="s">
        <v>2849</v>
      </c>
    </row>
    <row r="496" spans="1:4">
      <c r="A496" s="21" t="s">
        <v>2766</v>
      </c>
      <c r="B496" s="3" t="s">
        <v>979</v>
      </c>
      <c r="C496" s="3" t="s">
        <v>24</v>
      </c>
      <c r="D496" s="22" t="s">
        <v>2849</v>
      </c>
    </row>
    <row r="497" spans="1:4">
      <c r="A497" s="21" t="s">
        <v>2767</v>
      </c>
      <c r="B497" s="3" t="s">
        <v>980</v>
      </c>
      <c r="C497" s="3" t="s">
        <v>2843</v>
      </c>
      <c r="D497" s="22" t="s">
        <v>2849</v>
      </c>
    </row>
    <row r="498" spans="1:4">
      <c r="A498" s="21" t="s">
        <v>2768</v>
      </c>
      <c r="B498" s="3" t="s">
        <v>981</v>
      </c>
      <c r="C498" s="3" t="s">
        <v>2844</v>
      </c>
      <c r="D498" s="22" t="s">
        <v>2849</v>
      </c>
    </row>
    <row r="499" spans="1:4">
      <c r="A499" s="21" t="s">
        <v>2769</v>
      </c>
      <c r="B499" s="3" t="s">
        <v>982</v>
      </c>
      <c r="C499" s="3" t="s">
        <v>2843</v>
      </c>
      <c r="D499" s="22" t="s">
        <v>2849</v>
      </c>
    </row>
    <row r="500" spans="1:4">
      <c r="A500" s="21" t="s">
        <v>2770</v>
      </c>
      <c r="B500" s="3" t="s">
        <v>983</v>
      </c>
      <c r="C500" s="3" t="s">
        <v>2842</v>
      </c>
      <c r="D500" s="22" t="s">
        <v>2846</v>
      </c>
    </row>
    <row r="501" spans="1:4">
      <c r="A501" s="21" t="s">
        <v>2771</v>
      </c>
      <c r="B501" s="3" t="s">
        <v>984</v>
      </c>
      <c r="C501" s="3" t="s">
        <v>2843</v>
      </c>
      <c r="D501" s="22" t="s">
        <v>2849</v>
      </c>
    </row>
    <row r="502" spans="1:4">
      <c r="A502" s="21" t="s">
        <v>2772</v>
      </c>
      <c r="B502" s="3" t="s">
        <v>985</v>
      </c>
      <c r="C502" s="3" t="s">
        <v>24</v>
      </c>
      <c r="D502" s="22" t="s">
        <v>2849</v>
      </c>
    </row>
    <row r="503" spans="1:4">
      <c r="A503" s="21" t="s">
        <v>2773</v>
      </c>
      <c r="B503" s="3" t="s">
        <v>986</v>
      </c>
      <c r="C503" s="3" t="s">
        <v>2841</v>
      </c>
      <c r="D503" s="22" t="s">
        <v>2849</v>
      </c>
    </row>
    <row r="504" spans="1:4">
      <c r="A504" s="21" t="s">
        <v>2774</v>
      </c>
      <c r="B504" s="3" t="s">
        <v>987</v>
      </c>
      <c r="C504" s="3" t="s">
        <v>24</v>
      </c>
      <c r="D504" s="22" t="s">
        <v>2280</v>
      </c>
    </row>
    <row r="505" spans="1:4">
      <c r="A505" s="21" t="s">
        <v>2775</v>
      </c>
      <c r="B505" s="3" t="s">
        <v>988</v>
      </c>
      <c r="C505" s="3" t="s">
        <v>2843</v>
      </c>
      <c r="D505" s="22" t="s">
        <v>2849</v>
      </c>
    </row>
    <row r="506" spans="1:4">
      <c r="A506" s="21" t="s">
        <v>2776</v>
      </c>
      <c r="B506" s="3" t="s">
        <v>989</v>
      </c>
      <c r="C506" s="3" t="s">
        <v>46</v>
      </c>
      <c r="D506" s="22" t="s">
        <v>2849</v>
      </c>
    </row>
    <row r="507" spans="1:4">
      <c r="A507" s="21" t="s">
        <v>2777</v>
      </c>
      <c r="B507" s="3" t="s">
        <v>990</v>
      </c>
      <c r="C507" s="3" t="s">
        <v>46</v>
      </c>
      <c r="D507" s="22" t="s">
        <v>2849</v>
      </c>
    </row>
    <row r="508" spans="1:4">
      <c r="A508" s="21" t="s">
        <v>2778</v>
      </c>
      <c r="B508" s="3" t="s">
        <v>991</v>
      </c>
      <c r="C508" s="3" t="s">
        <v>2843</v>
      </c>
      <c r="D508" s="22" t="s">
        <v>2849</v>
      </c>
    </row>
    <row r="509" spans="1:4">
      <c r="A509" s="21" t="s">
        <v>2779</v>
      </c>
      <c r="B509" s="3" t="s">
        <v>992</v>
      </c>
      <c r="C509" s="3" t="s">
        <v>2844</v>
      </c>
      <c r="D509" s="22" t="s">
        <v>2849</v>
      </c>
    </row>
    <row r="510" spans="1:4">
      <c r="A510" s="21" t="s">
        <v>2780</v>
      </c>
      <c r="B510" s="3" t="s">
        <v>993</v>
      </c>
      <c r="C510" s="3" t="s">
        <v>149</v>
      </c>
      <c r="D510" s="22" t="s">
        <v>2848</v>
      </c>
    </row>
    <row r="511" spans="1:4">
      <c r="A511" s="21" t="s">
        <v>2781</v>
      </c>
      <c r="B511" s="3" t="s">
        <v>994</v>
      </c>
      <c r="C511" s="3" t="s">
        <v>46</v>
      </c>
      <c r="D511" s="22" t="s">
        <v>2849</v>
      </c>
    </row>
    <row r="512" spans="1:4">
      <c r="A512" s="21" t="s">
        <v>2782</v>
      </c>
      <c r="B512" s="3" t="s">
        <v>995</v>
      </c>
      <c r="C512" s="3" t="s">
        <v>149</v>
      </c>
      <c r="D512" s="22" t="s">
        <v>2849</v>
      </c>
    </row>
    <row r="513" spans="1:4">
      <c r="A513" s="21" t="s">
        <v>2783</v>
      </c>
      <c r="B513" s="3" t="s">
        <v>996</v>
      </c>
      <c r="C513" s="3" t="s">
        <v>2841</v>
      </c>
      <c r="D513" s="22" t="s">
        <v>2849</v>
      </c>
    </row>
    <row r="514" spans="1:4">
      <c r="A514" s="21" t="s">
        <v>2784</v>
      </c>
      <c r="B514" s="3" t="s">
        <v>997</v>
      </c>
      <c r="C514" s="3" t="s">
        <v>46</v>
      </c>
      <c r="D514" s="22" t="s">
        <v>2849</v>
      </c>
    </row>
    <row r="515" spans="1:4">
      <c r="A515" s="21" t="s">
        <v>2785</v>
      </c>
      <c r="B515" s="3" t="s">
        <v>998</v>
      </c>
      <c r="C515" s="3" t="s">
        <v>149</v>
      </c>
      <c r="D515" s="22" t="s">
        <v>2847</v>
      </c>
    </row>
    <row r="516" spans="1:4">
      <c r="A516" s="21" t="s">
        <v>2786</v>
      </c>
      <c r="B516" s="3" t="s">
        <v>999</v>
      </c>
      <c r="C516" s="3" t="s">
        <v>28</v>
      </c>
      <c r="D516" s="22" t="s">
        <v>2849</v>
      </c>
    </row>
    <row r="517" spans="1:4">
      <c r="A517" s="21" t="s">
        <v>2787</v>
      </c>
      <c r="B517" s="3" t="s">
        <v>1000</v>
      </c>
      <c r="C517" s="3" t="s">
        <v>46</v>
      </c>
      <c r="D517" s="22" t="s">
        <v>2282</v>
      </c>
    </row>
    <row r="518" spans="1:4">
      <c r="A518" s="21" t="s">
        <v>2788</v>
      </c>
      <c r="B518" s="3" t="s">
        <v>1001</v>
      </c>
      <c r="C518" s="3" t="s">
        <v>2841</v>
      </c>
      <c r="D518" s="22" t="s">
        <v>2849</v>
      </c>
    </row>
    <row r="519" spans="1:4">
      <c r="A519" s="21" t="s">
        <v>2789</v>
      </c>
      <c r="B519" s="3" t="s">
        <v>1002</v>
      </c>
      <c r="C519" s="3" t="s">
        <v>24</v>
      </c>
      <c r="D519" s="22" t="s">
        <v>2849</v>
      </c>
    </row>
    <row r="520" spans="1:4">
      <c r="A520" s="21" t="s">
        <v>2790</v>
      </c>
      <c r="B520" s="3" t="s">
        <v>1003</v>
      </c>
      <c r="C520" s="3" t="s">
        <v>2843</v>
      </c>
      <c r="D520" s="22" t="s">
        <v>2849</v>
      </c>
    </row>
    <row r="521" spans="1:4">
      <c r="A521" s="21" t="s">
        <v>2791</v>
      </c>
      <c r="B521" s="3" t="s">
        <v>1004</v>
      </c>
      <c r="C521" s="3" t="s">
        <v>2844</v>
      </c>
      <c r="D521" s="22" t="s">
        <v>2849</v>
      </c>
    </row>
    <row r="522" spans="1:4">
      <c r="A522" s="21" t="s">
        <v>2792</v>
      </c>
      <c r="B522" s="3" t="s">
        <v>1005</v>
      </c>
      <c r="C522" s="3" t="s">
        <v>2843</v>
      </c>
      <c r="D522" s="22" t="s">
        <v>2849</v>
      </c>
    </row>
    <row r="523" spans="1:4">
      <c r="A523" s="21" t="s">
        <v>2793</v>
      </c>
      <c r="B523" s="3" t="s">
        <v>1006</v>
      </c>
      <c r="C523" s="3" t="s">
        <v>2842</v>
      </c>
      <c r="D523" s="22" t="s">
        <v>2846</v>
      </c>
    </row>
    <row r="524" spans="1:4">
      <c r="A524" s="21" t="s">
        <v>2794</v>
      </c>
      <c r="B524" s="3" t="s">
        <v>1007</v>
      </c>
      <c r="C524" s="3" t="s">
        <v>2843</v>
      </c>
      <c r="D524" s="22" t="s">
        <v>2849</v>
      </c>
    </row>
    <row r="525" spans="1:4">
      <c r="A525" s="21" t="s">
        <v>2795</v>
      </c>
      <c r="B525" s="3" t="s">
        <v>1008</v>
      </c>
      <c r="C525" s="3" t="s">
        <v>24</v>
      </c>
      <c r="D525" s="22" t="s">
        <v>2849</v>
      </c>
    </row>
    <row r="526" spans="1:4">
      <c r="A526" s="21" t="s">
        <v>2796</v>
      </c>
      <c r="B526" s="3" t="s">
        <v>1009</v>
      </c>
      <c r="C526" s="3" t="s">
        <v>2841</v>
      </c>
      <c r="D526" s="22" t="s">
        <v>2849</v>
      </c>
    </row>
    <row r="527" spans="1:4">
      <c r="A527" s="21" t="s">
        <v>2797</v>
      </c>
      <c r="B527" s="3" t="s">
        <v>1010</v>
      </c>
      <c r="C527" s="3" t="s">
        <v>24</v>
      </c>
      <c r="D527" s="22" t="s">
        <v>2280</v>
      </c>
    </row>
    <row r="528" spans="1:4">
      <c r="A528" s="21" t="s">
        <v>2798</v>
      </c>
      <c r="B528" s="3" t="s">
        <v>1011</v>
      </c>
      <c r="C528" s="3" t="s">
        <v>2843</v>
      </c>
      <c r="D528" s="22" t="s">
        <v>2849</v>
      </c>
    </row>
    <row r="529" spans="1:4">
      <c r="A529" s="21" t="s">
        <v>2799</v>
      </c>
      <c r="B529" s="3" t="s">
        <v>1012</v>
      </c>
      <c r="C529" s="3" t="s">
        <v>46</v>
      </c>
      <c r="D529" s="22" t="s">
        <v>2849</v>
      </c>
    </row>
    <row r="530" spans="1:4">
      <c r="A530" s="21" t="s">
        <v>2800</v>
      </c>
      <c r="B530" s="3" t="s">
        <v>1013</v>
      </c>
      <c r="C530" s="3" t="s">
        <v>46</v>
      </c>
      <c r="D530" s="22" t="s">
        <v>2849</v>
      </c>
    </row>
    <row r="531" spans="1:4">
      <c r="A531" s="21" t="s">
        <v>2801</v>
      </c>
      <c r="B531" s="3" t="s">
        <v>1014</v>
      </c>
      <c r="C531" s="3" t="s">
        <v>2843</v>
      </c>
      <c r="D531" s="22" t="s">
        <v>2849</v>
      </c>
    </row>
    <row r="532" spans="1:4">
      <c r="A532" s="21" t="s">
        <v>2802</v>
      </c>
      <c r="B532" s="3" t="s">
        <v>1015</v>
      </c>
      <c r="C532" s="3" t="s">
        <v>2844</v>
      </c>
      <c r="D532" s="22" t="s">
        <v>2849</v>
      </c>
    </row>
    <row r="533" spans="1:4">
      <c r="A533" s="21" t="s">
        <v>2803</v>
      </c>
      <c r="B533" s="3" t="s">
        <v>1016</v>
      </c>
      <c r="C533" s="3" t="s">
        <v>149</v>
      </c>
      <c r="D533" s="22" t="s">
        <v>2848</v>
      </c>
    </row>
    <row r="534" spans="1:4">
      <c r="A534" s="21" t="s">
        <v>2804</v>
      </c>
      <c r="B534" s="3" t="s">
        <v>1017</v>
      </c>
      <c r="C534" s="3" t="s">
        <v>46</v>
      </c>
      <c r="D534" s="22" t="s">
        <v>2849</v>
      </c>
    </row>
    <row r="535" spans="1:4">
      <c r="A535" s="21" t="s">
        <v>2805</v>
      </c>
      <c r="B535" s="3" t="s">
        <v>1018</v>
      </c>
      <c r="C535" s="3" t="s">
        <v>149</v>
      </c>
      <c r="D535" s="22" t="s">
        <v>2849</v>
      </c>
    </row>
    <row r="536" spans="1:4">
      <c r="A536" s="21" t="s">
        <v>2806</v>
      </c>
      <c r="B536" s="3" t="s">
        <v>1019</v>
      </c>
      <c r="C536" s="3" t="s">
        <v>2843</v>
      </c>
      <c r="D536" s="22" t="s">
        <v>2849</v>
      </c>
    </row>
    <row r="537" spans="1:4">
      <c r="A537" s="21" t="s">
        <v>2807</v>
      </c>
      <c r="B537" s="3" t="s">
        <v>1020</v>
      </c>
      <c r="C537" s="3" t="s">
        <v>2841</v>
      </c>
      <c r="D537" s="22" t="s">
        <v>2849</v>
      </c>
    </row>
    <row r="538" spans="1:4">
      <c r="A538" s="21" t="s">
        <v>2808</v>
      </c>
      <c r="B538" s="3" t="s">
        <v>1021</v>
      </c>
      <c r="C538" s="3" t="s">
        <v>46</v>
      </c>
      <c r="D538" s="22" t="s">
        <v>2849</v>
      </c>
    </row>
    <row r="539" spans="1:4">
      <c r="A539" s="21" t="s">
        <v>2809</v>
      </c>
      <c r="B539" s="3" t="s">
        <v>1022</v>
      </c>
      <c r="C539" s="3" t="s">
        <v>149</v>
      </c>
      <c r="D539" s="22" t="s">
        <v>2847</v>
      </c>
    </row>
    <row r="540" spans="1:4">
      <c r="A540" s="21" t="s">
        <v>2810</v>
      </c>
      <c r="B540" s="3" t="s">
        <v>1023</v>
      </c>
      <c r="C540" s="3" t="s">
        <v>28</v>
      </c>
      <c r="D540" s="22" t="s">
        <v>2849</v>
      </c>
    </row>
    <row r="541" spans="1:4">
      <c r="A541" s="21" t="s">
        <v>2811</v>
      </c>
      <c r="B541" s="3" t="s">
        <v>1024</v>
      </c>
      <c r="C541" s="3" t="s">
        <v>46</v>
      </c>
      <c r="D541" s="22" t="s">
        <v>2282</v>
      </c>
    </row>
    <row r="542" spans="1:4">
      <c r="A542" s="21" t="s">
        <v>2812</v>
      </c>
      <c r="B542" s="3" t="s">
        <v>1025</v>
      </c>
      <c r="C542" s="3" t="s">
        <v>2841</v>
      </c>
      <c r="D542" s="22" t="s">
        <v>2849</v>
      </c>
    </row>
    <row r="543" spans="1:4">
      <c r="A543" s="21" t="s">
        <v>2813</v>
      </c>
      <c r="B543" s="3" t="s">
        <v>1026</v>
      </c>
      <c r="C543" s="3" t="s">
        <v>24</v>
      </c>
      <c r="D543" s="22" t="s">
        <v>2849</v>
      </c>
    </row>
    <row r="544" spans="1:4">
      <c r="A544" s="21" t="s">
        <v>2814</v>
      </c>
      <c r="B544" s="3" t="s">
        <v>1027</v>
      </c>
      <c r="C544" s="3" t="s">
        <v>2843</v>
      </c>
      <c r="D544" s="22" t="s">
        <v>2849</v>
      </c>
    </row>
    <row r="545" spans="1:4">
      <c r="A545" s="21" t="s">
        <v>2815</v>
      </c>
      <c r="B545" s="3" t="s">
        <v>1028</v>
      </c>
      <c r="C545" s="3" t="s">
        <v>2844</v>
      </c>
      <c r="D545" s="22" t="s">
        <v>2849</v>
      </c>
    </row>
    <row r="546" spans="1:4">
      <c r="A546" s="21" t="s">
        <v>2816</v>
      </c>
      <c r="B546" s="3" t="s">
        <v>1029</v>
      </c>
      <c r="C546" s="3" t="s">
        <v>2843</v>
      </c>
      <c r="D546" s="22" t="s">
        <v>2849</v>
      </c>
    </row>
    <row r="547" spans="1:4">
      <c r="A547" s="21" t="s">
        <v>2817</v>
      </c>
      <c r="B547" s="3" t="s">
        <v>1030</v>
      </c>
      <c r="C547" s="3" t="s">
        <v>2842</v>
      </c>
      <c r="D547" s="22" t="s">
        <v>2846</v>
      </c>
    </row>
    <row r="548" spans="1:4">
      <c r="A548" s="21" t="s">
        <v>2818</v>
      </c>
      <c r="B548" s="3" t="s">
        <v>1031</v>
      </c>
      <c r="C548" s="3" t="s">
        <v>2843</v>
      </c>
      <c r="D548" s="22" t="s">
        <v>2849</v>
      </c>
    </row>
    <row r="549" spans="1:4">
      <c r="A549" s="21" t="s">
        <v>2819</v>
      </c>
      <c r="B549" s="3" t="s">
        <v>1032</v>
      </c>
      <c r="C549" s="3" t="s">
        <v>24</v>
      </c>
      <c r="D549" s="22" t="s">
        <v>2849</v>
      </c>
    </row>
    <row r="550" spans="1:4">
      <c r="A550" s="21" t="s">
        <v>2820</v>
      </c>
      <c r="B550" s="3" t="s">
        <v>1033</v>
      </c>
      <c r="C550" s="3" t="s">
        <v>2841</v>
      </c>
      <c r="D550" s="22" t="s">
        <v>2849</v>
      </c>
    </row>
    <row r="551" spans="1:4">
      <c r="A551" s="21" t="s">
        <v>2821</v>
      </c>
      <c r="B551" s="3" t="s">
        <v>1034</v>
      </c>
      <c r="C551" s="3" t="s">
        <v>24</v>
      </c>
      <c r="D551" s="22" t="s">
        <v>2280</v>
      </c>
    </row>
    <row r="552" spans="1:4">
      <c r="A552" s="21" t="s">
        <v>2822</v>
      </c>
      <c r="B552" s="3" t="s">
        <v>1035</v>
      </c>
      <c r="C552" s="3" t="s">
        <v>2843</v>
      </c>
      <c r="D552" s="22" t="s">
        <v>2849</v>
      </c>
    </row>
    <row r="553" spans="1:4">
      <c r="A553" s="21" t="s">
        <v>2823</v>
      </c>
      <c r="B553" s="3" t="s">
        <v>1036</v>
      </c>
      <c r="C553" s="3" t="s">
        <v>46</v>
      </c>
      <c r="D553" s="22" t="s">
        <v>2849</v>
      </c>
    </row>
    <row r="554" spans="1:4">
      <c r="A554" s="21" t="s">
        <v>2824</v>
      </c>
      <c r="B554" s="3" t="s">
        <v>1037</v>
      </c>
      <c r="C554" s="3" t="s">
        <v>46</v>
      </c>
      <c r="D554" s="22" t="s">
        <v>2849</v>
      </c>
    </row>
    <row r="555" spans="1:4">
      <c r="A555" s="21" t="s">
        <v>2825</v>
      </c>
      <c r="B555" s="3" t="s">
        <v>1038</v>
      </c>
      <c r="C555" s="3" t="s">
        <v>2843</v>
      </c>
      <c r="D555" s="22" t="s">
        <v>2849</v>
      </c>
    </row>
    <row r="556" spans="1:4">
      <c r="A556" s="21" t="s">
        <v>2826</v>
      </c>
      <c r="B556" s="3" t="s">
        <v>1039</v>
      </c>
      <c r="C556" s="3" t="s">
        <v>2844</v>
      </c>
      <c r="D556" s="22" t="s">
        <v>2849</v>
      </c>
    </row>
    <row r="557" spans="1:4">
      <c r="A557" s="21" t="s">
        <v>2827</v>
      </c>
      <c r="B557" s="3" t="s">
        <v>1040</v>
      </c>
      <c r="C557" s="3" t="s">
        <v>149</v>
      </c>
      <c r="D557" s="22" t="s">
        <v>2848</v>
      </c>
    </row>
    <row r="558" spans="1:4">
      <c r="A558" s="21" t="s">
        <v>2828</v>
      </c>
      <c r="B558" s="3" t="s">
        <v>1041</v>
      </c>
      <c r="C558" s="3" t="s">
        <v>46</v>
      </c>
      <c r="D558" s="22" t="s">
        <v>2849</v>
      </c>
    </row>
    <row r="559" spans="1:4">
      <c r="A559" s="21" t="s">
        <v>2829</v>
      </c>
      <c r="B559" s="3" t="s">
        <v>1042</v>
      </c>
      <c r="C559" s="3" t="s">
        <v>149</v>
      </c>
      <c r="D559" s="22" t="s">
        <v>2849</v>
      </c>
    </row>
    <row r="560" spans="1:4">
      <c r="A560" s="21" t="s">
        <v>2830</v>
      </c>
      <c r="B560" s="3" t="s">
        <v>1043</v>
      </c>
      <c r="C560" s="3" t="s">
        <v>2843</v>
      </c>
      <c r="D560" s="22" t="s">
        <v>2849</v>
      </c>
    </row>
    <row r="561" spans="1:4">
      <c r="A561" s="21" t="s">
        <v>2831</v>
      </c>
      <c r="B561" s="3" t="s">
        <v>1044</v>
      </c>
      <c r="C561" s="3" t="s">
        <v>2841</v>
      </c>
      <c r="D561" s="22" t="s">
        <v>2849</v>
      </c>
    </row>
    <row r="562" spans="1:4">
      <c r="A562" s="21" t="s">
        <v>2832</v>
      </c>
      <c r="B562" s="3" t="s">
        <v>1045</v>
      </c>
      <c r="C562" s="3" t="s">
        <v>46</v>
      </c>
      <c r="D562" s="22" t="s">
        <v>2849</v>
      </c>
    </row>
    <row r="563" spans="1:4">
      <c r="A563" s="21" t="s">
        <v>2833</v>
      </c>
      <c r="B563" s="3" t="s">
        <v>1046</v>
      </c>
      <c r="C563" s="3" t="s">
        <v>149</v>
      </c>
      <c r="D563" s="22" t="s">
        <v>2847</v>
      </c>
    </row>
    <row r="564" spans="1:4">
      <c r="A564" s="21" t="s">
        <v>2834</v>
      </c>
      <c r="B564" s="3" t="s">
        <v>1047</v>
      </c>
      <c r="C564" s="3" t="s">
        <v>28</v>
      </c>
      <c r="D564" s="22" t="s">
        <v>2849</v>
      </c>
    </row>
    <row r="565" spans="1:4">
      <c r="A565" s="21" t="s">
        <v>2835</v>
      </c>
      <c r="B565" s="3" t="s">
        <v>1048</v>
      </c>
      <c r="C565" s="3" t="s">
        <v>46</v>
      </c>
      <c r="D565" s="22" t="s">
        <v>2282</v>
      </c>
    </row>
    <row r="566" spans="1:4">
      <c r="A566" s="21" t="s">
        <v>2836</v>
      </c>
      <c r="B566" s="3" t="s">
        <v>1049</v>
      </c>
      <c r="C566" s="3" t="s">
        <v>2841</v>
      </c>
      <c r="D566" s="22" t="s">
        <v>2849</v>
      </c>
    </row>
    <row r="567" spans="1:4">
      <c r="A567" s="21" t="s">
        <v>2837</v>
      </c>
      <c r="B567" s="3" t="s">
        <v>1050</v>
      </c>
      <c r="C567" s="3" t="s">
        <v>24</v>
      </c>
      <c r="D567" s="22" t="s">
        <v>2849</v>
      </c>
    </row>
    <row r="568" spans="1:4">
      <c r="A568" s="21" t="s">
        <v>2838</v>
      </c>
      <c r="B568" s="3" t="s">
        <v>1051</v>
      </c>
      <c r="C568" s="3" t="s">
        <v>2843</v>
      </c>
      <c r="D568" s="22" t="s">
        <v>2849</v>
      </c>
    </row>
    <row r="569" spans="1:4">
      <c r="A569" s="21" t="s">
        <v>2839</v>
      </c>
      <c r="B569" s="3" t="s">
        <v>1052</v>
      </c>
      <c r="C569" s="3" t="s">
        <v>2844</v>
      </c>
      <c r="D569" s="22" t="s">
        <v>2849</v>
      </c>
    </row>
    <row r="570" spans="1:4">
      <c r="A570" s="28" t="s">
        <v>2840</v>
      </c>
      <c r="B570" s="31" t="s">
        <v>1053</v>
      </c>
      <c r="C570" s="31" t="s">
        <v>2843</v>
      </c>
      <c r="D570" s="32" t="s">
        <v>2849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EDF3-99E6-4C45-ADE1-56699800B660}">
  <sheetPr>
    <tabColor theme="8" tint="0.39997558519241921"/>
  </sheetPr>
  <dimension ref="A1:B570"/>
  <sheetViews>
    <sheetView zoomScaleNormal="100" workbookViewId="0">
      <selection activeCell="G25" sqref="G25"/>
    </sheetView>
  </sheetViews>
  <sheetFormatPr defaultRowHeight="14.4"/>
  <cols>
    <col min="1" max="1" width="13.6640625" customWidth="1"/>
    <col min="2" max="2" width="33.109375" style="2" customWidth="1"/>
  </cols>
  <sheetData>
    <row r="1" spans="1:2">
      <c r="A1" s="38" t="s">
        <v>1107</v>
      </c>
      <c r="B1" s="39" t="s">
        <v>1089</v>
      </c>
    </row>
    <row r="2" spans="1:2">
      <c r="A2" s="40" t="str">
        <f>"P"&amp;TEXT(ROW()-1,"000")</f>
        <v>P001</v>
      </c>
      <c r="B2" s="41" t="str" cm="1">
        <f t="array" ref="B2:B15">_xlfn.UNIQUE(Cleaned!E2:E570)</f>
        <v>Student</v>
      </c>
    </row>
    <row r="3" spans="1:2">
      <c r="A3" s="42" t="str">
        <f t="shared" ref="A3:A15" si="0">"P"&amp;TEXT(ROW()-1,"000")</f>
        <v>P002</v>
      </c>
      <c r="B3" s="43" t="str">
        <v>Shopkeeper</v>
      </c>
    </row>
    <row r="4" spans="1:2">
      <c r="A4" s="40" t="str">
        <f t="shared" si="0"/>
        <v>P003</v>
      </c>
      <c r="B4" s="41" t="str">
        <v>Mess Incharge</v>
      </c>
    </row>
    <row r="5" spans="1:2" ht="15" customHeight="1">
      <c r="A5" s="42" t="str">
        <f t="shared" si="0"/>
        <v>P004</v>
      </c>
      <c r="B5" s="43" t="str">
        <v>Supervisor House Keeping</v>
      </c>
    </row>
    <row r="6" spans="1:2">
      <c r="A6" s="40" t="str">
        <f t="shared" si="0"/>
        <v>P005</v>
      </c>
      <c r="B6" s="41" t="str">
        <v>Hostel Supervisor</v>
      </c>
    </row>
    <row r="7" spans="1:2">
      <c r="A7" s="42" t="str">
        <f t="shared" si="0"/>
        <v>P006</v>
      </c>
      <c r="B7" s="43" t="str">
        <v>Hostel Admin</v>
      </c>
    </row>
    <row r="8" spans="1:2">
      <c r="A8" s="40" t="str">
        <f t="shared" si="0"/>
        <v>P007</v>
      </c>
      <c r="B8" s="41" t="str">
        <v>Guard</v>
      </c>
    </row>
    <row r="9" spans="1:2">
      <c r="A9" s="42" t="str">
        <f t="shared" si="0"/>
        <v>P008</v>
      </c>
      <c r="B9" s="43" t="str">
        <v>Mess Guard</v>
      </c>
    </row>
    <row r="10" spans="1:2">
      <c r="A10" s="40" t="str">
        <f t="shared" si="0"/>
        <v>P009</v>
      </c>
      <c r="B10" s="41" t="str">
        <v>Hostel Guard</v>
      </c>
    </row>
    <row r="11" spans="1:2">
      <c r="A11" s="42" t="str">
        <f t="shared" si="0"/>
        <v>P010</v>
      </c>
      <c r="B11" s="43" t="str">
        <v>House Keeping</v>
      </c>
    </row>
    <row r="12" spans="1:2">
      <c r="A12" s="40" t="str">
        <f t="shared" si="0"/>
        <v>P011</v>
      </c>
      <c r="B12" s="41" t="str">
        <v>Daily Wage Worker</v>
      </c>
    </row>
    <row r="13" spans="1:2">
      <c r="A13" s="42" t="str">
        <f t="shared" si="0"/>
        <v>P012</v>
      </c>
      <c r="B13" s="43" t="str">
        <v>Worker</v>
      </c>
    </row>
    <row r="14" spans="1:2">
      <c r="A14" s="40" t="str">
        <f t="shared" si="0"/>
        <v>P013</v>
      </c>
      <c r="B14" s="41" t="str">
        <v>Automobile Manager</v>
      </c>
    </row>
    <row r="15" spans="1:2">
      <c r="A15" s="44" t="str">
        <f t="shared" si="0"/>
        <v>P014</v>
      </c>
      <c r="B15" s="45" t="str">
        <v>Government Officer</v>
      </c>
    </row>
    <row r="16" spans="1:2">
      <c r="A16" s="4"/>
      <c r="B16" s="19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A6C6-9E86-426A-BF0B-F9A048F61D74}">
  <sheetPr>
    <tabColor theme="5" tint="0.39997558519241921"/>
  </sheetPr>
  <dimension ref="A1:B16"/>
  <sheetViews>
    <sheetView workbookViewId="0">
      <selection activeCell="E4" sqref="E4"/>
    </sheetView>
  </sheetViews>
  <sheetFormatPr defaultRowHeight="14.4"/>
  <cols>
    <col min="2" max="2" width="19.21875" style="2" customWidth="1"/>
  </cols>
  <sheetData>
    <row r="1" spans="1:2">
      <c r="A1" s="5" t="s">
        <v>1105</v>
      </c>
      <c r="B1" s="20" t="s">
        <v>1106</v>
      </c>
    </row>
    <row r="2" spans="1:2">
      <c r="A2" s="3" t="s">
        <v>1090</v>
      </c>
      <c r="B2" s="8" t="str" cm="1">
        <f t="array" ref="B2:B16">_xlfn.UNIQUE(Cleaned!G2:G570)</f>
        <v>Kothri Kalan</v>
      </c>
    </row>
    <row r="3" spans="1:2">
      <c r="A3" s="3" t="s">
        <v>1091</v>
      </c>
      <c r="B3" s="8" t="str">
        <v>Vita</v>
      </c>
    </row>
    <row r="4" spans="1:2">
      <c r="A4" s="3" t="s">
        <v>1092</v>
      </c>
      <c r="B4" s="8" t="str">
        <v>Bhopal</v>
      </c>
    </row>
    <row r="5" spans="1:2">
      <c r="A5" s="3" t="s">
        <v>1093</v>
      </c>
      <c r="B5" s="8" t="str">
        <v>Ashta</v>
      </c>
    </row>
    <row r="6" spans="1:2">
      <c r="A6" s="3" t="s">
        <v>1094</v>
      </c>
      <c r="B6" s="8" t="str">
        <v>Hostel</v>
      </c>
    </row>
    <row r="7" spans="1:2">
      <c r="A7" s="3" t="s">
        <v>1095</v>
      </c>
      <c r="B7" s="8" t="str">
        <v>Ichawar</v>
      </c>
    </row>
    <row r="8" spans="1:2">
      <c r="A8" s="3" t="s">
        <v>1096</v>
      </c>
      <c r="B8" s="8" t="str">
        <v>Lala Khedi</v>
      </c>
    </row>
    <row r="9" spans="1:2">
      <c r="A9" s="3" t="s">
        <v>1097</v>
      </c>
      <c r="B9" s="8" t="str">
        <v>Goa</v>
      </c>
    </row>
    <row r="10" spans="1:2">
      <c r="A10" s="3" t="s">
        <v>1098</v>
      </c>
      <c r="B10" s="8" t="str">
        <v>Ratanpur</v>
      </c>
    </row>
    <row r="11" spans="1:2">
      <c r="A11" s="3" t="s">
        <v>1099</v>
      </c>
      <c r="B11" s="8" t="str">
        <v>gawakheda</v>
      </c>
    </row>
    <row r="12" spans="1:2">
      <c r="A12" s="3" t="s">
        <v>1100</v>
      </c>
      <c r="B12" s="8" t="str">
        <v>Golukheda</v>
      </c>
    </row>
    <row r="13" spans="1:2">
      <c r="A13" s="3" t="s">
        <v>1101</v>
      </c>
      <c r="B13" s="8" t="str">
        <v>Kratanpur</v>
      </c>
    </row>
    <row r="14" spans="1:2">
      <c r="A14" s="3" t="s">
        <v>1102</v>
      </c>
      <c r="B14" s="8" t="str">
        <v>Ahmedabad</v>
      </c>
    </row>
    <row r="15" spans="1:2">
      <c r="A15" s="3" t="s">
        <v>1103</v>
      </c>
      <c r="B15" s="8" t="str">
        <v>Sakharkherda</v>
      </c>
    </row>
    <row r="16" spans="1:2">
      <c r="A16" s="3" t="s">
        <v>1104</v>
      </c>
      <c r="B16" s="8" t="str">
        <v>Gorakhpur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C029-9451-4BA8-BB33-BD19814F64AA}">
  <sheetPr>
    <tabColor rgb="FF00CCFF"/>
  </sheetPr>
  <dimension ref="A1:C772"/>
  <sheetViews>
    <sheetView zoomScale="110" zoomScaleNormal="110" workbookViewId="0">
      <selection activeCell="C11" sqref="C11"/>
    </sheetView>
  </sheetViews>
  <sheetFormatPr defaultRowHeight="14.4"/>
  <cols>
    <col min="1" max="1" width="33.109375" customWidth="1"/>
    <col min="2" max="2" width="17.44140625" bestFit="1" customWidth="1"/>
    <col min="3" max="3" width="31.33203125" customWidth="1"/>
  </cols>
  <sheetData>
    <row r="1" spans="1:3">
      <c r="A1" s="53" t="s">
        <v>2882</v>
      </c>
      <c r="B1" s="51" t="s">
        <v>484</v>
      </c>
      <c r="C1" s="51" t="s">
        <v>2883</v>
      </c>
    </row>
    <row r="2" spans="1:3">
      <c r="A2" s="52" t="str" cm="1">
        <f t="array" ref="A2">_xlfn.XLOOKUP($C2,_xlfn.ANCHORARRAY('Health Concerns'!$B$2),'Health Concerns'!$A$2:$A$15,"Not Found")</f>
        <v>CRH001</v>
      </c>
      <c r="B2" s="48" t="s">
        <v>485</v>
      </c>
      <c r="C2" s="48" t="s">
        <v>2874</v>
      </c>
    </row>
    <row r="3" spans="1:3">
      <c r="A3" s="50" t="str" cm="1">
        <f t="array" ref="A3">_xlfn.XLOOKUP($C3,_xlfn.ANCHORARRAY('Health Concerns'!$B$2),'Health Concerns'!$A$2:$A$15,"Not Found")</f>
        <v>CRH002</v>
      </c>
      <c r="B3" s="32" t="s">
        <v>485</v>
      </c>
      <c r="C3" s="32" t="s">
        <v>2855</v>
      </c>
    </row>
    <row r="4" spans="1:3">
      <c r="A4" s="52" t="str" cm="1">
        <f t="array" ref="A4">_xlfn.XLOOKUP($C4,_xlfn.ANCHORARRAY('Health Concerns'!$B$2),'Health Concerns'!$A$2:$A$15,"Not Found")</f>
        <v>CRH001</v>
      </c>
      <c r="B4" s="48" t="s">
        <v>486</v>
      </c>
      <c r="C4" s="48" t="s">
        <v>2874</v>
      </c>
    </row>
    <row r="5" spans="1:3">
      <c r="A5" s="50" t="str" cm="1">
        <f t="array" ref="A5">_xlfn.XLOOKUP($C5,_xlfn.ANCHORARRAY('Health Concerns'!$B$2),'Health Concerns'!$A$2:$A$15,"Not Found")</f>
        <v>CRH002</v>
      </c>
      <c r="B5" s="32" t="s">
        <v>486</v>
      </c>
      <c r="C5" s="32" t="s">
        <v>2855</v>
      </c>
    </row>
    <row r="6" spans="1:3">
      <c r="A6" s="52" t="str" cm="1">
        <f t="array" ref="A6">_xlfn.XLOOKUP($C6,_xlfn.ANCHORARRAY('Health Concerns'!$B$2),'Health Concerns'!$A$2:$A$15,"Not Found")</f>
        <v>CRH001</v>
      </c>
      <c r="B6" s="48" t="s">
        <v>487</v>
      </c>
      <c r="C6" s="48" t="s">
        <v>2874</v>
      </c>
    </row>
    <row r="7" spans="1:3">
      <c r="A7" s="50" t="str" cm="1">
        <f t="array" ref="A7">_xlfn.XLOOKUP($C7,_xlfn.ANCHORARRAY('Health Concerns'!$B$2),'Health Concerns'!$A$2:$A$15,"Not Found")</f>
        <v>CRH002</v>
      </c>
      <c r="B7" s="32" t="s">
        <v>487</v>
      </c>
      <c r="C7" s="32" t="s">
        <v>2855</v>
      </c>
    </row>
    <row r="8" spans="1:3">
      <c r="A8" s="52" t="str" cm="1">
        <f t="array" ref="A8">_xlfn.XLOOKUP($C8,_xlfn.ANCHORARRAY('Health Concerns'!$B$2),'Health Concerns'!$A$2:$A$15,"Not Found")</f>
        <v>CRH003</v>
      </c>
      <c r="B8" s="48" t="s">
        <v>487</v>
      </c>
      <c r="C8" s="48" t="s">
        <v>2878</v>
      </c>
    </row>
    <row r="9" spans="1:3">
      <c r="A9" s="50" t="str" cm="1">
        <f t="array" ref="A9">_xlfn.XLOOKUP($C9,_xlfn.ANCHORARRAY('Health Concerns'!$B$2),'Health Concerns'!$A$2:$A$15,"Not Found")</f>
        <v>CRH004</v>
      </c>
      <c r="B9" s="32" t="s">
        <v>488</v>
      </c>
      <c r="C9" s="32" t="s">
        <v>2871</v>
      </c>
    </row>
    <row r="10" spans="1:3">
      <c r="A10" s="52" t="str" cm="1">
        <f t="array" ref="A10">_xlfn.XLOOKUP($C10,_xlfn.ANCHORARRAY('Health Concerns'!$B$2),'Health Concerns'!$A$2:$A$15,"Not Found")</f>
        <v>CRH005</v>
      </c>
      <c r="B10" s="48" t="s">
        <v>488</v>
      </c>
      <c r="C10" s="48" t="s">
        <v>2876</v>
      </c>
    </row>
    <row r="11" spans="1:3">
      <c r="A11" s="50" t="str" cm="1">
        <f t="array" ref="A11">_xlfn.XLOOKUP($C11,_xlfn.ANCHORARRAY('Health Concerns'!$B$2),'Health Concerns'!$A$2:$A$15,"Not Found")</f>
        <v>CRH006</v>
      </c>
      <c r="B11" s="32" t="s">
        <v>488</v>
      </c>
      <c r="C11" s="32" t="s">
        <v>2875</v>
      </c>
    </row>
    <row r="12" spans="1:3">
      <c r="A12" s="52" t="str" cm="1">
        <f t="array" ref="A12">_xlfn.XLOOKUP($C12,_xlfn.ANCHORARRAY('Health Concerns'!$B$2),'Health Concerns'!$A$2:$A$15,"Not Found")</f>
        <v>CRH001</v>
      </c>
      <c r="B12" s="48" t="s">
        <v>489</v>
      </c>
      <c r="C12" s="48" t="s">
        <v>2874</v>
      </c>
    </row>
    <row r="13" spans="1:3">
      <c r="A13" s="50" t="str" cm="1">
        <f t="array" ref="A13">_xlfn.XLOOKUP($C13,_xlfn.ANCHORARRAY('Health Concerns'!$B$2),'Health Concerns'!$A$2:$A$15,"Not Found")</f>
        <v>CRH002</v>
      </c>
      <c r="B13" s="32" t="s">
        <v>489</v>
      </c>
      <c r="C13" s="32" t="s">
        <v>2855</v>
      </c>
    </row>
    <row r="14" spans="1:3">
      <c r="A14" s="52" t="str" cm="1">
        <f t="array" ref="A14">_xlfn.XLOOKUP($C14,_xlfn.ANCHORARRAY('Health Concerns'!$B$2),'Health Concerns'!$A$2:$A$15,"Not Found")</f>
        <v>CRH001</v>
      </c>
      <c r="B14" s="48" t="s">
        <v>490</v>
      </c>
      <c r="C14" s="48" t="s">
        <v>2874</v>
      </c>
    </row>
    <row r="15" spans="1:3">
      <c r="A15" s="50" t="str" cm="1">
        <f t="array" ref="A15">_xlfn.XLOOKUP($C15,_xlfn.ANCHORARRAY('Health Concerns'!$B$2),'Health Concerns'!$A$2:$A$15,"Not Found")</f>
        <v>CRH002</v>
      </c>
      <c r="B15" s="32" t="s">
        <v>490</v>
      </c>
      <c r="C15" s="32" t="s">
        <v>2855</v>
      </c>
    </row>
    <row r="16" spans="1:3">
      <c r="A16" s="52" t="str" cm="1">
        <f t="array" ref="A16">_xlfn.XLOOKUP($C16,_xlfn.ANCHORARRAY('Health Concerns'!$B$2),'Health Concerns'!$A$2:$A$15,"Not Found")</f>
        <v>CRH003</v>
      </c>
      <c r="B16" s="48" t="s">
        <v>490</v>
      </c>
      <c r="C16" s="48" t="s">
        <v>2878</v>
      </c>
    </row>
    <row r="17" spans="1:3">
      <c r="A17" s="50" t="str" cm="1">
        <f t="array" ref="A17">_xlfn.XLOOKUP($C17,_xlfn.ANCHORARRAY('Health Concerns'!$B$2),'Health Concerns'!$A$2:$A$15,"Not Found")</f>
        <v>CRH004</v>
      </c>
      <c r="B17" s="32" t="s">
        <v>490</v>
      </c>
      <c r="C17" s="32" t="s">
        <v>2871</v>
      </c>
    </row>
    <row r="18" spans="1:3">
      <c r="A18" s="52" t="str" cm="1">
        <f t="array" ref="A18">_xlfn.XLOOKUP($C18,_xlfn.ANCHORARRAY('Health Concerns'!$B$2),'Health Concerns'!$A$2:$A$15,"Not Found")</f>
        <v>CRH001</v>
      </c>
      <c r="B18" s="48" t="s">
        <v>491</v>
      </c>
      <c r="C18" s="48" t="s">
        <v>2874</v>
      </c>
    </row>
    <row r="19" spans="1:3">
      <c r="A19" s="50" t="str" cm="1">
        <f t="array" ref="A19">_xlfn.XLOOKUP($C19,_xlfn.ANCHORARRAY('Health Concerns'!$B$2),'Health Concerns'!$A$2:$A$15,"Not Found")</f>
        <v>CRH002</v>
      </c>
      <c r="B19" s="32" t="s">
        <v>491</v>
      </c>
      <c r="C19" s="32" t="s">
        <v>2855</v>
      </c>
    </row>
    <row r="20" spans="1:3">
      <c r="A20" s="52" t="str" cm="1">
        <f t="array" ref="A20">_xlfn.XLOOKUP($C20,_xlfn.ANCHORARRAY('Health Concerns'!$B$2),'Health Concerns'!$A$2:$A$15,"Not Found")</f>
        <v>CRH003</v>
      </c>
      <c r="B20" s="48" t="s">
        <v>491</v>
      </c>
      <c r="C20" s="48" t="s">
        <v>2878</v>
      </c>
    </row>
    <row r="21" spans="1:3">
      <c r="A21" s="50" t="str" cm="1">
        <f t="array" ref="A21">_xlfn.XLOOKUP($C21,_xlfn.ANCHORARRAY('Health Concerns'!$B$2),'Health Concerns'!$A$2:$A$15,"Not Found")</f>
        <v>CRH004</v>
      </c>
      <c r="B21" s="32" t="s">
        <v>491</v>
      </c>
      <c r="C21" s="32" t="s">
        <v>2871</v>
      </c>
    </row>
    <row r="22" spans="1:3">
      <c r="A22" s="52" t="str" cm="1">
        <f t="array" ref="A22">_xlfn.XLOOKUP($C22,_xlfn.ANCHORARRAY('Health Concerns'!$B$2),'Health Concerns'!$A$2:$A$15,"Not Found")</f>
        <v>CRH004</v>
      </c>
      <c r="B22" s="48" t="s">
        <v>492</v>
      </c>
      <c r="C22" s="48" t="s">
        <v>2871</v>
      </c>
    </row>
    <row r="23" spans="1:3">
      <c r="A23" s="50" t="str" cm="1">
        <f t="array" ref="A23">_xlfn.XLOOKUP($C23,_xlfn.ANCHORARRAY('Health Concerns'!$B$2),'Health Concerns'!$A$2:$A$15,"Not Found")</f>
        <v>CRH005</v>
      </c>
      <c r="B23" s="32" t="s">
        <v>492</v>
      </c>
      <c r="C23" s="32" t="s">
        <v>2876</v>
      </c>
    </row>
    <row r="24" spans="1:3">
      <c r="A24" s="52" t="str" cm="1">
        <f t="array" ref="A24">_xlfn.XLOOKUP($C24,_xlfn.ANCHORARRAY('Health Concerns'!$B$2),'Health Concerns'!$A$2:$A$15,"Not Found")</f>
        <v>CRH006</v>
      </c>
      <c r="B24" s="48" t="s">
        <v>492</v>
      </c>
      <c r="C24" s="48" t="s">
        <v>2875</v>
      </c>
    </row>
    <row r="25" spans="1:3">
      <c r="A25" s="50" t="str" cm="1">
        <f t="array" ref="A25">_xlfn.XLOOKUP($C25,_xlfn.ANCHORARRAY('Health Concerns'!$B$2),'Health Concerns'!$A$2:$A$15,"Not Found")</f>
        <v>CRH004</v>
      </c>
      <c r="B25" s="32" t="s">
        <v>493</v>
      </c>
      <c r="C25" s="32" t="s">
        <v>2871</v>
      </c>
    </row>
    <row r="26" spans="1:3">
      <c r="A26" s="52" t="str" cm="1">
        <f t="array" ref="A26">_xlfn.XLOOKUP($C26,_xlfn.ANCHORARRAY('Health Concerns'!$B$2),'Health Concerns'!$A$2:$A$15,"Not Found")</f>
        <v>CRH001</v>
      </c>
      <c r="B26" s="48" t="s">
        <v>493</v>
      </c>
      <c r="C26" s="48" t="s">
        <v>2874</v>
      </c>
    </row>
    <row r="27" spans="1:3">
      <c r="A27" s="50" t="str" cm="1">
        <f t="array" ref="A27">_xlfn.XLOOKUP($C27,_xlfn.ANCHORARRAY('Health Concerns'!$B$2),'Health Concerns'!$A$2:$A$15,"Not Found")</f>
        <v>CRH001</v>
      </c>
      <c r="B27" s="32" t="s">
        <v>494</v>
      </c>
      <c r="C27" s="32" t="s">
        <v>2874</v>
      </c>
    </row>
    <row r="28" spans="1:3">
      <c r="A28" s="52" t="str" cm="1">
        <f t="array" ref="A28">_xlfn.XLOOKUP($C28,_xlfn.ANCHORARRAY('Health Concerns'!$B$2),'Health Concerns'!$A$2:$A$15,"Not Found")</f>
        <v>CRH007</v>
      </c>
      <c r="B28" s="48" t="s">
        <v>494</v>
      </c>
      <c r="C28" s="48" t="s">
        <v>2880</v>
      </c>
    </row>
    <row r="29" spans="1:3">
      <c r="A29" s="50" t="str" cm="1">
        <f t="array" ref="A29">_xlfn.XLOOKUP($C29,_xlfn.ANCHORARRAY('Health Concerns'!$B$2),'Health Concerns'!$A$2:$A$15,"Not Found")</f>
        <v>CRH002</v>
      </c>
      <c r="B29" s="32" t="s">
        <v>494</v>
      </c>
      <c r="C29" s="32" t="s">
        <v>2855</v>
      </c>
    </row>
    <row r="30" spans="1:3">
      <c r="A30" s="52" t="str" cm="1">
        <f t="array" ref="A30">_xlfn.XLOOKUP($C30,_xlfn.ANCHORARRAY('Health Concerns'!$B$2),'Health Concerns'!$A$2:$A$15,"Not Found")</f>
        <v>CRH001</v>
      </c>
      <c r="B30" s="48" t="s">
        <v>495</v>
      </c>
      <c r="C30" s="48" t="s">
        <v>2874</v>
      </c>
    </row>
    <row r="31" spans="1:3">
      <c r="A31" s="50" t="str" cm="1">
        <f t="array" ref="A31">_xlfn.XLOOKUP($C31,_xlfn.ANCHORARRAY('Health Concerns'!$B$2),'Health Concerns'!$A$2:$A$15,"Not Found")</f>
        <v>CRH007</v>
      </c>
      <c r="B31" s="32" t="s">
        <v>495</v>
      </c>
      <c r="C31" s="32" t="s">
        <v>2880</v>
      </c>
    </row>
    <row r="32" spans="1:3">
      <c r="A32" s="52" t="str" cm="1">
        <f t="array" ref="A32">_xlfn.XLOOKUP($C32,_xlfn.ANCHORARRAY('Health Concerns'!$B$2),'Health Concerns'!$A$2:$A$15,"Not Found")</f>
        <v>CRH002</v>
      </c>
      <c r="B32" s="48" t="s">
        <v>495</v>
      </c>
      <c r="C32" s="48" t="s">
        <v>2855</v>
      </c>
    </row>
    <row r="33" spans="1:3">
      <c r="A33" s="50" t="str" cm="1">
        <f t="array" ref="A33">_xlfn.XLOOKUP($C33,_xlfn.ANCHORARRAY('Health Concerns'!$B$2),'Health Concerns'!$A$2:$A$15,"Not Found")</f>
        <v>CRH001</v>
      </c>
      <c r="B33" s="32" t="s">
        <v>496</v>
      </c>
      <c r="C33" s="32" t="s">
        <v>2874</v>
      </c>
    </row>
    <row r="34" spans="1:3">
      <c r="A34" s="52" t="str" cm="1">
        <f t="array" ref="A34">_xlfn.XLOOKUP($C34,_xlfn.ANCHORARRAY('Health Concerns'!$B$2),'Health Concerns'!$A$2:$A$15,"Not Found")</f>
        <v>CRH007</v>
      </c>
      <c r="B34" s="48" t="s">
        <v>496</v>
      </c>
      <c r="C34" s="48" t="s">
        <v>2880</v>
      </c>
    </row>
    <row r="35" spans="1:3">
      <c r="A35" s="50" t="str" cm="1">
        <f t="array" ref="A35">_xlfn.XLOOKUP($C35,_xlfn.ANCHORARRAY('Health Concerns'!$B$2),'Health Concerns'!$A$2:$A$15,"Not Found")</f>
        <v>CRH002</v>
      </c>
      <c r="B35" s="32" t="s">
        <v>496</v>
      </c>
      <c r="C35" s="32" t="s">
        <v>2855</v>
      </c>
    </row>
    <row r="36" spans="1:3">
      <c r="A36" s="52" t="str" cm="1">
        <f t="array" ref="A36">_xlfn.XLOOKUP($C36,_xlfn.ANCHORARRAY('Health Concerns'!$B$2),'Health Concerns'!$A$2:$A$15,"Not Found")</f>
        <v>CRH001</v>
      </c>
      <c r="B36" s="48" t="s">
        <v>497</v>
      </c>
      <c r="C36" s="48" t="s">
        <v>2874</v>
      </c>
    </row>
    <row r="37" spans="1:3">
      <c r="A37" s="50" t="str" cm="1">
        <f t="array" ref="A37">_xlfn.XLOOKUP($C37,_xlfn.ANCHORARRAY('Health Concerns'!$B$2),'Health Concerns'!$A$2:$A$15,"Not Found")</f>
        <v>CRH007</v>
      </c>
      <c r="B37" s="32" t="s">
        <v>497</v>
      </c>
      <c r="C37" s="32" t="s">
        <v>2880</v>
      </c>
    </row>
    <row r="38" spans="1:3">
      <c r="A38" s="52" t="str" cm="1">
        <f t="array" ref="A38">_xlfn.XLOOKUP($C38,_xlfn.ANCHORARRAY('Health Concerns'!$B$2),'Health Concerns'!$A$2:$A$15,"Not Found")</f>
        <v>CRH002</v>
      </c>
      <c r="B38" s="48" t="s">
        <v>497</v>
      </c>
      <c r="C38" s="48" t="s">
        <v>2855</v>
      </c>
    </row>
    <row r="39" spans="1:3">
      <c r="A39" s="50" t="str" cm="1">
        <f t="array" ref="A39">_xlfn.XLOOKUP($C39,_xlfn.ANCHORARRAY('Health Concerns'!$B$2),'Health Concerns'!$A$2:$A$15,"Not Found")</f>
        <v>CRH001</v>
      </c>
      <c r="B39" s="32" t="s">
        <v>498</v>
      </c>
      <c r="C39" s="32" t="s">
        <v>2874</v>
      </c>
    </row>
    <row r="40" spans="1:3">
      <c r="A40" s="52" t="str" cm="1">
        <f t="array" ref="A40">_xlfn.XLOOKUP($C40,_xlfn.ANCHORARRAY('Health Concerns'!$B$2),'Health Concerns'!$A$2:$A$15,"Not Found")</f>
        <v>CRH007</v>
      </c>
      <c r="B40" s="48" t="s">
        <v>498</v>
      </c>
      <c r="C40" s="48" t="s">
        <v>2880</v>
      </c>
    </row>
    <row r="41" spans="1:3">
      <c r="A41" s="50" t="str" cm="1">
        <f t="array" ref="A41">_xlfn.XLOOKUP($C41,_xlfn.ANCHORARRAY('Health Concerns'!$B$2),'Health Concerns'!$A$2:$A$15,"Not Found")</f>
        <v>CRH002</v>
      </c>
      <c r="B41" s="32" t="s">
        <v>498</v>
      </c>
      <c r="C41" s="32" t="s">
        <v>2855</v>
      </c>
    </row>
    <row r="42" spans="1:3">
      <c r="A42" s="52" t="str" cm="1">
        <f t="array" ref="A42">_xlfn.XLOOKUP($C42,_xlfn.ANCHORARRAY('Health Concerns'!$B$2),'Health Concerns'!$A$2:$A$15,"Not Found")</f>
        <v>CRH008</v>
      </c>
      <c r="B42" s="48" t="s">
        <v>499</v>
      </c>
      <c r="C42" s="48" t="s">
        <v>2853</v>
      </c>
    </row>
    <row r="43" spans="1:3">
      <c r="A43" s="50" t="str" cm="1">
        <f t="array" ref="A43">_xlfn.XLOOKUP($C43,_xlfn.ANCHORARRAY('Health Concerns'!$B$2),'Health Concerns'!$A$2:$A$15,"Not Found")</f>
        <v>CRH001</v>
      </c>
      <c r="B43" s="32" t="s">
        <v>500</v>
      </c>
      <c r="C43" s="32" t="s">
        <v>2874</v>
      </c>
    </row>
    <row r="44" spans="1:3">
      <c r="A44" s="52" t="str" cm="1">
        <f t="array" ref="A44">_xlfn.XLOOKUP($C44,_xlfn.ANCHORARRAY('Health Concerns'!$B$2),'Health Concerns'!$A$2:$A$15,"Not Found")</f>
        <v>CRH006</v>
      </c>
      <c r="B44" s="48" t="s">
        <v>500</v>
      </c>
      <c r="C44" s="48" t="s">
        <v>2875</v>
      </c>
    </row>
    <row r="45" spans="1:3">
      <c r="A45" s="50" t="str" cm="1">
        <f t="array" ref="A45">_xlfn.XLOOKUP($C45,_xlfn.ANCHORARRAY('Health Concerns'!$B$2),'Health Concerns'!$A$2:$A$15,"Not Found")</f>
        <v>CRH009</v>
      </c>
      <c r="B45" s="32" t="s">
        <v>500</v>
      </c>
      <c r="C45" s="32" t="s">
        <v>2872</v>
      </c>
    </row>
    <row r="46" spans="1:3">
      <c r="A46" s="52" t="str" cm="1">
        <f t="array" ref="A46">_xlfn.XLOOKUP($C46,_xlfn.ANCHORARRAY('Health Concerns'!$B$2),'Health Concerns'!$A$2:$A$15,"Not Found")</f>
        <v>CRH010</v>
      </c>
      <c r="B46" s="48" t="s">
        <v>501</v>
      </c>
      <c r="C46" s="48" t="s">
        <v>2854</v>
      </c>
    </row>
    <row r="47" spans="1:3">
      <c r="A47" s="50" t="str" cm="1">
        <f t="array" ref="A47">_xlfn.XLOOKUP($C47,_xlfn.ANCHORARRAY('Health Concerns'!$B$2),'Health Concerns'!$A$2:$A$15,"Not Found")</f>
        <v>CRH001</v>
      </c>
      <c r="B47" s="32" t="s">
        <v>502</v>
      </c>
      <c r="C47" s="32" t="s">
        <v>2874</v>
      </c>
    </row>
    <row r="48" spans="1:3">
      <c r="A48" s="52" t="str" cm="1">
        <f t="array" ref="A48">_xlfn.XLOOKUP($C48,_xlfn.ANCHORARRAY('Health Concerns'!$B$2),'Health Concerns'!$A$2:$A$15,"Not Found")</f>
        <v>CRH006</v>
      </c>
      <c r="B48" s="48" t="s">
        <v>502</v>
      </c>
      <c r="C48" s="48" t="s">
        <v>2875</v>
      </c>
    </row>
    <row r="49" spans="1:3">
      <c r="A49" s="50" t="str" cm="1">
        <f t="array" ref="A49">_xlfn.XLOOKUP($C49,_xlfn.ANCHORARRAY('Health Concerns'!$B$2),'Health Concerns'!$A$2:$A$15,"Not Found")</f>
        <v>CRH009</v>
      </c>
      <c r="B49" s="32" t="s">
        <v>502</v>
      </c>
      <c r="C49" s="32" t="s">
        <v>2872</v>
      </c>
    </row>
    <row r="50" spans="1:3">
      <c r="A50" s="52" t="str" cm="1">
        <f t="array" ref="A50">_xlfn.XLOOKUP($C50,_xlfn.ANCHORARRAY('Health Concerns'!$B$2),'Health Concerns'!$A$2:$A$15,"Not Found")</f>
        <v>CRH001</v>
      </c>
      <c r="B50" s="48" t="s">
        <v>503</v>
      </c>
      <c r="C50" s="48" t="s">
        <v>2874</v>
      </c>
    </row>
    <row r="51" spans="1:3">
      <c r="A51" s="50" t="str" cm="1">
        <f t="array" ref="A51">_xlfn.XLOOKUP($C51,_xlfn.ANCHORARRAY('Health Concerns'!$B$2),'Health Concerns'!$A$2:$A$15,"Not Found")</f>
        <v>CRH006</v>
      </c>
      <c r="B51" s="32" t="s">
        <v>503</v>
      </c>
      <c r="C51" s="32" t="s">
        <v>2875</v>
      </c>
    </row>
    <row r="52" spans="1:3">
      <c r="A52" s="52" t="str" cm="1">
        <f t="array" ref="A52">_xlfn.XLOOKUP($C52,_xlfn.ANCHORARRAY('Health Concerns'!$B$2),'Health Concerns'!$A$2:$A$15,"Not Found")</f>
        <v>CRH009</v>
      </c>
      <c r="B52" s="48" t="s">
        <v>503</v>
      </c>
      <c r="C52" s="48" t="s">
        <v>2872</v>
      </c>
    </row>
    <row r="53" spans="1:3">
      <c r="A53" s="50" t="str" cm="1">
        <f t="array" ref="A53">_xlfn.XLOOKUP($C53,_xlfn.ANCHORARRAY('Health Concerns'!$B$2),'Health Concerns'!$A$2:$A$15,"Not Found")</f>
        <v>CRH001</v>
      </c>
      <c r="B53" s="32" t="s">
        <v>504</v>
      </c>
      <c r="C53" s="32" t="s">
        <v>2874</v>
      </c>
    </row>
    <row r="54" spans="1:3">
      <c r="A54" s="52" t="str" cm="1">
        <f t="array" ref="A54">_xlfn.XLOOKUP($C54,_xlfn.ANCHORARRAY('Health Concerns'!$B$2),'Health Concerns'!$A$2:$A$15,"Not Found")</f>
        <v>CRH006</v>
      </c>
      <c r="B54" s="48" t="s">
        <v>504</v>
      </c>
      <c r="C54" s="48" t="s">
        <v>2875</v>
      </c>
    </row>
    <row r="55" spans="1:3">
      <c r="A55" s="50" t="str" cm="1">
        <f t="array" ref="A55">_xlfn.XLOOKUP($C55,_xlfn.ANCHORARRAY('Health Concerns'!$B$2),'Health Concerns'!$A$2:$A$15,"Not Found")</f>
        <v>CRH009</v>
      </c>
      <c r="B55" s="32" t="s">
        <v>504</v>
      </c>
      <c r="C55" s="32" t="s">
        <v>2872</v>
      </c>
    </row>
    <row r="56" spans="1:3">
      <c r="A56" s="52" t="str" cm="1">
        <f t="array" ref="A56">_xlfn.XLOOKUP($C56,_xlfn.ANCHORARRAY('Health Concerns'!$B$2),'Health Concerns'!$A$2:$A$15,"Not Found")</f>
        <v>CRH001</v>
      </c>
      <c r="B56" s="48" t="s">
        <v>505</v>
      </c>
      <c r="C56" s="48" t="s">
        <v>2874</v>
      </c>
    </row>
    <row r="57" spans="1:3">
      <c r="A57" s="50" t="str" cm="1">
        <f t="array" ref="A57">_xlfn.XLOOKUP($C57,_xlfn.ANCHORARRAY('Health Concerns'!$B$2),'Health Concerns'!$A$2:$A$15,"Not Found")</f>
        <v>CRH006</v>
      </c>
      <c r="B57" s="32" t="s">
        <v>505</v>
      </c>
      <c r="C57" s="32" t="s">
        <v>2875</v>
      </c>
    </row>
    <row r="58" spans="1:3">
      <c r="A58" s="52" t="str" cm="1">
        <f t="array" ref="A58">_xlfn.XLOOKUP($C58,_xlfn.ANCHORARRAY('Health Concerns'!$B$2),'Health Concerns'!$A$2:$A$15,"Not Found")</f>
        <v>CRH009</v>
      </c>
      <c r="B58" s="48" t="s">
        <v>505</v>
      </c>
      <c r="C58" s="48" t="s">
        <v>2872</v>
      </c>
    </row>
    <row r="59" spans="1:3">
      <c r="A59" s="50" t="str" cm="1">
        <f t="array" ref="A59">_xlfn.XLOOKUP($C59,_xlfn.ANCHORARRAY('Health Concerns'!$B$2),'Health Concerns'!$A$2:$A$15,"Not Found")</f>
        <v>CRH001</v>
      </c>
      <c r="B59" s="32" t="s">
        <v>506</v>
      </c>
      <c r="C59" s="32" t="s">
        <v>2874</v>
      </c>
    </row>
    <row r="60" spans="1:3">
      <c r="A60" s="52" t="str" cm="1">
        <f t="array" ref="A60">_xlfn.XLOOKUP($C60,_xlfn.ANCHORARRAY('Health Concerns'!$B$2),'Health Concerns'!$A$2:$A$15,"Not Found")</f>
        <v>CRH006</v>
      </c>
      <c r="B60" s="48" t="s">
        <v>506</v>
      </c>
      <c r="C60" s="48" t="s">
        <v>2875</v>
      </c>
    </row>
    <row r="61" spans="1:3">
      <c r="A61" s="50" t="str" cm="1">
        <f t="array" ref="A61">_xlfn.XLOOKUP($C61,_xlfn.ANCHORARRAY('Health Concerns'!$B$2),'Health Concerns'!$A$2:$A$15,"Not Found")</f>
        <v>CRH009</v>
      </c>
      <c r="B61" s="32" t="s">
        <v>506</v>
      </c>
      <c r="C61" s="32" t="s">
        <v>2872</v>
      </c>
    </row>
    <row r="62" spans="1:3">
      <c r="A62" s="52" t="str" cm="1">
        <f t="array" ref="A62">_xlfn.XLOOKUP($C62,_xlfn.ANCHORARRAY('Health Concerns'!$B$2),'Health Concerns'!$A$2:$A$15,"Not Found")</f>
        <v>CRH008</v>
      </c>
      <c r="B62" s="48" t="s">
        <v>507</v>
      </c>
      <c r="C62" s="48" t="s">
        <v>2853</v>
      </c>
    </row>
    <row r="63" spans="1:3">
      <c r="A63" s="50" t="str" cm="1">
        <f t="array" ref="A63">_xlfn.XLOOKUP($C63,_xlfn.ANCHORARRAY('Health Concerns'!$B$2),'Health Concerns'!$A$2:$A$15,"Not Found")</f>
        <v>CRH011</v>
      </c>
      <c r="B63" s="32" t="s">
        <v>508</v>
      </c>
      <c r="C63" s="32" t="s">
        <v>2879</v>
      </c>
    </row>
    <row r="64" spans="1:3">
      <c r="A64" s="52" t="str" cm="1">
        <f t="array" ref="A64">_xlfn.XLOOKUP($C64,_xlfn.ANCHORARRAY('Health Concerns'!$B$2),'Health Concerns'!$A$2:$A$15,"Not Found")</f>
        <v>CRH008</v>
      </c>
      <c r="B64" s="48" t="s">
        <v>509</v>
      </c>
      <c r="C64" s="48" t="s">
        <v>2853</v>
      </c>
    </row>
    <row r="65" spans="1:3">
      <c r="A65" s="50" t="str" cm="1">
        <f t="array" ref="A65">_xlfn.XLOOKUP($C65,_xlfn.ANCHORARRAY('Health Concerns'!$B$2),'Health Concerns'!$A$2:$A$15,"Not Found")</f>
        <v>CRH008</v>
      </c>
      <c r="B65" s="32" t="s">
        <v>510</v>
      </c>
      <c r="C65" s="32" t="s">
        <v>2853</v>
      </c>
    </row>
    <row r="66" spans="1:3">
      <c r="A66" s="52" t="str" cm="1">
        <f t="array" ref="A66">_xlfn.XLOOKUP($C66,_xlfn.ANCHORARRAY('Health Concerns'!$B$2),'Health Concerns'!$A$2:$A$15,"Not Found")</f>
        <v>CRH008</v>
      </c>
      <c r="B66" s="48" t="s">
        <v>511</v>
      </c>
      <c r="C66" s="48" t="s">
        <v>2853</v>
      </c>
    </row>
    <row r="67" spans="1:3">
      <c r="A67" s="50" t="str" cm="1">
        <f t="array" ref="A67">_xlfn.XLOOKUP($C67,_xlfn.ANCHORARRAY('Health Concerns'!$B$2),'Health Concerns'!$A$2:$A$15,"Not Found")</f>
        <v>CRH008</v>
      </c>
      <c r="B67" s="32" t="s">
        <v>512</v>
      </c>
      <c r="C67" s="32" t="s">
        <v>2853</v>
      </c>
    </row>
    <row r="68" spans="1:3">
      <c r="A68" s="52" t="str" cm="1">
        <f t="array" ref="A68">_xlfn.XLOOKUP($C68,_xlfn.ANCHORARRAY('Health Concerns'!$B$2),'Health Concerns'!$A$2:$A$15,"Not Found")</f>
        <v>CRH008</v>
      </c>
      <c r="B68" s="48" t="s">
        <v>513</v>
      </c>
      <c r="C68" s="48" t="s">
        <v>2853</v>
      </c>
    </row>
    <row r="69" spans="1:3">
      <c r="A69" s="50" t="str" cm="1">
        <f t="array" ref="A69">_xlfn.XLOOKUP($C69,_xlfn.ANCHORARRAY('Health Concerns'!$B$2),'Health Concerns'!$A$2:$A$15,"Not Found")</f>
        <v>CRH008</v>
      </c>
      <c r="B69" s="32" t="s">
        <v>514</v>
      </c>
      <c r="C69" s="32" t="s">
        <v>2853</v>
      </c>
    </row>
    <row r="70" spans="1:3">
      <c r="A70" s="52" t="str" cm="1">
        <f t="array" ref="A70">_xlfn.XLOOKUP($C70,_xlfn.ANCHORARRAY('Health Concerns'!$B$2),'Health Concerns'!$A$2:$A$15,"Not Found")</f>
        <v>CRH002</v>
      </c>
      <c r="B70" s="48" t="s">
        <v>515</v>
      </c>
      <c r="C70" s="48" t="s">
        <v>2855</v>
      </c>
    </row>
    <row r="71" spans="1:3">
      <c r="A71" s="50" t="str" cm="1">
        <f t="array" ref="A71">_xlfn.XLOOKUP($C71,_xlfn.ANCHORARRAY('Health Concerns'!$B$2),'Health Concerns'!$A$2:$A$15,"Not Found")</f>
        <v>CRH001</v>
      </c>
      <c r="B71" s="32" t="s">
        <v>516</v>
      </c>
      <c r="C71" s="32" t="s">
        <v>2874</v>
      </c>
    </row>
    <row r="72" spans="1:3">
      <c r="A72" s="52" t="str" cm="1">
        <f t="array" ref="A72">_xlfn.XLOOKUP($C72,_xlfn.ANCHORARRAY('Health Concerns'!$B$2),'Health Concerns'!$A$2:$A$15,"Not Found")</f>
        <v>CRH002</v>
      </c>
      <c r="B72" s="48" t="s">
        <v>516</v>
      </c>
      <c r="C72" s="48" t="s">
        <v>2855</v>
      </c>
    </row>
    <row r="73" spans="1:3">
      <c r="A73" s="50" t="str" cm="1">
        <f t="array" ref="A73">_xlfn.XLOOKUP($C73,_xlfn.ANCHORARRAY('Health Concerns'!$B$2),'Health Concerns'!$A$2:$A$15,"Not Found")</f>
        <v>CRH001</v>
      </c>
      <c r="B73" s="32" t="s">
        <v>517</v>
      </c>
      <c r="C73" s="32" t="s">
        <v>2874</v>
      </c>
    </row>
    <row r="74" spans="1:3">
      <c r="A74" s="52" t="str" cm="1">
        <f t="array" ref="A74">_xlfn.XLOOKUP($C74,_xlfn.ANCHORARRAY('Health Concerns'!$B$2),'Health Concerns'!$A$2:$A$15,"Not Found")</f>
        <v>CRH002</v>
      </c>
      <c r="B74" s="48" t="s">
        <v>517</v>
      </c>
      <c r="C74" s="48" t="s">
        <v>2855</v>
      </c>
    </row>
    <row r="75" spans="1:3">
      <c r="A75" s="50" t="str" cm="1">
        <f t="array" ref="A75">_xlfn.XLOOKUP($C75,_xlfn.ANCHORARRAY('Health Concerns'!$B$2),'Health Concerns'!$A$2:$A$15,"Not Found")</f>
        <v>CRH001</v>
      </c>
      <c r="B75" s="32" t="s">
        <v>518</v>
      </c>
      <c r="C75" s="32" t="s">
        <v>2874</v>
      </c>
    </row>
    <row r="76" spans="1:3">
      <c r="A76" s="52" t="str" cm="1">
        <f t="array" ref="A76">_xlfn.XLOOKUP($C76,_xlfn.ANCHORARRAY('Health Concerns'!$B$2),'Health Concerns'!$A$2:$A$15,"Not Found")</f>
        <v>CRH002</v>
      </c>
      <c r="B76" s="48" t="s">
        <v>518</v>
      </c>
      <c r="C76" s="48" t="s">
        <v>2855</v>
      </c>
    </row>
    <row r="77" spans="1:3">
      <c r="A77" s="50" t="str" cm="1">
        <f t="array" ref="A77">_xlfn.XLOOKUP($C77,_xlfn.ANCHORARRAY('Health Concerns'!$B$2),'Health Concerns'!$A$2:$A$15,"Not Found")</f>
        <v>CRH003</v>
      </c>
      <c r="B77" s="32" t="s">
        <v>518</v>
      </c>
      <c r="C77" s="32" t="s">
        <v>2878</v>
      </c>
    </row>
    <row r="78" spans="1:3">
      <c r="A78" s="52" t="str" cm="1">
        <f t="array" ref="A78">_xlfn.XLOOKUP($C78,_xlfn.ANCHORARRAY('Health Concerns'!$B$2),'Health Concerns'!$A$2:$A$15,"Not Found")</f>
        <v>CRH004</v>
      </c>
      <c r="B78" s="48" t="s">
        <v>519</v>
      </c>
      <c r="C78" s="48" t="s">
        <v>2871</v>
      </c>
    </row>
    <row r="79" spans="1:3">
      <c r="A79" s="50" t="str" cm="1">
        <f t="array" ref="A79">_xlfn.XLOOKUP($C79,_xlfn.ANCHORARRAY('Health Concerns'!$B$2),'Health Concerns'!$A$2:$A$15,"Not Found")</f>
        <v>CRH005</v>
      </c>
      <c r="B79" s="32" t="s">
        <v>519</v>
      </c>
      <c r="C79" s="32" t="s">
        <v>2876</v>
      </c>
    </row>
    <row r="80" spans="1:3">
      <c r="A80" s="52" t="str" cm="1">
        <f t="array" ref="A80">_xlfn.XLOOKUP($C80,_xlfn.ANCHORARRAY('Health Concerns'!$B$2),'Health Concerns'!$A$2:$A$15,"Not Found")</f>
        <v>CRH006</v>
      </c>
      <c r="B80" s="48" t="s">
        <v>519</v>
      </c>
      <c r="C80" s="48" t="s">
        <v>2875</v>
      </c>
    </row>
    <row r="81" spans="1:3">
      <c r="A81" s="50" t="str" cm="1">
        <f t="array" ref="A81">_xlfn.XLOOKUP($C81,_xlfn.ANCHORARRAY('Health Concerns'!$B$2),'Health Concerns'!$A$2:$A$15,"Not Found")</f>
        <v>CRH001</v>
      </c>
      <c r="B81" s="32" t="s">
        <v>520</v>
      </c>
      <c r="C81" s="32" t="s">
        <v>2874</v>
      </c>
    </row>
    <row r="82" spans="1:3">
      <c r="A82" s="52" t="str" cm="1">
        <f t="array" ref="A82">_xlfn.XLOOKUP($C82,_xlfn.ANCHORARRAY('Health Concerns'!$B$2),'Health Concerns'!$A$2:$A$15,"Not Found")</f>
        <v>CRH002</v>
      </c>
      <c r="B82" s="48" t="s">
        <v>520</v>
      </c>
      <c r="C82" s="48" t="s">
        <v>2855</v>
      </c>
    </row>
    <row r="83" spans="1:3">
      <c r="A83" s="50" t="str" cm="1">
        <f t="array" ref="A83">_xlfn.XLOOKUP($C83,_xlfn.ANCHORARRAY('Health Concerns'!$B$2),'Health Concerns'!$A$2:$A$15,"Not Found")</f>
        <v>CRH001</v>
      </c>
      <c r="B83" s="32" t="s">
        <v>521</v>
      </c>
      <c r="C83" s="32" t="s">
        <v>2874</v>
      </c>
    </row>
    <row r="84" spans="1:3">
      <c r="A84" s="52" t="str" cm="1">
        <f t="array" ref="A84">_xlfn.XLOOKUP($C84,_xlfn.ANCHORARRAY('Health Concerns'!$B$2),'Health Concerns'!$A$2:$A$15,"Not Found")</f>
        <v>CRH002</v>
      </c>
      <c r="B84" s="48" t="s">
        <v>521</v>
      </c>
      <c r="C84" s="48" t="s">
        <v>2855</v>
      </c>
    </row>
    <row r="85" spans="1:3">
      <c r="A85" s="50" t="str" cm="1">
        <f t="array" ref="A85">_xlfn.XLOOKUP($C85,_xlfn.ANCHORARRAY('Health Concerns'!$B$2),'Health Concerns'!$A$2:$A$15,"Not Found")</f>
        <v>CRH003</v>
      </c>
      <c r="B85" s="32" t="s">
        <v>521</v>
      </c>
      <c r="C85" s="32" t="s">
        <v>2878</v>
      </c>
    </row>
    <row r="86" spans="1:3">
      <c r="A86" s="52" t="str" cm="1">
        <f t="array" ref="A86">_xlfn.XLOOKUP($C86,_xlfn.ANCHORARRAY('Health Concerns'!$B$2),'Health Concerns'!$A$2:$A$15,"Not Found")</f>
        <v>CRH004</v>
      </c>
      <c r="B86" s="48" t="s">
        <v>521</v>
      </c>
      <c r="C86" s="48" t="s">
        <v>2871</v>
      </c>
    </row>
    <row r="87" spans="1:3">
      <c r="A87" s="50" t="str" cm="1">
        <f t="array" ref="A87">_xlfn.XLOOKUP($C87,_xlfn.ANCHORARRAY('Health Concerns'!$B$2),'Health Concerns'!$A$2:$A$15,"Not Found")</f>
        <v>CRH001</v>
      </c>
      <c r="B87" s="32" t="s">
        <v>522</v>
      </c>
      <c r="C87" s="32" t="s">
        <v>2874</v>
      </c>
    </row>
    <row r="88" spans="1:3">
      <c r="A88" s="52" t="str" cm="1">
        <f t="array" ref="A88">_xlfn.XLOOKUP($C88,_xlfn.ANCHORARRAY('Health Concerns'!$B$2),'Health Concerns'!$A$2:$A$15,"Not Found")</f>
        <v>CRH002</v>
      </c>
      <c r="B88" s="48" t="s">
        <v>522</v>
      </c>
      <c r="C88" s="48" t="s">
        <v>2855</v>
      </c>
    </row>
    <row r="89" spans="1:3">
      <c r="A89" s="50" t="str" cm="1">
        <f t="array" ref="A89">_xlfn.XLOOKUP($C89,_xlfn.ANCHORARRAY('Health Concerns'!$B$2),'Health Concerns'!$A$2:$A$15,"Not Found")</f>
        <v>CRH003</v>
      </c>
      <c r="B89" s="32" t="s">
        <v>522</v>
      </c>
      <c r="C89" s="32" t="s">
        <v>2878</v>
      </c>
    </row>
    <row r="90" spans="1:3">
      <c r="A90" s="52" t="str" cm="1">
        <f t="array" ref="A90">_xlfn.XLOOKUP($C90,_xlfn.ANCHORARRAY('Health Concerns'!$B$2),'Health Concerns'!$A$2:$A$15,"Not Found")</f>
        <v>CRH004</v>
      </c>
      <c r="B90" s="48" t="s">
        <v>522</v>
      </c>
      <c r="C90" s="48" t="s">
        <v>2871</v>
      </c>
    </row>
    <row r="91" spans="1:3">
      <c r="A91" s="50" t="str" cm="1">
        <f t="array" ref="A91">_xlfn.XLOOKUP($C91,_xlfn.ANCHORARRAY('Health Concerns'!$B$2),'Health Concerns'!$A$2:$A$15,"Not Found")</f>
        <v>CRH004</v>
      </c>
      <c r="B91" s="32" t="s">
        <v>523</v>
      </c>
      <c r="C91" s="32" t="s">
        <v>2871</v>
      </c>
    </row>
    <row r="92" spans="1:3">
      <c r="A92" s="52" t="str" cm="1">
        <f t="array" ref="A92">_xlfn.XLOOKUP($C92,_xlfn.ANCHORARRAY('Health Concerns'!$B$2),'Health Concerns'!$A$2:$A$15,"Not Found")</f>
        <v>CRH005</v>
      </c>
      <c r="B92" s="48" t="s">
        <v>523</v>
      </c>
      <c r="C92" s="48" t="s">
        <v>2876</v>
      </c>
    </row>
    <row r="93" spans="1:3">
      <c r="A93" s="50" t="str" cm="1">
        <f t="array" ref="A93">_xlfn.XLOOKUP($C93,_xlfn.ANCHORARRAY('Health Concerns'!$B$2),'Health Concerns'!$A$2:$A$15,"Not Found")</f>
        <v>CRH006</v>
      </c>
      <c r="B93" s="32" t="s">
        <v>523</v>
      </c>
      <c r="C93" s="32" t="s">
        <v>2875</v>
      </c>
    </row>
    <row r="94" spans="1:3">
      <c r="A94" s="52" t="str" cm="1">
        <f t="array" ref="A94">_xlfn.XLOOKUP($C94,_xlfn.ANCHORARRAY('Health Concerns'!$B$2),'Health Concerns'!$A$2:$A$15,"Not Found")</f>
        <v>CRH004</v>
      </c>
      <c r="B94" s="48" t="s">
        <v>524</v>
      </c>
      <c r="C94" s="48" t="s">
        <v>2871</v>
      </c>
    </row>
    <row r="95" spans="1:3">
      <c r="A95" s="50" t="str" cm="1">
        <f t="array" ref="A95">_xlfn.XLOOKUP($C95,_xlfn.ANCHORARRAY('Health Concerns'!$B$2),'Health Concerns'!$A$2:$A$15,"Not Found")</f>
        <v>CRH001</v>
      </c>
      <c r="B95" s="32" t="s">
        <v>524</v>
      </c>
      <c r="C95" s="32" t="s">
        <v>2874</v>
      </c>
    </row>
    <row r="96" spans="1:3">
      <c r="A96" s="52" t="str" cm="1">
        <f t="array" ref="A96">_xlfn.XLOOKUP($C96,_xlfn.ANCHORARRAY('Health Concerns'!$B$2),'Health Concerns'!$A$2:$A$15,"Not Found")</f>
        <v>CRH001</v>
      </c>
      <c r="B96" s="48" t="s">
        <v>525</v>
      </c>
      <c r="C96" s="48" t="s">
        <v>2874</v>
      </c>
    </row>
    <row r="97" spans="1:3">
      <c r="A97" s="50" t="str" cm="1">
        <f t="array" ref="A97">_xlfn.XLOOKUP($C97,_xlfn.ANCHORARRAY('Health Concerns'!$B$2),'Health Concerns'!$A$2:$A$15,"Not Found")</f>
        <v>CRH007</v>
      </c>
      <c r="B97" s="32" t="s">
        <v>525</v>
      </c>
      <c r="C97" s="32" t="s">
        <v>2880</v>
      </c>
    </row>
    <row r="98" spans="1:3">
      <c r="A98" s="52" t="str" cm="1">
        <f t="array" ref="A98">_xlfn.XLOOKUP($C98,_xlfn.ANCHORARRAY('Health Concerns'!$B$2),'Health Concerns'!$A$2:$A$15,"Not Found")</f>
        <v>CRH002</v>
      </c>
      <c r="B98" s="48" t="s">
        <v>525</v>
      </c>
      <c r="C98" s="48" t="s">
        <v>2855</v>
      </c>
    </row>
    <row r="99" spans="1:3">
      <c r="A99" s="50" t="str" cm="1">
        <f t="array" ref="A99">_xlfn.XLOOKUP($C99,_xlfn.ANCHORARRAY('Health Concerns'!$B$2),'Health Concerns'!$A$2:$A$15,"Not Found")</f>
        <v>CRH001</v>
      </c>
      <c r="B99" s="32" t="s">
        <v>526</v>
      </c>
      <c r="C99" s="32" t="s">
        <v>2874</v>
      </c>
    </row>
    <row r="100" spans="1:3">
      <c r="A100" s="52" t="str" cm="1">
        <f t="array" ref="A100">_xlfn.XLOOKUP($C100,_xlfn.ANCHORARRAY('Health Concerns'!$B$2),'Health Concerns'!$A$2:$A$15,"Not Found")</f>
        <v>CRH007</v>
      </c>
      <c r="B100" s="48" t="s">
        <v>526</v>
      </c>
      <c r="C100" s="48" t="s">
        <v>2880</v>
      </c>
    </row>
    <row r="101" spans="1:3">
      <c r="A101" s="50" t="str" cm="1">
        <f t="array" ref="A101">_xlfn.XLOOKUP($C101,_xlfn.ANCHORARRAY('Health Concerns'!$B$2),'Health Concerns'!$A$2:$A$15,"Not Found")</f>
        <v>CRH002</v>
      </c>
      <c r="B101" s="32" t="s">
        <v>526</v>
      </c>
      <c r="C101" s="32" t="s">
        <v>2855</v>
      </c>
    </row>
    <row r="102" spans="1:3">
      <c r="A102" s="52" t="str" cm="1">
        <f t="array" ref="A102">_xlfn.XLOOKUP($C102,_xlfn.ANCHORARRAY('Health Concerns'!$B$2),'Health Concerns'!$A$2:$A$15,"Not Found")</f>
        <v>CRH001</v>
      </c>
      <c r="B102" s="48" t="s">
        <v>527</v>
      </c>
      <c r="C102" s="48" t="s">
        <v>2874</v>
      </c>
    </row>
    <row r="103" spans="1:3">
      <c r="A103" s="50" t="str" cm="1">
        <f t="array" ref="A103">_xlfn.XLOOKUP($C103,_xlfn.ANCHORARRAY('Health Concerns'!$B$2),'Health Concerns'!$A$2:$A$15,"Not Found")</f>
        <v>CRH007</v>
      </c>
      <c r="B103" s="32" t="s">
        <v>527</v>
      </c>
      <c r="C103" s="32" t="s">
        <v>2880</v>
      </c>
    </row>
    <row r="104" spans="1:3">
      <c r="A104" s="52" t="str" cm="1">
        <f t="array" ref="A104">_xlfn.XLOOKUP($C104,_xlfn.ANCHORARRAY('Health Concerns'!$B$2),'Health Concerns'!$A$2:$A$15,"Not Found")</f>
        <v>CRH002</v>
      </c>
      <c r="B104" s="48" t="s">
        <v>527</v>
      </c>
      <c r="C104" s="48" t="s">
        <v>2855</v>
      </c>
    </row>
    <row r="105" spans="1:3">
      <c r="A105" s="50" t="str" cm="1">
        <f t="array" ref="A105">_xlfn.XLOOKUP($C105,_xlfn.ANCHORARRAY('Health Concerns'!$B$2),'Health Concerns'!$A$2:$A$15,"Not Found")</f>
        <v>CRH001</v>
      </c>
      <c r="B105" s="32" t="s">
        <v>528</v>
      </c>
      <c r="C105" s="32" t="s">
        <v>2874</v>
      </c>
    </row>
    <row r="106" spans="1:3">
      <c r="A106" s="52" t="str" cm="1">
        <f t="array" ref="A106">_xlfn.XLOOKUP($C106,_xlfn.ANCHORARRAY('Health Concerns'!$B$2),'Health Concerns'!$A$2:$A$15,"Not Found")</f>
        <v>CRH007</v>
      </c>
      <c r="B106" s="48" t="s">
        <v>528</v>
      </c>
      <c r="C106" s="48" t="s">
        <v>2880</v>
      </c>
    </row>
    <row r="107" spans="1:3">
      <c r="A107" s="50" t="str" cm="1">
        <f t="array" ref="A107">_xlfn.XLOOKUP($C107,_xlfn.ANCHORARRAY('Health Concerns'!$B$2),'Health Concerns'!$A$2:$A$15,"Not Found")</f>
        <v>CRH002</v>
      </c>
      <c r="B107" s="32" t="s">
        <v>528</v>
      </c>
      <c r="C107" s="32" t="s">
        <v>2855</v>
      </c>
    </row>
    <row r="108" spans="1:3">
      <c r="A108" s="52" t="str" cm="1">
        <f t="array" ref="A108">_xlfn.XLOOKUP($C108,_xlfn.ANCHORARRAY('Health Concerns'!$B$2),'Health Concerns'!$A$2:$A$15,"Not Found")</f>
        <v>CRH001</v>
      </c>
      <c r="B108" s="48" t="s">
        <v>529</v>
      </c>
      <c r="C108" s="48" t="s">
        <v>2874</v>
      </c>
    </row>
    <row r="109" spans="1:3">
      <c r="A109" s="50" t="str" cm="1">
        <f t="array" ref="A109">_xlfn.XLOOKUP($C109,_xlfn.ANCHORARRAY('Health Concerns'!$B$2),'Health Concerns'!$A$2:$A$15,"Not Found")</f>
        <v>CRH007</v>
      </c>
      <c r="B109" s="32" t="s">
        <v>529</v>
      </c>
      <c r="C109" s="32" t="s">
        <v>2880</v>
      </c>
    </row>
    <row r="110" spans="1:3">
      <c r="A110" s="52" t="str" cm="1">
        <f t="array" ref="A110">_xlfn.XLOOKUP($C110,_xlfn.ANCHORARRAY('Health Concerns'!$B$2),'Health Concerns'!$A$2:$A$15,"Not Found")</f>
        <v>CRH002</v>
      </c>
      <c r="B110" s="48" t="s">
        <v>529</v>
      </c>
      <c r="C110" s="48" t="s">
        <v>2855</v>
      </c>
    </row>
    <row r="111" spans="1:3">
      <c r="A111" s="50" t="str" cm="1">
        <f t="array" ref="A111">_xlfn.XLOOKUP($C111,_xlfn.ANCHORARRAY('Health Concerns'!$B$2),'Health Concerns'!$A$2:$A$15,"Not Found")</f>
        <v>CRH001</v>
      </c>
      <c r="B111" s="32" t="s">
        <v>530</v>
      </c>
      <c r="C111" s="32" t="s">
        <v>2874</v>
      </c>
    </row>
    <row r="112" spans="1:3">
      <c r="A112" s="52" t="str" cm="1">
        <f t="array" ref="A112">_xlfn.XLOOKUP($C112,_xlfn.ANCHORARRAY('Health Concerns'!$B$2),'Health Concerns'!$A$2:$A$15,"Not Found")</f>
        <v>CRH012</v>
      </c>
      <c r="B112" s="48" t="s">
        <v>530</v>
      </c>
      <c r="C112" s="48" t="s">
        <v>2279</v>
      </c>
    </row>
    <row r="113" spans="1:3">
      <c r="A113" s="50" t="str" cm="1">
        <f t="array" ref="A113">_xlfn.XLOOKUP($C113,_xlfn.ANCHORARRAY('Health Concerns'!$B$2),'Health Concerns'!$A$2:$A$15,"Not Found")</f>
        <v>CRH002</v>
      </c>
      <c r="B113" s="32" t="s">
        <v>531</v>
      </c>
      <c r="C113" s="32" t="s">
        <v>2855</v>
      </c>
    </row>
    <row r="114" spans="1:3">
      <c r="A114" s="52" t="str" cm="1">
        <f t="array" ref="A114">_xlfn.XLOOKUP($C114,_xlfn.ANCHORARRAY('Health Concerns'!$B$2),'Health Concerns'!$A$2:$A$15,"Not Found")</f>
        <v>CRH004</v>
      </c>
      <c r="B114" s="48" t="s">
        <v>531</v>
      </c>
      <c r="C114" s="48" t="s">
        <v>2871</v>
      </c>
    </row>
    <row r="115" spans="1:3">
      <c r="A115" s="50" t="str" cm="1">
        <f t="array" ref="A115">_xlfn.XLOOKUP($C115,_xlfn.ANCHORARRAY('Health Concerns'!$B$2),'Health Concerns'!$A$2:$A$15,"Not Found")</f>
        <v>CRH011</v>
      </c>
      <c r="B115" s="32" t="s">
        <v>532</v>
      </c>
      <c r="C115" s="32" t="s">
        <v>2879</v>
      </c>
    </row>
    <row r="116" spans="1:3">
      <c r="A116" s="52" t="str" cm="1">
        <f t="array" ref="A116">_xlfn.XLOOKUP($C116,_xlfn.ANCHORARRAY('Health Concerns'!$B$2),'Health Concerns'!$A$2:$A$15,"Not Found")</f>
        <v>CRH011</v>
      </c>
      <c r="B116" s="48" t="s">
        <v>533</v>
      </c>
      <c r="C116" s="48" t="s">
        <v>2879</v>
      </c>
    </row>
    <row r="117" spans="1:3">
      <c r="A117" s="50" t="str" cm="1">
        <f t="array" ref="A117">_xlfn.XLOOKUP($C117,_xlfn.ANCHORARRAY('Health Concerns'!$B$2),'Health Concerns'!$A$2:$A$15,"Not Found")</f>
        <v>CRH008</v>
      </c>
      <c r="B117" s="32" t="s">
        <v>534</v>
      </c>
      <c r="C117" s="32" t="s">
        <v>2853</v>
      </c>
    </row>
    <row r="118" spans="1:3">
      <c r="A118" s="52" t="str" cm="1">
        <f t="array" ref="A118">_xlfn.XLOOKUP($C118,_xlfn.ANCHORARRAY('Health Concerns'!$B$2),'Health Concerns'!$A$2:$A$15,"Not Found")</f>
        <v>CRH008</v>
      </c>
      <c r="B118" s="48" t="s">
        <v>535</v>
      </c>
      <c r="C118" s="48" t="s">
        <v>2853</v>
      </c>
    </row>
    <row r="119" spans="1:3">
      <c r="A119" s="50" t="str" cm="1">
        <f t="array" ref="A119">_xlfn.XLOOKUP($C119,_xlfn.ANCHORARRAY('Health Concerns'!$B$2),'Health Concerns'!$A$2:$A$15,"Not Found")</f>
        <v>CRH008</v>
      </c>
      <c r="B119" s="32" t="s">
        <v>536</v>
      </c>
      <c r="C119" s="32" t="s">
        <v>2853</v>
      </c>
    </row>
    <row r="120" spans="1:3">
      <c r="A120" s="52" t="str" cm="1">
        <f t="array" ref="A120">_xlfn.XLOOKUP($C120,_xlfn.ANCHORARRAY('Health Concerns'!$B$2),'Health Concerns'!$A$2:$A$15,"Not Found")</f>
        <v>CRH013</v>
      </c>
      <c r="B120" s="48" t="s">
        <v>537</v>
      </c>
      <c r="C120" s="48" t="s">
        <v>2856</v>
      </c>
    </row>
    <row r="121" spans="1:3">
      <c r="A121" s="50" t="str" cm="1">
        <f t="array" ref="A121">_xlfn.XLOOKUP($C121,_xlfn.ANCHORARRAY('Health Concerns'!$B$2),'Health Concerns'!$A$2:$A$15,"Not Found")</f>
        <v>CRH014</v>
      </c>
      <c r="B121" s="32" t="s">
        <v>538</v>
      </c>
      <c r="C121" s="32" t="s">
        <v>2877</v>
      </c>
    </row>
    <row r="122" spans="1:3">
      <c r="A122" s="52" t="str" cm="1">
        <f t="array" ref="A122">_xlfn.XLOOKUP($C122,_xlfn.ANCHORARRAY('Health Concerns'!$B$2),'Health Concerns'!$A$2:$A$15,"Not Found")</f>
        <v>CRH001</v>
      </c>
      <c r="B122" s="48" t="s">
        <v>539</v>
      </c>
      <c r="C122" s="48" t="s">
        <v>2874</v>
      </c>
    </row>
    <row r="123" spans="1:3">
      <c r="A123" s="50" t="str" cm="1">
        <f t="array" ref="A123">_xlfn.XLOOKUP($C123,_xlfn.ANCHORARRAY('Health Concerns'!$B$2),'Health Concerns'!$A$2:$A$15,"Not Found")</f>
        <v>CRH006</v>
      </c>
      <c r="B123" s="32" t="s">
        <v>539</v>
      </c>
      <c r="C123" s="32" t="s">
        <v>2875</v>
      </c>
    </row>
    <row r="124" spans="1:3">
      <c r="A124" s="52" t="str" cm="1">
        <f t="array" ref="A124">_xlfn.XLOOKUP($C124,_xlfn.ANCHORARRAY('Health Concerns'!$B$2),'Health Concerns'!$A$2:$A$15,"Not Found")</f>
        <v>CRH009</v>
      </c>
      <c r="B124" s="48" t="s">
        <v>539</v>
      </c>
      <c r="C124" s="48" t="s">
        <v>2872</v>
      </c>
    </row>
    <row r="125" spans="1:3">
      <c r="A125" s="50" t="str" cm="1">
        <f t="array" ref="A125">_xlfn.XLOOKUP($C125,_xlfn.ANCHORARRAY('Health Concerns'!$B$2),'Health Concerns'!$A$2:$A$15,"Not Found")</f>
        <v>CRH001</v>
      </c>
      <c r="B125" s="32" t="s">
        <v>540</v>
      </c>
      <c r="C125" s="32" t="s">
        <v>2874</v>
      </c>
    </row>
    <row r="126" spans="1:3">
      <c r="A126" s="52" t="str" cm="1">
        <f t="array" ref="A126">_xlfn.XLOOKUP($C126,_xlfn.ANCHORARRAY('Health Concerns'!$B$2),'Health Concerns'!$A$2:$A$15,"Not Found")</f>
        <v>CRH006</v>
      </c>
      <c r="B126" s="48" t="s">
        <v>540</v>
      </c>
      <c r="C126" s="48" t="s">
        <v>2875</v>
      </c>
    </row>
    <row r="127" spans="1:3">
      <c r="A127" s="50" t="str" cm="1">
        <f t="array" ref="A127">_xlfn.XLOOKUP($C127,_xlfn.ANCHORARRAY('Health Concerns'!$B$2),'Health Concerns'!$A$2:$A$15,"Not Found")</f>
        <v>CRH009</v>
      </c>
      <c r="B127" s="32" t="s">
        <v>540</v>
      </c>
      <c r="C127" s="32" t="s">
        <v>2872</v>
      </c>
    </row>
    <row r="128" spans="1:3">
      <c r="A128" s="52" t="str" cm="1">
        <f t="array" ref="A128">_xlfn.XLOOKUP($C128,_xlfn.ANCHORARRAY('Health Concerns'!$B$2),'Health Concerns'!$A$2:$A$15,"Not Found")</f>
        <v>CRH008</v>
      </c>
      <c r="B128" s="48" t="s">
        <v>541</v>
      </c>
      <c r="C128" s="48" t="s">
        <v>2853</v>
      </c>
    </row>
    <row r="129" spans="1:3">
      <c r="A129" s="50" t="str" cm="1">
        <f t="array" ref="A129">_xlfn.XLOOKUP($C129,_xlfn.ANCHORARRAY('Health Concerns'!$B$2),'Health Concerns'!$A$2:$A$15,"Not Found")</f>
        <v>CRH011</v>
      </c>
      <c r="B129" s="32" t="s">
        <v>542</v>
      </c>
      <c r="C129" s="32" t="s">
        <v>2879</v>
      </c>
    </row>
    <row r="130" spans="1:3">
      <c r="A130" s="52" t="str" cm="1">
        <f t="array" ref="A130">_xlfn.XLOOKUP($C130,_xlfn.ANCHORARRAY('Health Concerns'!$B$2),'Health Concerns'!$A$2:$A$15,"Not Found")</f>
        <v>CRH008</v>
      </c>
      <c r="B130" s="48" t="s">
        <v>543</v>
      </c>
      <c r="C130" s="48" t="s">
        <v>2853</v>
      </c>
    </row>
    <row r="131" spans="1:3">
      <c r="A131" s="50" t="str" cm="1">
        <f t="array" ref="A131">_xlfn.XLOOKUP($C131,_xlfn.ANCHORARRAY('Health Concerns'!$B$2),'Health Concerns'!$A$2:$A$15,"Not Found")</f>
        <v>CRH008</v>
      </c>
      <c r="B131" s="32" t="s">
        <v>544</v>
      </c>
      <c r="C131" s="32" t="s">
        <v>2853</v>
      </c>
    </row>
    <row r="132" spans="1:3">
      <c r="A132" s="52" t="str" cm="1">
        <f t="array" ref="A132">_xlfn.XLOOKUP($C132,_xlfn.ANCHORARRAY('Health Concerns'!$B$2),'Health Concerns'!$A$2:$A$15,"Not Found")</f>
        <v>CRH008</v>
      </c>
      <c r="B132" s="48" t="s">
        <v>545</v>
      </c>
      <c r="C132" s="48" t="s">
        <v>2853</v>
      </c>
    </row>
    <row r="133" spans="1:3">
      <c r="A133" s="50" t="str" cm="1">
        <f t="array" ref="A133">_xlfn.XLOOKUP($C133,_xlfn.ANCHORARRAY('Health Concerns'!$B$2),'Health Concerns'!$A$2:$A$15,"Not Found")</f>
        <v>CRH008</v>
      </c>
      <c r="B133" s="32" t="s">
        <v>546</v>
      </c>
      <c r="C133" s="32" t="s">
        <v>2853</v>
      </c>
    </row>
    <row r="134" spans="1:3">
      <c r="A134" s="52" t="str" cm="1">
        <f t="array" ref="A134">_xlfn.XLOOKUP($C134,_xlfn.ANCHORARRAY('Health Concerns'!$B$2),'Health Concerns'!$A$2:$A$15,"Not Found")</f>
        <v>CRH008</v>
      </c>
      <c r="B134" s="48" t="s">
        <v>547</v>
      </c>
      <c r="C134" s="48" t="s">
        <v>2853</v>
      </c>
    </row>
    <row r="135" spans="1:3">
      <c r="A135" s="50" t="str" cm="1">
        <f t="array" ref="A135">_xlfn.XLOOKUP($C135,_xlfn.ANCHORARRAY('Health Concerns'!$B$2),'Health Concerns'!$A$2:$A$15,"Not Found")</f>
        <v>CRH008</v>
      </c>
      <c r="B135" s="32" t="s">
        <v>548</v>
      </c>
      <c r="C135" s="32" t="s">
        <v>2853</v>
      </c>
    </row>
    <row r="136" spans="1:3">
      <c r="A136" s="52" t="str" cm="1">
        <f t="array" ref="A136">_xlfn.XLOOKUP($C136,_xlfn.ANCHORARRAY('Health Concerns'!$B$2),'Health Concerns'!$A$2:$A$15,"Not Found")</f>
        <v>CRH008</v>
      </c>
      <c r="B136" s="48" t="s">
        <v>549</v>
      </c>
      <c r="C136" s="48" t="s">
        <v>2853</v>
      </c>
    </row>
    <row r="137" spans="1:3">
      <c r="A137" s="50" t="str" cm="1">
        <f t="array" ref="A137">_xlfn.XLOOKUP($C137,_xlfn.ANCHORARRAY('Health Concerns'!$B$2),'Health Concerns'!$A$2:$A$15,"Not Found")</f>
        <v>CRH008</v>
      </c>
      <c r="B137" s="32" t="s">
        <v>550</v>
      </c>
      <c r="C137" s="32" t="s">
        <v>2853</v>
      </c>
    </row>
    <row r="138" spans="1:3">
      <c r="A138" s="52" t="str" cm="1">
        <f t="array" ref="A138">_xlfn.XLOOKUP($C138,_xlfn.ANCHORARRAY('Health Concerns'!$B$2),'Health Concerns'!$A$2:$A$15,"Not Found")</f>
        <v>CRH008</v>
      </c>
      <c r="B138" s="48" t="s">
        <v>551</v>
      </c>
      <c r="C138" s="48" t="s">
        <v>2853</v>
      </c>
    </row>
    <row r="139" spans="1:3">
      <c r="A139" s="50" t="str" cm="1">
        <f t="array" ref="A139">_xlfn.XLOOKUP($C139,_xlfn.ANCHORARRAY('Health Concerns'!$B$2),'Health Concerns'!$A$2:$A$15,"Not Found")</f>
        <v>CRH008</v>
      </c>
      <c r="B139" s="32" t="s">
        <v>552</v>
      </c>
      <c r="C139" s="32" t="s">
        <v>2853</v>
      </c>
    </row>
    <row r="140" spans="1:3">
      <c r="A140" s="52" t="str" cm="1">
        <f t="array" ref="A140">_xlfn.XLOOKUP($C140,_xlfn.ANCHORARRAY('Health Concerns'!$B$2),'Health Concerns'!$A$2:$A$15,"Not Found")</f>
        <v>CRH008</v>
      </c>
      <c r="B140" s="48" t="s">
        <v>553</v>
      </c>
      <c r="C140" s="48" t="s">
        <v>2853</v>
      </c>
    </row>
    <row r="141" spans="1:3">
      <c r="A141" s="50" t="str" cm="1">
        <f t="array" ref="A141">_xlfn.XLOOKUP($C141,_xlfn.ANCHORARRAY('Health Concerns'!$B$2),'Health Concerns'!$A$2:$A$15,"Not Found")</f>
        <v>CRH008</v>
      </c>
      <c r="B141" s="32" t="s">
        <v>554</v>
      </c>
      <c r="C141" s="32" t="s">
        <v>2853</v>
      </c>
    </row>
    <row r="142" spans="1:3">
      <c r="A142" s="52" t="str" cm="1">
        <f t="array" ref="A142">_xlfn.XLOOKUP($C142,_xlfn.ANCHORARRAY('Health Concerns'!$B$2),'Health Concerns'!$A$2:$A$15,"Not Found")</f>
        <v>CRH008</v>
      </c>
      <c r="B142" s="48" t="s">
        <v>555</v>
      </c>
      <c r="C142" s="48" t="s">
        <v>2853</v>
      </c>
    </row>
    <row r="143" spans="1:3">
      <c r="A143" s="50" t="str" cm="1">
        <f t="array" ref="A143">_xlfn.XLOOKUP($C143,_xlfn.ANCHORARRAY('Health Concerns'!$B$2),'Health Concerns'!$A$2:$A$15,"Not Found")</f>
        <v>CRH008</v>
      </c>
      <c r="B143" s="32" t="s">
        <v>556</v>
      </c>
      <c r="C143" s="32" t="s">
        <v>2853</v>
      </c>
    </row>
    <row r="144" spans="1:3">
      <c r="A144" s="52" t="str" cm="1">
        <f t="array" ref="A144">_xlfn.XLOOKUP($C144,_xlfn.ANCHORARRAY('Health Concerns'!$B$2),'Health Concerns'!$A$2:$A$15,"Not Found")</f>
        <v>CRH008</v>
      </c>
      <c r="B144" s="48" t="s">
        <v>557</v>
      </c>
      <c r="C144" s="48" t="s">
        <v>2853</v>
      </c>
    </row>
    <row r="145" spans="1:3">
      <c r="A145" s="50" t="str" cm="1">
        <f t="array" ref="A145">_xlfn.XLOOKUP($C145,_xlfn.ANCHORARRAY('Health Concerns'!$B$2),'Health Concerns'!$A$2:$A$15,"Not Found")</f>
        <v>CRH008</v>
      </c>
      <c r="B145" s="32" t="s">
        <v>558</v>
      </c>
      <c r="C145" s="32" t="s">
        <v>2853</v>
      </c>
    </row>
    <row r="146" spans="1:3">
      <c r="A146" s="52" t="str" cm="1">
        <f t="array" ref="A146">_xlfn.XLOOKUP($C146,_xlfn.ANCHORARRAY('Health Concerns'!$B$2),'Health Concerns'!$A$2:$A$15,"Not Found")</f>
        <v>CRH008</v>
      </c>
      <c r="B146" s="48" t="s">
        <v>559</v>
      </c>
      <c r="C146" s="48" t="s">
        <v>2853</v>
      </c>
    </row>
    <row r="147" spans="1:3">
      <c r="A147" s="50" t="str" cm="1">
        <f t="array" ref="A147">_xlfn.XLOOKUP($C147,_xlfn.ANCHORARRAY('Health Concerns'!$B$2),'Health Concerns'!$A$2:$A$15,"Not Found")</f>
        <v>CRH001</v>
      </c>
      <c r="B147" s="32" t="s">
        <v>560</v>
      </c>
      <c r="C147" s="32" t="s">
        <v>2874</v>
      </c>
    </row>
    <row r="148" spans="1:3">
      <c r="A148" s="52" t="str" cm="1">
        <f t="array" ref="A148">_xlfn.XLOOKUP($C148,_xlfn.ANCHORARRAY('Health Concerns'!$B$2),'Health Concerns'!$A$2:$A$15,"Not Found")</f>
        <v>CRH006</v>
      </c>
      <c r="B148" s="48" t="s">
        <v>560</v>
      </c>
      <c r="C148" s="48" t="s">
        <v>2875</v>
      </c>
    </row>
    <row r="149" spans="1:3">
      <c r="A149" s="50" t="str" cm="1">
        <f t="array" ref="A149">_xlfn.XLOOKUP($C149,_xlfn.ANCHORARRAY('Health Concerns'!$B$2),'Health Concerns'!$A$2:$A$15,"Not Found")</f>
        <v>CRH009</v>
      </c>
      <c r="B149" s="32" t="s">
        <v>560</v>
      </c>
      <c r="C149" s="32" t="s">
        <v>2872</v>
      </c>
    </row>
    <row r="150" spans="1:3">
      <c r="A150" s="52" t="str" cm="1">
        <f t="array" ref="A150">_xlfn.XLOOKUP($C150,_xlfn.ANCHORARRAY('Health Concerns'!$B$2),'Health Concerns'!$A$2:$A$15,"Not Found")</f>
        <v>CRH010</v>
      </c>
      <c r="B150" s="48" t="s">
        <v>561</v>
      </c>
      <c r="C150" s="48" t="s">
        <v>2854</v>
      </c>
    </row>
    <row r="151" spans="1:3">
      <c r="A151" s="50" t="str" cm="1">
        <f t="array" ref="A151">_xlfn.XLOOKUP($C151,_xlfn.ANCHORARRAY('Health Concerns'!$B$2),'Health Concerns'!$A$2:$A$15,"Not Found")</f>
        <v>CRH001</v>
      </c>
      <c r="B151" s="32" t="s">
        <v>562</v>
      </c>
      <c r="C151" s="32" t="s">
        <v>2874</v>
      </c>
    </row>
    <row r="152" spans="1:3">
      <c r="A152" s="52" t="str" cm="1">
        <f t="array" ref="A152">_xlfn.XLOOKUP($C152,_xlfn.ANCHORARRAY('Health Concerns'!$B$2),'Health Concerns'!$A$2:$A$15,"Not Found")</f>
        <v>CRH006</v>
      </c>
      <c r="B152" s="48" t="s">
        <v>562</v>
      </c>
      <c r="C152" s="48" t="s">
        <v>2875</v>
      </c>
    </row>
    <row r="153" spans="1:3">
      <c r="A153" s="50" t="str" cm="1">
        <f t="array" ref="A153">_xlfn.XLOOKUP($C153,_xlfn.ANCHORARRAY('Health Concerns'!$B$2),'Health Concerns'!$A$2:$A$15,"Not Found")</f>
        <v>CRH009</v>
      </c>
      <c r="B153" s="32" t="s">
        <v>562</v>
      </c>
      <c r="C153" s="32" t="s">
        <v>2872</v>
      </c>
    </row>
    <row r="154" spans="1:3">
      <c r="A154" s="52" t="str" cm="1">
        <f t="array" ref="A154">_xlfn.XLOOKUP($C154,_xlfn.ANCHORARRAY('Health Concerns'!$B$2),'Health Concerns'!$A$2:$A$15,"Not Found")</f>
        <v>CRH001</v>
      </c>
      <c r="B154" s="48" t="s">
        <v>563</v>
      </c>
      <c r="C154" s="48" t="s">
        <v>2874</v>
      </c>
    </row>
    <row r="155" spans="1:3">
      <c r="A155" s="50" t="str" cm="1">
        <f t="array" ref="A155">_xlfn.XLOOKUP($C155,_xlfn.ANCHORARRAY('Health Concerns'!$B$2),'Health Concerns'!$A$2:$A$15,"Not Found")</f>
        <v>CRH006</v>
      </c>
      <c r="B155" s="32" t="s">
        <v>563</v>
      </c>
      <c r="C155" s="32" t="s">
        <v>2875</v>
      </c>
    </row>
    <row r="156" spans="1:3">
      <c r="A156" s="52" t="str" cm="1">
        <f t="array" ref="A156">_xlfn.XLOOKUP($C156,_xlfn.ANCHORARRAY('Health Concerns'!$B$2),'Health Concerns'!$A$2:$A$15,"Not Found")</f>
        <v>CRH009</v>
      </c>
      <c r="B156" s="48" t="s">
        <v>563</v>
      </c>
      <c r="C156" s="48" t="s">
        <v>2872</v>
      </c>
    </row>
    <row r="157" spans="1:3">
      <c r="A157" s="50" t="str" cm="1">
        <f t="array" ref="A157">_xlfn.XLOOKUP($C157,_xlfn.ANCHORARRAY('Health Concerns'!$B$2),'Health Concerns'!$A$2:$A$15,"Not Found")</f>
        <v>CRH001</v>
      </c>
      <c r="B157" s="32" t="s">
        <v>564</v>
      </c>
      <c r="C157" s="32" t="s">
        <v>2874</v>
      </c>
    </row>
    <row r="158" spans="1:3">
      <c r="A158" s="52" t="str" cm="1">
        <f t="array" ref="A158">_xlfn.XLOOKUP($C158,_xlfn.ANCHORARRAY('Health Concerns'!$B$2),'Health Concerns'!$A$2:$A$15,"Not Found")</f>
        <v>CRH006</v>
      </c>
      <c r="B158" s="48" t="s">
        <v>564</v>
      </c>
      <c r="C158" s="48" t="s">
        <v>2875</v>
      </c>
    </row>
    <row r="159" spans="1:3">
      <c r="A159" s="50" t="str" cm="1">
        <f t="array" ref="A159">_xlfn.XLOOKUP($C159,_xlfn.ANCHORARRAY('Health Concerns'!$B$2),'Health Concerns'!$A$2:$A$15,"Not Found")</f>
        <v>CRH009</v>
      </c>
      <c r="B159" s="32" t="s">
        <v>564</v>
      </c>
      <c r="C159" s="32" t="s">
        <v>2872</v>
      </c>
    </row>
    <row r="160" spans="1:3">
      <c r="A160" s="52" t="str" cm="1">
        <f t="array" ref="A160">_xlfn.XLOOKUP($C160,_xlfn.ANCHORARRAY('Health Concerns'!$B$2),'Health Concerns'!$A$2:$A$15,"Not Found")</f>
        <v>CRH001</v>
      </c>
      <c r="B160" s="48" t="s">
        <v>565</v>
      </c>
      <c r="C160" s="48" t="s">
        <v>2874</v>
      </c>
    </row>
    <row r="161" spans="1:3">
      <c r="A161" s="50" t="str" cm="1">
        <f t="array" ref="A161">_xlfn.XLOOKUP($C161,_xlfn.ANCHORARRAY('Health Concerns'!$B$2),'Health Concerns'!$A$2:$A$15,"Not Found")</f>
        <v>CRH006</v>
      </c>
      <c r="B161" s="32" t="s">
        <v>565</v>
      </c>
      <c r="C161" s="32" t="s">
        <v>2875</v>
      </c>
    </row>
    <row r="162" spans="1:3">
      <c r="A162" s="52" t="str" cm="1">
        <f t="array" ref="A162">_xlfn.XLOOKUP($C162,_xlfn.ANCHORARRAY('Health Concerns'!$B$2),'Health Concerns'!$A$2:$A$15,"Not Found")</f>
        <v>CRH009</v>
      </c>
      <c r="B162" s="48" t="s">
        <v>565</v>
      </c>
      <c r="C162" s="48" t="s">
        <v>2872</v>
      </c>
    </row>
    <row r="163" spans="1:3">
      <c r="A163" s="50" t="str" cm="1">
        <f t="array" ref="A163">_xlfn.XLOOKUP($C163,_xlfn.ANCHORARRAY('Health Concerns'!$B$2),'Health Concerns'!$A$2:$A$15,"Not Found")</f>
        <v>CRH008</v>
      </c>
      <c r="B163" s="32" t="s">
        <v>566</v>
      </c>
      <c r="C163" s="32" t="s">
        <v>2853</v>
      </c>
    </row>
    <row r="164" spans="1:3">
      <c r="A164" s="52" t="str" cm="1">
        <f t="array" ref="A164">_xlfn.XLOOKUP($C164,_xlfn.ANCHORARRAY('Health Concerns'!$B$2),'Health Concerns'!$A$2:$A$15,"Not Found")</f>
        <v>CRH011</v>
      </c>
      <c r="B164" s="48" t="s">
        <v>567</v>
      </c>
      <c r="C164" s="48" t="s">
        <v>2879</v>
      </c>
    </row>
    <row r="165" spans="1:3">
      <c r="A165" s="50" t="str" cm="1">
        <f t="array" ref="A165">_xlfn.XLOOKUP($C165,_xlfn.ANCHORARRAY('Health Concerns'!$B$2),'Health Concerns'!$A$2:$A$15,"Not Found")</f>
        <v>CRH008</v>
      </c>
      <c r="B165" s="32" t="s">
        <v>568</v>
      </c>
      <c r="C165" s="32" t="s">
        <v>2853</v>
      </c>
    </row>
    <row r="166" spans="1:3">
      <c r="A166" s="52" t="str" cm="1">
        <f t="array" ref="A166">_xlfn.XLOOKUP($C166,_xlfn.ANCHORARRAY('Health Concerns'!$B$2),'Health Concerns'!$A$2:$A$15,"Not Found")</f>
        <v>CRH008</v>
      </c>
      <c r="B166" s="48" t="s">
        <v>569</v>
      </c>
      <c r="C166" s="48" t="s">
        <v>2853</v>
      </c>
    </row>
    <row r="167" spans="1:3">
      <c r="A167" s="50" t="str" cm="1">
        <f t="array" ref="A167">_xlfn.XLOOKUP($C167,_xlfn.ANCHORARRAY('Health Concerns'!$B$2),'Health Concerns'!$A$2:$A$15,"Not Found")</f>
        <v>CRH008</v>
      </c>
      <c r="B167" s="32" t="s">
        <v>570</v>
      </c>
      <c r="C167" s="32" t="s">
        <v>2853</v>
      </c>
    </row>
    <row r="168" spans="1:3">
      <c r="A168" s="52" t="str" cm="1">
        <f t="array" ref="A168">_xlfn.XLOOKUP($C168,_xlfn.ANCHORARRAY('Health Concerns'!$B$2),'Health Concerns'!$A$2:$A$15,"Not Found")</f>
        <v>CRH008</v>
      </c>
      <c r="B168" s="48" t="s">
        <v>571</v>
      </c>
      <c r="C168" s="48" t="s">
        <v>2853</v>
      </c>
    </row>
    <row r="169" spans="1:3">
      <c r="A169" s="50" t="str" cm="1">
        <f t="array" ref="A169">_xlfn.XLOOKUP($C169,_xlfn.ANCHORARRAY('Health Concerns'!$B$2),'Health Concerns'!$A$2:$A$15,"Not Found")</f>
        <v>CRH008</v>
      </c>
      <c r="B169" s="32" t="s">
        <v>572</v>
      </c>
      <c r="C169" s="32" t="s">
        <v>2853</v>
      </c>
    </row>
    <row r="170" spans="1:3">
      <c r="A170" s="52" t="str" cm="1">
        <f t="array" ref="A170">_xlfn.XLOOKUP($C170,_xlfn.ANCHORARRAY('Health Concerns'!$B$2),'Health Concerns'!$A$2:$A$15,"Not Found")</f>
        <v>CRH008</v>
      </c>
      <c r="B170" s="48" t="s">
        <v>573</v>
      </c>
      <c r="C170" s="48" t="s">
        <v>2853</v>
      </c>
    </row>
    <row r="171" spans="1:3">
      <c r="A171" s="50" t="str" cm="1">
        <f t="array" ref="A171">_xlfn.XLOOKUP($C171,_xlfn.ANCHORARRAY('Health Concerns'!$B$2),'Health Concerns'!$A$2:$A$15,"Not Found")</f>
        <v>CRH008</v>
      </c>
      <c r="B171" s="32" t="s">
        <v>574</v>
      </c>
      <c r="C171" s="32" t="s">
        <v>2853</v>
      </c>
    </row>
    <row r="172" spans="1:3">
      <c r="A172" s="52" t="str" cm="1">
        <f t="array" ref="A172">_xlfn.XLOOKUP($C172,_xlfn.ANCHORARRAY('Health Concerns'!$B$2),'Health Concerns'!$A$2:$A$15,"Not Found")</f>
        <v>CRH008</v>
      </c>
      <c r="B172" s="48" t="s">
        <v>575</v>
      </c>
      <c r="C172" s="48" t="s">
        <v>2853</v>
      </c>
    </row>
    <row r="173" spans="1:3">
      <c r="A173" s="50" t="str" cm="1">
        <f t="array" ref="A173">_xlfn.XLOOKUP($C173,_xlfn.ANCHORARRAY('Health Concerns'!$B$2),'Health Concerns'!$A$2:$A$15,"Not Found")</f>
        <v>CRH008</v>
      </c>
      <c r="B173" s="32" t="s">
        <v>576</v>
      </c>
      <c r="C173" s="32" t="s">
        <v>2853</v>
      </c>
    </row>
    <row r="174" spans="1:3">
      <c r="A174" s="52" t="str" cm="1">
        <f t="array" ref="A174">_xlfn.XLOOKUP($C174,_xlfn.ANCHORARRAY('Health Concerns'!$B$2),'Health Concerns'!$A$2:$A$15,"Not Found")</f>
        <v>CRH008</v>
      </c>
      <c r="B174" s="48" t="s">
        <v>577</v>
      </c>
      <c r="C174" s="48" t="s">
        <v>2853</v>
      </c>
    </row>
    <row r="175" spans="1:3">
      <c r="A175" s="50" t="str" cm="1">
        <f t="array" ref="A175">_xlfn.XLOOKUP($C175,_xlfn.ANCHORARRAY('Health Concerns'!$B$2),'Health Concerns'!$A$2:$A$15,"Not Found")</f>
        <v>CRH008</v>
      </c>
      <c r="B175" s="32" t="s">
        <v>578</v>
      </c>
      <c r="C175" s="32" t="s">
        <v>2853</v>
      </c>
    </row>
    <row r="176" spans="1:3">
      <c r="A176" s="52" t="str" cm="1">
        <f t="array" ref="A176">_xlfn.XLOOKUP($C176,_xlfn.ANCHORARRAY('Health Concerns'!$B$2),'Health Concerns'!$A$2:$A$15,"Not Found")</f>
        <v>CRH008</v>
      </c>
      <c r="B176" s="48" t="s">
        <v>579</v>
      </c>
      <c r="C176" s="48" t="s">
        <v>2853</v>
      </c>
    </row>
    <row r="177" spans="1:3">
      <c r="A177" s="50" t="str" cm="1">
        <f t="array" ref="A177">_xlfn.XLOOKUP($C177,_xlfn.ANCHORARRAY('Health Concerns'!$B$2),'Health Concerns'!$A$2:$A$15,"Not Found")</f>
        <v>CRH008</v>
      </c>
      <c r="B177" s="32" t="s">
        <v>580</v>
      </c>
      <c r="C177" s="32" t="s">
        <v>2853</v>
      </c>
    </row>
    <row r="178" spans="1:3">
      <c r="A178" s="52" t="str" cm="1">
        <f t="array" ref="A178">_xlfn.XLOOKUP($C178,_xlfn.ANCHORARRAY('Health Concerns'!$B$2),'Health Concerns'!$A$2:$A$15,"Not Found")</f>
        <v>CRH008</v>
      </c>
      <c r="B178" s="48" t="s">
        <v>581</v>
      </c>
      <c r="C178" s="48" t="s">
        <v>2853</v>
      </c>
    </row>
    <row r="179" spans="1:3">
      <c r="A179" s="50" t="str" cm="1">
        <f t="array" ref="A179">_xlfn.XLOOKUP($C179,_xlfn.ANCHORARRAY('Health Concerns'!$B$2),'Health Concerns'!$A$2:$A$15,"Not Found")</f>
        <v>CRH008</v>
      </c>
      <c r="B179" s="32" t="s">
        <v>582</v>
      </c>
      <c r="C179" s="32" t="s">
        <v>2853</v>
      </c>
    </row>
    <row r="180" spans="1:3">
      <c r="A180" s="52" t="str" cm="1">
        <f t="array" ref="A180">_xlfn.XLOOKUP($C180,_xlfn.ANCHORARRAY('Health Concerns'!$B$2),'Health Concerns'!$A$2:$A$15,"Not Found")</f>
        <v>CRH008</v>
      </c>
      <c r="B180" s="48" t="s">
        <v>583</v>
      </c>
      <c r="C180" s="48" t="s">
        <v>2853</v>
      </c>
    </row>
    <row r="181" spans="1:3">
      <c r="A181" s="50" t="str" cm="1">
        <f t="array" ref="A181">_xlfn.XLOOKUP($C181,_xlfn.ANCHORARRAY('Health Concerns'!$B$2),'Health Concerns'!$A$2:$A$15,"Not Found")</f>
        <v>CRH008</v>
      </c>
      <c r="B181" s="32" t="s">
        <v>584</v>
      </c>
      <c r="C181" s="32" t="s">
        <v>2853</v>
      </c>
    </row>
    <row r="182" spans="1:3">
      <c r="A182" s="52" t="str" cm="1">
        <f t="array" ref="A182">_xlfn.XLOOKUP($C182,_xlfn.ANCHORARRAY('Health Concerns'!$B$2),'Health Concerns'!$A$2:$A$15,"Not Found")</f>
        <v>CRH001</v>
      </c>
      <c r="B182" s="48" t="s">
        <v>585</v>
      </c>
      <c r="C182" s="48" t="s">
        <v>2874</v>
      </c>
    </row>
    <row r="183" spans="1:3">
      <c r="A183" s="50" t="str" cm="1">
        <f t="array" ref="A183">_xlfn.XLOOKUP($C183,_xlfn.ANCHORARRAY('Health Concerns'!$B$2),'Health Concerns'!$A$2:$A$15,"Not Found")</f>
        <v>CRH006</v>
      </c>
      <c r="B183" s="32" t="s">
        <v>585</v>
      </c>
      <c r="C183" s="32" t="s">
        <v>2875</v>
      </c>
    </row>
    <row r="184" spans="1:3">
      <c r="A184" s="52" t="str" cm="1">
        <f t="array" ref="A184">_xlfn.XLOOKUP($C184,_xlfn.ANCHORARRAY('Health Concerns'!$B$2),'Health Concerns'!$A$2:$A$15,"Not Found")</f>
        <v>CRH009</v>
      </c>
      <c r="B184" s="48" t="s">
        <v>585</v>
      </c>
      <c r="C184" s="48" t="s">
        <v>2872</v>
      </c>
    </row>
    <row r="185" spans="1:3">
      <c r="A185" s="50" t="str" cm="1">
        <f t="array" ref="A185">_xlfn.XLOOKUP($C185,_xlfn.ANCHORARRAY('Health Concerns'!$B$2),'Health Concerns'!$A$2:$A$15,"Not Found")</f>
        <v>CRH010</v>
      </c>
      <c r="B185" s="32" t="s">
        <v>586</v>
      </c>
      <c r="C185" s="32" t="s">
        <v>2854</v>
      </c>
    </row>
    <row r="186" spans="1:3">
      <c r="A186" s="52" t="str" cm="1">
        <f t="array" ref="A186">_xlfn.XLOOKUP($C186,_xlfn.ANCHORARRAY('Health Concerns'!$B$2),'Health Concerns'!$A$2:$A$15,"Not Found")</f>
        <v>CRH001</v>
      </c>
      <c r="B186" s="48" t="s">
        <v>587</v>
      </c>
      <c r="C186" s="48" t="s">
        <v>2874</v>
      </c>
    </row>
    <row r="187" spans="1:3">
      <c r="A187" s="50" t="str" cm="1">
        <f t="array" ref="A187">_xlfn.XLOOKUP($C187,_xlfn.ANCHORARRAY('Health Concerns'!$B$2),'Health Concerns'!$A$2:$A$15,"Not Found")</f>
        <v>CRH006</v>
      </c>
      <c r="B187" s="32" t="s">
        <v>587</v>
      </c>
      <c r="C187" s="32" t="s">
        <v>2875</v>
      </c>
    </row>
    <row r="188" spans="1:3">
      <c r="A188" s="52" t="str" cm="1">
        <f t="array" ref="A188">_xlfn.XLOOKUP($C188,_xlfn.ANCHORARRAY('Health Concerns'!$B$2),'Health Concerns'!$A$2:$A$15,"Not Found")</f>
        <v>CRH009</v>
      </c>
      <c r="B188" s="48" t="s">
        <v>587</v>
      </c>
      <c r="C188" s="48" t="s">
        <v>2872</v>
      </c>
    </row>
    <row r="189" spans="1:3">
      <c r="A189" s="50" t="str" cm="1">
        <f t="array" ref="A189">_xlfn.XLOOKUP($C189,_xlfn.ANCHORARRAY('Health Concerns'!$B$2),'Health Concerns'!$A$2:$A$15,"Not Found")</f>
        <v>CRH001</v>
      </c>
      <c r="B189" s="32" t="s">
        <v>588</v>
      </c>
      <c r="C189" s="32" t="s">
        <v>2874</v>
      </c>
    </row>
    <row r="190" spans="1:3">
      <c r="A190" s="52" t="str" cm="1">
        <f t="array" ref="A190">_xlfn.XLOOKUP($C190,_xlfn.ANCHORARRAY('Health Concerns'!$B$2),'Health Concerns'!$A$2:$A$15,"Not Found")</f>
        <v>CRH006</v>
      </c>
      <c r="B190" s="48" t="s">
        <v>588</v>
      </c>
      <c r="C190" s="48" t="s">
        <v>2875</v>
      </c>
    </row>
    <row r="191" spans="1:3">
      <c r="A191" s="50" t="str" cm="1">
        <f t="array" ref="A191">_xlfn.XLOOKUP($C191,_xlfn.ANCHORARRAY('Health Concerns'!$B$2),'Health Concerns'!$A$2:$A$15,"Not Found")</f>
        <v>CRH009</v>
      </c>
      <c r="B191" s="32" t="s">
        <v>588</v>
      </c>
      <c r="C191" s="32" t="s">
        <v>2872</v>
      </c>
    </row>
    <row r="192" spans="1:3">
      <c r="A192" s="52" t="str" cm="1">
        <f t="array" ref="A192">_xlfn.XLOOKUP($C192,_xlfn.ANCHORARRAY('Health Concerns'!$B$2),'Health Concerns'!$A$2:$A$15,"Not Found")</f>
        <v>CRH001</v>
      </c>
      <c r="B192" s="48" t="s">
        <v>589</v>
      </c>
      <c r="C192" s="48" t="s">
        <v>2874</v>
      </c>
    </row>
    <row r="193" spans="1:3">
      <c r="A193" s="50" t="str" cm="1">
        <f t="array" ref="A193">_xlfn.XLOOKUP($C193,_xlfn.ANCHORARRAY('Health Concerns'!$B$2),'Health Concerns'!$A$2:$A$15,"Not Found")</f>
        <v>CRH006</v>
      </c>
      <c r="B193" s="32" t="s">
        <v>589</v>
      </c>
      <c r="C193" s="32" t="s">
        <v>2875</v>
      </c>
    </row>
    <row r="194" spans="1:3">
      <c r="A194" s="52" t="str" cm="1">
        <f t="array" ref="A194">_xlfn.XLOOKUP($C194,_xlfn.ANCHORARRAY('Health Concerns'!$B$2),'Health Concerns'!$A$2:$A$15,"Not Found")</f>
        <v>CRH009</v>
      </c>
      <c r="B194" s="48" t="s">
        <v>589</v>
      </c>
      <c r="C194" s="48" t="s">
        <v>2872</v>
      </c>
    </row>
    <row r="195" spans="1:3">
      <c r="A195" s="50" t="str" cm="1">
        <f t="array" ref="A195">_xlfn.XLOOKUP($C195,_xlfn.ANCHORARRAY('Health Concerns'!$B$2),'Health Concerns'!$A$2:$A$15,"Not Found")</f>
        <v>CRH008</v>
      </c>
      <c r="B195" s="32" t="s">
        <v>590</v>
      </c>
      <c r="C195" s="32" t="s">
        <v>2853</v>
      </c>
    </row>
    <row r="196" spans="1:3">
      <c r="A196" s="52" t="str" cm="1">
        <f t="array" ref="A196">_xlfn.XLOOKUP($C196,_xlfn.ANCHORARRAY('Health Concerns'!$B$2),'Health Concerns'!$A$2:$A$15,"Not Found")</f>
        <v>CRH008</v>
      </c>
      <c r="B196" s="48" t="s">
        <v>591</v>
      </c>
      <c r="C196" s="48" t="s">
        <v>2853</v>
      </c>
    </row>
    <row r="197" spans="1:3">
      <c r="A197" s="50" t="str" cm="1">
        <f t="array" ref="A197">_xlfn.XLOOKUP($C197,_xlfn.ANCHORARRAY('Health Concerns'!$B$2),'Health Concerns'!$A$2:$A$15,"Not Found")</f>
        <v>CRH008</v>
      </c>
      <c r="B197" s="32" t="s">
        <v>592</v>
      </c>
      <c r="C197" s="32" t="s">
        <v>2853</v>
      </c>
    </row>
    <row r="198" spans="1:3">
      <c r="A198" s="52" t="str" cm="1">
        <f t="array" ref="A198">_xlfn.XLOOKUP($C198,_xlfn.ANCHORARRAY('Health Concerns'!$B$2),'Health Concerns'!$A$2:$A$15,"Not Found")</f>
        <v>CRH008</v>
      </c>
      <c r="B198" s="48" t="s">
        <v>593</v>
      </c>
      <c r="C198" s="48" t="s">
        <v>2853</v>
      </c>
    </row>
    <row r="199" spans="1:3">
      <c r="A199" s="50" t="str" cm="1">
        <f t="array" ref="A199">_xlfn.XLOOKUP($C199,_xlfn.ANCHORARRAY('Health Concerns'!$B$2),'Health Concerns'!$A$2:$A$15,"Not Found")</f>
        <v>CRH008</v>
      </c>
      <c r="B199" s="32" t="s">
        <v>594</v>
      </c>
      <c r="C199" s="32" t="s">
        <v>2853</v>
      </c>
    </row>
    <row r="200" spans="1:3">
      <c r="A200" s="52" t="str" cm="1">
        <f t="array" ref="A200">_xlfn.XLOOKUP($C200,_xlfn.ANCHORARRAY('Health Concerns'!$B$2),'Health Concerns'!$A$2:$A$15,"Not Found")</f>
        <v>CRH008</v>
      </c>
      <c r="B200" s="48" t="s">
        <v>595</v>
      </c>
      <c r="C200" s="48" t="s">
        <v>2853</v>
      </c>
    </row>
    <row r="201" spans="1:3">
      <c r="A201" s="50" t="str" cm="1">
        <f t="array" ref="A201">_xlfn.XLOOKUP($C201,_xlfn.ANCHORARRAY('Health Concerns'!$B$2),'Health Concerns'!$A$2:$A$15,"Not Found")</f>
        <v>CRH001</v>
      </c>
      <c r="B201" s="32" t="s">
        <v>596</v>
      </c>
      <c r="C201" s="32" t="s">
        <v>2874</v>
      </c>
    </row>
    <row r="202" spans="1:3">
      <c r="A202" s="52" t="str" cm="1">
        <f t="array" ref="A202">_xlfn.XLOOKUP($C202,_xlfn.ANCHORARRAY('Health Concerns'!$B$2),'Health Concerns'!$A$2:$A$15,"Not Found")</f>
        <v>CRH002</v>
      </c>
      <c r="B202" s="48" t="s">
        <v>596</v>
      </c>
      <c r="C202" s="48" t="s">
        <v>2855</v>
      </c>
    </row>
    <row r="203" spans="1:3">
      <c r="A203" s="50" t="str" cm="1">
        <f t="array" ref="A203">_xlfn.XLOOKUP($C203,_xlfn.ANCHORARRAY('Health Concerns'!$B$2),'Health Concerns'!$A$2:$A$15,"Not Found")</f>
        <v>CRH008</v>
      </c>
      <c r="B203" s="32" t="s">
        <v>597</v>
      </c>
      <c r="C203" s="32" t="s">
        <v>2853</v>
      </c>
    </row>
    <row r="204" spans="1:3">
      <c r="A204" s="52" t="str" cm="1">
        <f t="array" ref="A204">_xlfn.XLOOKUP($C204,_xlfn.ANCHORARRAY('Health Concerns'!$B$2),'Health Concerns'!$A$2:$A$15,"Not Found")</f>
        <v>CRH008</v>
      </c>
      <c r="B204" s="48" t="s">
        <v>598</v>
      </c>
      <c r="C204" s="48" t="s">
        <v>2853</v>
      </c>
    </row>
    <row r="205" spans="1:3">
      <c r="A205" s="50" t="str" cm="1">
        <f t="array" ref="A205">_xlfn.XLOOKUP($C205,_xlfn.ANCHORARRAY('Health Concerns'!$B$2),'Health Concerns'!$A$2:$A$15,"Not Found")</f>
        <v>CRH008</v>
      </c>
      <c r="B205" s="32" t="s">
        <v>599</v>
      </c>
      <c r="C205" s="32" t="s">
        <v>2853</v>
      </c>
    </row>
    <row r="206" spans="1:3">
      <c r="A206" s="52" t="str" cm="1">
        <f t="array" ref="A206">_xlfn.XLOOKUP($C206,_xlfn.ANCHORARRAY('Health Concerns'!$B$2),'Health Concerns'!$A$2:$A$15,"Not Found")</f>
        <v>CRH008</v>
      </c>
      <c r="B206" s="48" t="s">
        <v>600</v>
      </c>
      <c r="C206" s="48" t="s">
        <v>2853</v>
      </c>
    </row>
    <row r="207" spans="1:3">
      <c r="A207" s="50" t="str" cm="1">
        <f t="array" ref="A207">_xlfn.XLOOKUP($C207,_xlfn.ANCHORARRAY('Health Concerns'!$B$2),'Health Concerns'!$A$2:$A$15,"Not Found")</f>
        <v>CRH008</v>
      </c>
      <c r="B207" s="32" t="s">
        <v>601</v>
      </c>
      <c r="C207" s="32" t="s">
        <v>2853</v>
      </c>
    </row>
    <row r="208" spans="1:3">
      <c r="A208" s="52" t="str" cm="1">
        <f t="array" ref="A208">_xlfn.XLOOKUP($C208,_xlfn.ANCHORARRAY('Health Concerns'!$B$2),'Health Concerns'!$A$2:$A$15,"Not Found")</f>
        <v>CRH011</v>
      </c>
      <c r="B208" s="48" t="s">
        <v>602</v>
      </c>
      <c r="C208" s="48" t="s">
        <v>2879</v>
      </c>
    </row>
    <row r="209" spans="1:3">
      <c r="A209" s="50" t="str" cm="1">
        <f t="array" ref="A209">_xlfn.XLOOKUP($C209,_xlfn.ANCHORARRAY('Health Concerns'!$B$2),'Health Concerns'!$A$2:$A$15,"Not Found")</f>
        <v>CRH008</v>
      </c>
      <c r="B209" s="32" t="s">
        <v>603</v>
      </c>
      <c r="C209" s="32" t="s">
        <v>2853</v>
      </c>
    </row>
    <row r="210" spans="1:3">
      <c r="A210" s="52" t="str" cm="1">
        <f t="array" ref="A210">_xlfn.XLOOKUP($C210,_xlfn.ANCHORARRAY('Health Concerns'!$B$2),'Health Concerns'!$A$2:$A$15,"Not Found")</f>
        <v>CRH013</v>
      </c>
      <c r="B210" s="48" t="s">
        <v>604</v>
      </c>
      <c r="C210" s="48" t="s">
        <v>2856</v>
      </c>
    </row>
    <row r="211" spans="1:3">
      <c r="A211" s="50" t="str" cm="1">
        <f t="array" ref="A211">_xlfn.XLOOKUP($C211,_xlfn.ANCHORARRAY('Health Concerns'!$B$2),'Health Concerns'!$A$2:$A$15,"Not Found")</f>
        <v>CRH008</v>
      </c>
      <c r="B211" s="32" t="s">
        <v>605</v>
      </c>
      <c r="C211" s="32" t="s">
        <v>2853</v>
      </c>
    </row>
    <row r="212" spans="1:3">
      <c r="A212" s="52" t="str" cm="1">
        <f t="array" ref="A212">_xlfn.XLOOKUP($C212,_xlfn.ANCHORARRAY('Health Concerns'!$B$2),'Health Concerns'!$A$2:$A$15,"Not Found")</f>
        <v>CRH008</v>
      </c>
      <c r="B212" s="48" t="s">
        <v>606</v>
      </c>
      <c r="C212" s="48" t="s">
        <v>2853</v>
      </c>
    </row>
    <row r="213" spans="1:3">
      <c r="A213" s="50" t="str" cm="1">
        <f t="array" ref="A213">_xlfn.XLOOKUP($C213,_xlfn.ANCHORARRAY('Health Concerns'!$B$2),'Health Concerns'!$A$2:$A$15,"Not Found")</f>
        <v>CRH008</v>
      </c>
      <c r="B213" s="32" t="s">
        <v>607</v>
      </c>
      <c r="C213" s="32" t="s">
        <v>2853</v>
      </c>
    </row>
    <row r="214" spans="1:3">
      <c r="A214" s="52" t="str" cm="1">
        <f t="array" ref="A214">_xlfn.XLOOKUP($C214,_xlfn.ANCHORARRAY('Health Concerns'!$B$2),'Health Concerns'!$A$2:$A$15,"Not Found")</f>
        <v>CRH008</v>
      </c>
      <c r="B214" s="48" t="s">
        <v>608</v>
      </c>
      <c r="C214" s="48" t="s">
        <v>2853</v>
      </c>
    </row>
    <row r="215" spans="1:3">
      <c r="A215" s="50" t="str" cm="1">
        <f t="array" ref="A215">_xlfn.XLOOKUP($C215,_xlfn.ANCHORARRAY('Health Concerns'!$B$2),'Health Concerns'!$A$2:$A$15,"Not Found")</f>
        <v>CRH008</v>
      </c>
      <c r="B215" s="32" t="s">
        <v>609</v>
      </c>
      <c r="C215" s="32" t="s">
        <v>2853</v>
      </c>
    </row>
    <row r="216" spans="1:3">
      <c r="A216" s="52" t="str" cm="1">
        <f t="array" ref="A216">_xlfn.XLOOKUP($C216,_xlfn.ANCHORARRAY('Health Concerns'!$B$2),'Health Concerns'!$A$2:$A$15,"Not Found")</f>
        <v>CRH008</v>
      </c>
      <c r="B216" s="48" t="s">
        <v>610</v>
      </c>
      <c r="C216" s="48" t="s">
        <v>2853</v>
      </c>
    </row>
    <row r="217" spans="1:3">
      <c r="A217" s="50" t="str" cm="1">
        <f t="array" ref="A217">_xlfn.XLOOKUP($C217,_xlfn.ANCHORARRAY('Health Concerns'!$B$2),'Health Concerns'!$A$2:$A$15,"Not Found")</f>
        <v>CRH014</v>
      </c>
      <c r="B217" s="32" t="s">
        <v>611</v>
      </c>
      <c r="C217" s="32" t="s">
        <v>2877</v>
      </c>
    </row>
    <row r="218" spans="1:3">
      <c r="A218" s="52" t="str" cm="1">
        <f t="array" ref="A218">_xlfn.XLOOKUP($C218,_xlfn.ANCHORARRAY('Health Concerns'!$B$2),'Health Concerns'!$A$2:$A$15,"Not Found")</f>
        <v>CRH001</v>
      </c>
      <c r="B218" s="48" t="s">
        <v>612</v>
      </c>
      <c r="C218" s="48" t="s">
        <v>2874</v>
      </c>
    </row>
    <row r="219" spans="1:3">
      <c r="A219" s="50" t="str" cm="1">
        <f t="array" ref="A219">_xlfn.XLOOKUP($C219,_xlfn.ANCHORARRAY('Health Concerns'!$B$2),'Health Concerns'!$A$2:$A$15,"Not Found")</f>
        <v>CRH006</v>
      </c>
      <c r="B219" s="32" t="s">
        <v>612</v>
      </c>
      <c r="C219" s="32" t="s">
        <v>2875</v>
      </c>
    </row>
    <row r="220" spans="1:3">
      <c r="A220" s="52" t="str" cm="1">
        <f t="array" ref="A220">_xlfn.XLOOKUP($C220,_xlfn.ANCHORARRAY('Health Concerns'!$B$2),'Health Concerns'!$A$2:$A$15,"Not Found")</f>
        <v>CRH009</v>
      </c>
      <c r="B220" s="48" t="s">
        <v>612</v>
      </c>
      <c r="C220" s="48" t="s">
        <v>2872</v>
      </c>
    </row>
    <row r="221" spans="1:3">
      <c r="A221" s="50" t="str" cm="1">
        <f t="array" ref="A221">_xlfn.XLOOKUP($C221,_xlfn.ANCHORARRAY('Health Concerns'!$B$2),'Health Concerns'!$A$2:$A$15,"Not Found")</f>
        <v>CRH002</v>
      </c>
      <c r="B221" s="32" t="s">
        <v>613</v>
      </c>
      <c r="C221" s="32" t="s">
        <v>2855</v>
      </c>
    </row>
    <row r="222" spans="1:3">
      <c r="A222" s="52" t="str" cm="1">
        <f t="array" ref="A222">_xlfn.XLOOKUP($C222,_xlfn.ANCHORARRAY('Health Concerns'!$B$2),'Health Concerns'!$A$2:$A$15,"Not Found")</f>
        <v>CRH004</v>
      </c>
      <c r="B222" s="48" t="s">
        <v>613</v>
      </c>
      <c r="C222" s="48" t="s">
        <v>2871</v>
      </c>
    </row>
    <row r="223" spans="1:3">
      <c r="A223" s="50" t="str" cm="1">
        <f t="array" ref="A223">_xlfn.XLOOKUP($C223,_xlfn.ANCHORARRAY('Health Concerns'!$B$2),'Health Concerns'!$A$2:$A$15,"Not Found")</f>
        <v>CRH008</v>
      </c>
      <c r="B223" s="32" t="s">
        <v>614</v>
      </c>
      <c r="C223" s="32" t="s">
        <v>2853</v>
      </c>
    </row>
    <row r="224" spans="1:3">
      <c r="A224" s="52" t="str" cm="1">
        <f t="array" ref="A224">_xlfn.XLOOKUP($C224,_xlfn.ANCHORARRAY('Health Concerns'!$B$2),'Health Concerns'!$A$2:$A$15,"Not Found")</f>
        <v>CRH001</v>
      </c>
      <c r="B224" s="48" t="s">
        <v>615</v>
      </c>
      <c r="C224" s="48" t="s">
        <v>2874</v>
      </c>
    </row>
    <row r="225" spans="1:3">
      <c r="A225" s="50" t="str" cm="1">
        <f t="array" ref="A225">_xlfn.XLOOKUP($C225,_xlfn.ANCHORARRAY('Health Concerns'!$B$2),'Health Concerns'!$A$2:$A$15,"Not Found")</f>
        <v>CRH006</v>
      </c>
      <c r="B225" s="32" t="s">
        <v>615</v>
      </c>
      <c r="C225" s="32" t="s">
        <v>2875</v>
      </c>
    </row>
    <row r="226" spans="1:3">
      <c r="A226" s="52" t="str" cm="1">
        <f t="array" ref="A226">_xlfn.XLOOKUP($C226,_xlfn.ANCHORARRAY('Health Concerns'!$B$2),'Health Concerns'!$A$2:$A$15,"Not Found")</f>
        <v>CRH009</v>
      </c>
      <c r="B226" s="48" t="s">
        <v>615</v>
      </c>
      <c r="C226" s="48" t="s">
        <v>2872</v>
      </c>
    </row>
    <row r="227" spans="1:3">
      <c r="A227" s="50" t="str" cm="1">
        <f t="array" ref="A227">_xlfn.XLOOKUP($C227,_xlfn.ANCHORARRAY('Health Concerns'!$B$2),'Health Concerns'!$A$2:$A$15,"Not Found")</f>
        <v>CRH008</v>
      </c>
      <c r="B227" s="32" t="s">
        <v>616</v>
      </c>
      <c r="C227" s="32" t="s">
        <v>2853</v>
      </c>
    </row>
    <row r="228" spans="1:3">
      <c r="A228" s="52" t="str" cm="1">
        <f t="array" ref="A228">_xlfn.XLOOKUP($C228,_xlfn.ANCHORARRAY('Health Concerns'!$B$2),'Health Concerns'!$A$2:$A$15,"Not Found")</f>
        <v>CRH008</v>
      </c>
      <c r="B228" s="48" t="s">
        <v>617</v>
      </c>
      <c r="C228" s="48" t="s">
        <v>2853</v>
      </c>
    </row>
    <row r="229" spans="1:3">
      <c r="A229" s="50" t="str" cm="1">
        <f t="array" ref="A229">_xlfn.XLOOKUP($C229,_xlfn.ANCHORARRAY('Health Concerns'!$B$2),'Health Concerns'!$A$2:$A$15,"Not Found")</f>
        <v>CRH008</v>
      </c>
      <c r="B229" s="32" t="s">
        <v>618</v>
      </c>
      <c r="C229" s="32" t="s">
        <v>2853</v>
      </c>
    </row>
    <row r="230" spans="1:3">
      <c r="A230" s="52" t="str" cm="1">
        <f t="array" ref="A230">_xlfn.XLOOKUP($C230,_xlfn.ANCHORARRAY('Health Concerns'!$B$2),'Health Concerns'!$A$2:$A$15,"Not Found")</f>
        <v>CRH008</v>
      </c>
      <c r="B230" s="48" t="s">
        <v>619</v>
      </c>
      <c r="C230" s="48" t="s">
        <v>2853</v>
      </c>
    </row>
    <row r="231" spans="1:3">
      <c r="A231" s="50" t="str" cm="1">
        <f t="array" ref="A231">_xlfn.XLOOKUP($C231,_xlfn.ANCHORARRAY('Health Concerns'!$B$2),'Health Concerns'!$A$2:$A$15,"Not Found")</f>
        <v>CRH001</v>
      </c>
      <c r="B231" s="32" t="s">
        <v>620</v>
      </c>
      <c r="C231" s="32" t="s">
        <v>2874</v>
      </c>
    </row>
    <row r="232" spans="1:3">
      <c r="A232" s="52" t="str" cm="1">
        <f t="array" ref="A232">_xlfn.XLOOKUP($C232,_xlfn.ANCHORARRAY('Health Concerns'!$B$2),'Health Concerns'!$A$2:$A$15,"Not Found")</f>
        <v>CRH002</v>
      </c>
      <c r="B232" s="48" t="s">
        <v>620</v>
      </c>
      <c r="C232" s="48" t="s">
        <v>2855</v>
      </c>
    </row>
    <row r="233" spans="1:3">
      <c r="A233" s="50" t="str" cm="1">
        <f t="array" ref="A233">_xlfn.XLOOKUP($C233,_xlfn.ANCHORARRAY('Health Concerns'!$B$2),'Health Concerns'!$A$2:$A$15,"Not Found")</f>
        <v>CRH008</v>
      </c>
      <c r="B233" s="32" t="s">
        <v>621</v>
      </c>
      <c r="C233" s="32" t="s">
        <v>2853</v>
      </c>
    </row>
    <row r="234" spans="1:3">
      <c r="A234" s="52" t="str" cm="1">
        <f t="array" ref="A234">_xlfn.XLOOKUP($C234,_xlfn.ANCHORARRAY('Health Concerns'!$B$2),'Health Concerns'!$A$2:$A$15,"Not Found")</f>
        <v>CRH008</v>
      </c>
      <c r="B234" s="48" t="s">
        <v>622</v>
      </c>
      <c r="C234" s="48" t="s">
        <v>2853</v>
      </c>
    </row>
    <row r="235" spans="1:3">
      <c r="A235" s="50" t="str" cm="1">
        <f t="array" ref="A235">_xlfn.XLOOKUP($C235,_xlfn.ANCHORARRAY('Health Concerns'!$B$2),'Health Concerns'!$A$2:$A$15,"Not Found")</f>
        <v>CRH008</v>
      </c>
      <c r="B235" s="32" t="s">
        <v>623</v>
      </c>
      <c r="C235" s="32" t="s">
        <v>2853</v>
      </c>
    </row>
    <row r="236" spans="1:3">
      <c r="A236" s="52" t="str" cm="1">
        <f t="array" ref="A236">_xlfn.XLOOKUP($C236,_xlfn.ANCHORARRAY('Health Concerns'!$B$2),'Health Concerns'!$A$2:$A$15,"Not Found")</f>
        <v>CRH008</v>
      </c>
      <c r="B236" s="48" t="s">
        <v>624</v>
      </c>
      <c r="C236" s="48" t="s">
        <v>2853</v>
      </c>
    </row>
    <row r="237" spans="1:3">
      <c r="A237" s="50" t="str" cm="1">
        <f t="array" ref="A237">_xlfn.XLOOKUP($C237,_xlfn.ANCHORARRAY('Health Concerns'!$B$2),'Health Concerns'!$A$2:$A$15,"Not Found")</f>
        <v>CRH008</v>
      </c>
      <c r="B237" s="32" t="s">
        <v>625</v>
      </c>
      <c r="C237" s="32" t="s">
        <v>2853</v>
      </c>
    </row>
    <row r="238" spans="1:3">
      <c r="A238" s="52" t="str" cm="1">
        <f t="array" ref="A238">_xlfn.XLOOKUP($C238,_xlfn.ANCHORARRAY('Health Concerns'!$B$2),'Health Concerns'!$A$2:$A$15,"Not Found")</f>
        <v>CRH011</v>
      </c>
      <c r="B238" s="48" t="s">
        <v>626</v>
      </c>
      <c r="C238" s="48" t="s">
        <v>2879</v>
      </c>
    </row>
    <row r="239" spans="1:3">
      <c r="A239" s="50" t="str" cm="1">
        <f t="array" ref="A239">_xlfn.XLOOKUP($C239,_xlfn.ANCHORARRAY('Health Concerns'!$B$2),'Health Concerns'!$A$2:$A$15,"Not Found")</f>
        <v>CRH008</v>
      </c>
      <c r="B239" s="32" t="s">
        <v>627</v>
      </c>
      <c r="C239" s="32" t="s">
        <v>2853</v>
      </c>
    </row>
    <row r="240" spans="1:3">
      <c r="A240" s="52" t="str" cm="1">
        <f t="array" ref="A240">_xlfn.XLOOKUP($C240,_xlfn.ANCHORARRAY('Health Concerns'!$B$2),'Health Concerns'!$A$2:$A$15,"Not Found")</f>
        <v>CRH013</v>
      </c>
      <c r="B240" s="48" t="s">
        <v>628</v>
      </c>
      <c r="C240" s="48" t="s">
        <v>2856</v>
      </c>
    </row>
    <row r="241" spans="1:3">
      <c r="A241" s="50" t="str" cm="1">
        <f t="array" ref="A241">_xlfn.XLOOKUP($C241,_xlfn.ANCHORARRAY('Health Concerns'!$B$2),'Health Concerns'!$A$2:$A$15,"Not Found")</f>
        <v>CRH008</v>
      </c>
      <c r="B241" s="32" t="s">
        <v>629</v>
      </c>
      <c r="C241" s="32" t="s">
        <v>2853</v>
      </c>
    </row>
    <row r="242" spans="1:3">
      <c r="A242" s="52" t="str" cm="1">
        <f t="array" ref="A242">_xlfn.XLOOKUP($C242,_xlfn.ANCHORARRAY('Health Concerns'!$B$2),'Health Concerns'!$A$2:$A$15,"Not Found")</f>
        <v>CRH008</v>
      </c>
      <c r="B242" s="48" t="s">
        <v>630</v>
      </c>
      <c r="C242" s="48" t="s">
        <v>2853</v>
      </c>
    </row>
    <row r="243" spans="1:3">
      <c r="A243" s="50" t="str" cm="1">
        <f t="array" ref="A243">_xlfn.XLOOKUP($C243,_xlfn.ANCHORARRAY('Health Concerns'!$B$2),'Health Concerns'!$A$2:$A$15,"Not Found")</f>
        <v>CRH008</v>
      </c>
      <c r="B243" s="32" t="s">
        <v>631</v>
      </c>
      <c r="C243" s="32" t="s">
        <v>2853</v>
      </c>
    </row>
    <row r="244" spans="1:3">
      <c r="A244" s="52" t="str" cm="1">
        <f t="array" ref="A244">_xlfn.XLOOKUP($C244,_xlfn.ANCHORARRAY('Health Concerns'!$B$2),'Health Concerns'!$A$2:$A$15,"Not Found")</f>
        <v>CRH008</v>
      </c>
      <c r="B244" s="48" t="s">
        <v>632</v>
      </c>
      <c r="C244" s="48" t="s">
        <v>2853</v>
      </c>
    </row>
    <row r="245" spans="1:3">
      <c r="A245" s="50" t="str" cm="1">
        <f t="array" ref="A245">_xlfn.XLOOKUP($C245,_xlfn.ANCHORARRAY('Health Concerns'!$B$2),'Health Concerns'!$A$2:$A$15,"Not Found")</f>
        <v>CRH008</v>
      </c>
      <c r="B245" s="32" t="s">
        <v>633</v>
      </c>
      <c r="C245" s="32" t="s">
        <v>2853</v>
      </c>
    </row>
    <row r="246" spans="1:3">
      <c r="A246" s="52" t="str" cm="1">
        <f t="array" ref="A246">_xlfn.XLOOKUP($C246,_xlfn.ANCHORARRAY('Health Concerns'!$B$2),'Health Concerns'!$A$2:$A$15,"Not Found")</f>
        <v>CRH008</v>
      </c>
      <c r="B246" s="48" t="s">
        <v>634</v>
      </c>
      <c r="C246" s="48" t="s">
        <v>2853</v>
      </c>
    </row>
    <row r="247" spans="1:3">
      <c r="A247" s="50" t="str" cm="1">
        <f t="array" ref="A247">_xlfn.XLOOKUP($C247,_xlfn.ANCHORARRAY('Health Concerns'!$B$2),'Health Concerns'!$A$2:$A$15,"Not Found")</f>
        <v>CRH014</v>
      </c>
      <c r="B247" s="32" t="s">
        <v>635</v>
      </c>
      <c r="C247" s="32" t="s">
        <v>2877</v>
      </c>
    </row>
    <row r="248" spans="1:3">
      <c r="A248" s="52" t="str" cm="1">
        <f t="array" ref="A248">_xlfn.XLOOKUP($C248,_xlfn.ANCHORARRAY('Health Concerns'!$B$2),'Health Concerns'!$A$2:$A$15,"Not Found")</f>
        <v>CRH001</v>
      </c>
      <c r="B248" s="48" t="s">
        <v>636</v>
      </c>
      <c r="C248" s="48" t="s">
        <v>2874</v>
      </c>
    </row>
    <row r="249" spans="1:3">
      <c r="A249" s="50" t="str" cm="1">
        <f t="array" ref="A249">_xlfn.XLOOKUP($C249,_xlfn.ANCHORARRAY('Health Concerns'!$B$2),'Health Concerns'!$A$2:$A$15,"Not Found")</f>
        <v>CRH006</v>
      </c>
      <c r="B249" s="32" t="s">
        <v>636</v>
      </c>
      <c r="C249" s="32" t="s">
        <v>2875</v>
      </c>
    </row>
    <row r="250" spans="1:3">
      <c r="A250" s="52" t="str" cm="1">
        <f t="array" ref="A250">_xlfn.XLOOKUP($C250,_xlfn.ANCHORARRAY('Health Concerns'!$B$2),'Health Concerns'!$A$2:$A$15,"Not Found")</f>
        <v>CRH009</v>
      </c>
      <c r="B250" s="48" t="s">
        <v>636</v>
      </c>
      <c r="C250" s="48" t="s">
        <v>2872</v>
      </c>
    </row>
    <row r="251" spans="1:3">
      <c r="A251" s="50" t="str" cm="1">
        <f t="array" ref="A251">_xlfn.XLOOKUP($C251,_xlfn.ANCHORARRAY('Health Concerns'!$B$2),'Health Concerns'!$A$2:$A$15,"Not Found")</f>
        <v>CRH002</v>
      </c>
      <c r="B251" s="32" t="s">
        <v>637</v>
      </c>
      <c r="C251" s="32" t="s">
        <v>2855</v>
      </c>
    </row>
    <row r="252" spans="1:3">
      <c r="A252" s="52" t="str" cm="1">
        <f t="array" ref="A252">_xlfn.XLOOKUP($C252,_xlfn.ANCHORARRAY('Health Concerns'!$B$2),'Health Concerns'!$A$2:$A$15,"Not Found")</f>
        <v>CRH004</v>
      </c>
      <c r="B252" s="48" t="s">
        <v>637</v>
      </c>
      <c r="C252" s="48" t="s">
        <v>2871</v>
      </c>
    </row>
    <row r="253" spans="1:3">
      <c r="A253" s="50" t="str" cm="1">
        <f t="array" ref="A253">_xlfn.XLOOKUP($C253,_xlfn.ANCHORARRAY('Health Concerns'!$B$2),'Health Concerns'!$A$2:$A$15,"Not Found")</f>
        <v>CRH008</v>
      </c>
      <c r="B253" s="32" t="s">
        <v>638</v>
      </c>
      <c r="C253" s="32" t="s">
        <v>2853</v>
      </c>
    </row>
    <row r="254" spans="1:3">
      <c r="A254" s="52" t="str" cm="1">
        <f t="array" ref="A254">_xlfn.XLOOKUP($C254,_xlfn.ANCHORARRAY('Health Concerns'!$B$2),'Health Concerns'!$A$2:$A$15,"Not Found")</f>
        <v>CRH001</v>
      </c>
      <c r="B254" s="48" t="s">
        <v>639</v>
      </c>
      <c r="C254" s="48" t="s">
        <v>2874</v>
      </c>
    </row>
    <row r="255" spans="1:3">
      <c r="A255" s="50" t="str" cm="1">
        <f t="array" ref="A255">_xlfn.XLOOKUP($C255,_xlfn.ANCHORARRAY('Health Concerns'!$B$2),'Health Concerns'!$A$2:$A$15,"Not Found")</f>
        <v>CRH006</v>
      </c>
      <c r="B255" s="32" t="s">
        <v>639</v>
      </c>
      <c r="C255" s="32" t="s">
        <v>2875</v>
      </c>
    </row>
    <row r="256" spans="1:3">
      <c r="A256" s="52" t="str" cm="1">
        <f t="array" ref="A256">_xlfn.XLOOKUP($C256,_xlfn.ANCHORARRAY('Health Concerns'!$B$2),'Health Concerns'!$A$2:$A$15,"Not Found")</f>
        <v>CRH009</v>
      </c>
      <c r="B256" s="48" t="s">
        <v>639</v>
      </c>
      <c r="C256" s="48" t="s">
        <v>2872</v>
      </c>
    </row>
    <row r="257" spans="1:3">
      <c r="A257" s="50" t="str" cm="1">
        <f t="array" ref="A257">_xlfn.XLOOKUP($C257,_xlfn.ANCHORARRAY('Health Concerns'!$B$2),'Health Concerns'!$A$2:$A$15,"Not Found")</f>
        <v>CRH008</v>
      </c>
      <c r="B257" s="32" t="s">
        <v>640</v>
      </c>
      <c r="C257" s="32" t="s">
        <v>2853</v>
      </c>
    </row>
    <row r="258" spans="1:3">
      <c r="A258" s="52" t="str" cm="1">
        <f t="array" ref="A258">_xlfn.XLOOKUP($C258,_xlfn.ANCHORARRAY('Health Concerns'!$B$2),'Health Concerns'!$A$2:$A$15,"Not Found")</f>
        <v>CRH008</v>
      </c>
      <c r="B258" s="48" t="s">
        <v>641</v>
      </c>
      <c r="C258" s="48" t="s">
        <v>2853</v>
      </c>
    </row>
    <row r="259" spans="1:3">
      <c r="A259" s="50" t="str" cm="1">
        <f t="array" ref="A259">_xlfn.XLOOKUP($C259,_xlfn.ANCHORARRAY('Health Concerns'!$B$2),'Health Concerns'!$A$2:$A$15,"Not Found")</f>
        <v>CRH008</v>
      </c>
      <c r="B259" s="32" t="s">
        <v>642</v>
      </c>
      <c r="C259" s="32" t="s">
        <v>2853</v>
      </c>
    </row>
    <row r="260" spans="1:3">
      <c r="A260" s="52" t="str" cm="1">
        <f t="array" ref="A260">_xlfn.XLOOKUP($C260,_xlfn.ANCHORARRAY('Health Concerns'!$B$2),'Health Concerns'!$A$2:$A$15,"Not Found")</f>
        <v>CRH008</v>
      </c>
      <c r="B260" s="48" t="s">
        <v>643</v>
      </c>
      <c r="C260" s="48" t="s">
        <v>2853</v>
      </c>
    </row>
    <row r="261" spans="1:3">
      <c r="A261" s="50" t="str" cm="1">
        <f t="array" ref="A261">_xlfn.XLOOKUP($C261,_xlfn.ANCHORARRAY('Health Concerns'!$B$2),'Health Concerns'!$A$2:$A$15,"Not Found")</f>
        <v>CRH001</v>
      </c>
      <c r="B261" s="32" t="s">
        <v>644</v>
      </c>
      <c r="C261" s="32" t="s">
        <v>2874</v>
      </c>
    </row>
    <row r="262" spans="1:3">
      <c r="A262" s="52" t="str" cm="1">
        <f t="array" ref="A262">_xlfn.XLOOKUP($C262,_xlfn.ANCHORARRAY('Health Concerns'!$B$2),'Health Concerns'!$A$2:$A$15,"Not Found")</f>
        <v>CRH002</v>
      </c>
      <c r="B262" s="48" t="s">
        <v>644</v>
      </c>
      <c r="C262" s="48" t="s">
        <v>2855</v>
      </c>
    </row>
    <row r="263" spans="1:3">
      <c r="A263" s="50" t="str" cm="1">
        <f t="array" ref="A263">_xlfn.XLOOKUP($C263,_xlfn.ANCHORARRAY('Health Concerns'!$B$2),'Health Concerns'!$A$2:$A$15,"Not Found")</f>
        <v>CRH008</v>
      </c>
      <c r="B263" s="32" t="s">
        <v>645</v>
      </c>
      <c r="C263" s="32" t="s">
        <v>2853</v>
      </c>
    </row>
    <row r="264" spans="1:3">
      <c r="A264" s="52" t="str" cm="1">
        <f t="array" ref="A264">_xlfn.XLOOKUP($C264,_xlfn.ANCHORARRAY('Health Concerns'!$B$2),'Health Concerns'!$A$2:$A$15,"Not Found")</f>
        <v>CRH008</v>
      </c>
      <c r="B264" s="48" t="s">
        <v>646</v>
      </c>
      <c r="C264" s="48" t="s">
        <v>2853</v>
      </c>
    </row>
    <row r="265" spans="1:3">
      <c r="A265" s="50" t="str" cm="1">
        <f t="array" ref="A265">_xlfn.XLOOKUP($C265,_xlfn.ANCHORARRAY('Health Concerns'!$B$2),'Health Concerns'!$A$2:$A$15,"Not Found")</f>
        <v>CRH008</v>
      </c>
      <c r="B265" s="32" t="s">
        <v>647</v>
      </c>
      <c r="C265" s="32" t="s">
        <v>2853</v>
      </c>
    </row>
    <row r="266" spans="1:3">
      <c r="A266" s="52" t="str" cm="1">
        <f t="array" ref="A266">_xlfn.XLOOKUP($C266,_xlfn.ANCHORARRAY('Health Concerns'!$B$2),'Health Concerns'!$A$2:$A$15,"Not Found")</f>
        <v>CRH008</v>
      </c>
      <c r="B266" s="48" t="s">
        <v>648</v>
      </c>
      <c r="C266" s="48" t="s">
        <v>2853</v>
      </c>
    </row>
    <row r="267" spans="1:3">
      <c r="A267" s="50" t="str" cm="1">
        <f t="array" ref="A267">_xlfn.XLOOKUP($C267,_xlfn.ANCHORARRAY('Health Concerns'!$B$2),'Health Concerns'!$A$2:$A$15,"Not Found")</f>
        <v>CRH008</v>
      </c>
      <c r="B267" s="32" t="s">
        <v>649</v>
      </c>
      <c r="C267" s="32" t="s">
        <v>2853</v>
      </c>
    </row>
    <row r="268" spans="1:3">
      <c r="A268" s="52" t="str" cm="1">
        <f t="array" ref="A268">_xlfn.XLOOKUP($C268,_xlfn.ANCHORARRAY('Health Concerns'!$B$2),'Health Concerns'!$A$2:$A$15,"Not Found")</f>
        <v>CRH011</v>
      </c>
      <c r="B268" s="48" t="s">
        <v>650</v>
      </c>
      <c r="C268" s="48" t="s">
        <v>2879</v>
      </c>
    </row>
    <row r="269" spans="1:3">
      <c r="A269" s="50" t="str" cm="1">
        <f t="array" ref="A269">_xlfn.XLOOKUP($C269,_xlfn.ANCHORARRAY('Health Concerns'!$B$2),'Health Concerns'!$A$2:$A$15,"Not Found")</f>
        <v>CRH008</v>
      </c>
      <c r="B269" s="32" t="s">
        <v>651</v>
      </c>
      <c r="C269" s="32" t="s">
        <v>2853</v>
      </c>
    </row>
    <row r="270" spans="1:3">
      <c r="A270" s="52" t="str" cm="1">
        <f t="array" ref="A270">_xlfn.XLOOKUP($C270,_xlfn.ANCHORARRAY('Health Concerns'!$B$2),'Health Concerns'!$A$2:$A$15,"Not Found")</f>
        <v>CRH013</v>
      </c>
      <c r="B270" s="48" t="s">
        <v>652</v>
      </c>
      <c r="C270" s="48" t="s">
        <v>2856</v>
      </c>
    </row>
    <row r="271" spans="1:3">
      <c r="A271" s="50" t="str" cm="1">
        <f t="array" ref="A271">_xlfn.XLOOKUP($C271,_xlfn.ANCHORARRAY('Health Concerns'!$B$2),'Health Concerns'!$A$2:$A$15,"Not Found")</f>
        <v>CRH008</v>
      </c>
      <c r="B271" s="32" t="s">
        <v>653</v>
      </c>
      <c r="C271" s="32" t="s">
        <v>2853</v>
      </c>
    </row>
    <row r="272" spans="1:3">
      <c r="A272" s="52" t="str" cm="1">
        <f t="array" ref="A272">_xlfn.XLOOKUP($C272,_xlfn.ANCHORARRAY('Health Concerns'!$B$2),'Health Concerns'!$A$2:$A$15,"Not Found")</f>
        <v>CRH008</v>
      </c>
      <c r="B272" s="48" t="s">
        <v>654</v>
      </c>
      <c r="C272" s="48" t="s">
        <v>2853</v>
      </c>
    </row>
    <row r="273" spans="1:3">
      <c r="A273" s="50" t="str" cm="1">
        <f t="array" ref="A273">_xlfn.XLOOKUP($C273,_xlfn.ANCHORARRAY('Health Concerns'!$B$2),'Health Concerns'!$A$2:$A$15,"Not Found")</f>
        <v>CRH008</v>
      </c>
      <c r="B273" s="32" t="s">
        <v>655</v>
      </c>
      <c r="C273" s="32" t="s">
        <v>2853</v>
      </c>
    </row>
    <row r="274" spans="1:3">
      <c r="A274" s="52" t="str" cm="1">
        <f t="array" ref="A274">_xlfn.XLOOKUP($C274,_xlfn.ANCHORARRAY('Health Concerns'!$B$2),'Health Concerns'!$A$2:$A$15,"Not Found")</f>
        <v>CRH008</v>
      </c>
      <c r="B274" s="48" t="s">
        <v>656</v>
      </c>
      <c r="C274" s="48" t="s">
        <v>2853</v>
      </c>
    </row>
    <row r="275" spans="1:3">
      <c r="A275" s="50" t="str" cm="1">
        <f t="array" ref="A275">_xlfn.XLOOKUP($C275,_xlfn.ANCHORARRAY('Health Concerns'!$B$2),'Health Concerns'!$A$2:$A$15,"Not Found")</f>
        <v>CRH008</v>
      </c>
      <c r="B275" s="32" t="s">
        <v>657</v>
      </c>
      <c r="C275" s="32" t="s">
        <v>2853</v>
      </c>
    </row>
    <row r="276" spans="1:3">
      <c r="A276" s="52" t="str" cm="1">
        <f t="array" ref="A276">_xlfn.XLOOKUP($C276,_xlfn.ANCHORARRAY('Health Concerns'!$B$2),'Health Concerns'!$A$2:$A$15,"Not Found")</f>
        <v>CRH008</v>
      </c>
      <c r="B276" s="48" t="s">
        <v>658</v>
      </c>
      <c r="C276" s="48" t="s">
        <v>2853</v>
      </c>
    </row>
    <row r="277" spans="1:3">
      <c r="A277" s="50" t="str" cm="1">
        <f t="array" ref="A277">_xlfn.XLOOKUP($C277,_xlfn.ANCHORARRAY('Health Concerns'!$B$2),'Health Concerns'!$A$2:$A$15,"Not Found")</f>
        <v>CRH014</v>
      </c>
      <c r="B277" s="32" t="s">
        <v>659</v>
      </c>
      <c r="C277" s="32" t="s">
        <v>2877</v>
      </c>
    </row>
    <row r="278" spans="1:3">
      <c r="A278" s="52" t="str" cm="1">
        <f t="array" ref="A278">_xlfn.XLOOKUP($C278,_xlfn.ANCHORARRAY('Health Concerns'!$B$2),'Health Concerns'!$A$2:$A$15,"Not Found")</f>
        <v>CRH001</v>
      </c>
      <c r="B278" s="48" t="s">
        <v>660</v>
      </c>
      <c r="C278" s="48" t="s">
        <v>2874</v>
      </c>
    </row>
    <row r="279" spans="1:3">
      <c r="A279" s="50" t="str" cm="1">
        <f t="array" ref="A279">_xlfn.XLOOKUP($C279,_xlfn.ANCHORARRAY('Health Concerns'!$B$2),'Health Concerns'!$A$2:$A$15,"Not Found")</f>
        <v>CRH006</v>
      </c>
      <c r="B279" s="32" t="s">
        <v>660</v>
      </c>
      <c r="C279" s="32" t="s">
        <v>2875</v>
      </c>
    </row>
    <row r="280" spans="1:3">
      <c r="A280" s="52" t="str" cm="1">
        <f t="array" ref="A280">_xlfn.XLOOKUP($C280,_xlfn.ANCHORARRAY('Health Concerns'!$B$2),'Health Concerns'!$A$2:$A$15,"Not Found")</f>
        <v>CRH009</v>
      </c>
      <c r="B280" s="48" t="s">
        <v>660</v>
      </c>
      <c r="C280" s="48" t="s">
        <v>2872</v>
      </c>
    </row>
    <row r="281" spans="1:3">
      <c r="A281" s="50" t="str" cm="1">
        <f t="array" ref="A281">_xlfn.XLOOKUP($C281,_xlfn.ANCHORARRAY('Health Concerns'!$B$2),'Health Concerns'!$A$2:$A$15,"Not Found")</f>
        <v>CRH002</v>
      </c>
      <c r="B281" s="32" t="s">
        <v>661</v>
      </c>
      <c r="C281" s="32" t="s">
        <v>2855</v>
      </c>
    </row>
    <row r="282" spans="1:3">
      <c r="A282" s="52" t="str" cm="1">
        <f t="array" ref="A282">_xlfn.XLOOKUP($C282,_xlfn.ANCHORARRAY('Health Concerns'!$B$2),'Health Concerns'!$A$2:$A$15,"Not Found")</f>
        <v>CRH004</v>
      </c>
      <c r="B282" s="48" t="s">
        <v>661</v>
      </c>
      <c r="C282" s="48" t="s">
        <v>2871</v>
      </c>
    </row>
    <row r="283" spans="1:3">
      <c r="A283" s="50" t="str" cm="1">
        <f t="array" ref="A283">_xlfn.XLOOKUP($C283,_xlfn.ANCHORARRAY('Health Concerns'!$B$2),'Health Concerns'!$A$2:$A$15,"Not Found")</f>
        <v>CRH008</v>
      </c>
      <c r="B283" s="32" t="s">
        <v>662</v>
      </c>
      <c r="C283" s="32" t="s">
        <v>2853</v>
      </c>
    </row>
    <row r="284" spans="1:3">
      <c r="A284" s="52" t="str" cm="1">
        <f t="array" ref="A284">_xlfn.XLOOKUP($C284,_xlfn.ANCHORARRAY('Health Concerns'!$B$2),'Health Concerns'!$A$2:$A$15,"Not Found")</f>
        <v>CRH001</v>
      </c>
      <c r="B284" s="48" t="s">
        <v>663</v>
      </c>
      <c r="C284" s="48" t="s">
        <v>2874</v>
      </c>
    </row>
    <row r="285" spans="1:3">
      <c r="A285" s="50" t="str" cm="1">
        <f t="array" ref="A285">_xlfn.XLOOKUP($C285,_xlfn.ANCHORARRAY('Health Concerns'!$B$2),'Health Concerns'!$A$2:$A$15,"Not Found")</f>
        <v>CRH006</v>
      </c>
      <c r="B285" s="32" t="s">
        <v>663</v>
      </c>
      <c r="C285" s="32" t="s">
        <v>2875</v>
      </c>
    </row>
    <row r="286" spans="1:3">
      <c r="A286" s="52" t="str" cm="1">
        <f t="array" ref="A286">_xlfn.XLOOKUP($C286,_xlfn.ANCHORARRAY('Health Concerns'!$B$2),'Health Concerns'!$A$2:$A$15,"Not Found")</f>
        <v>CRH009</v>
      </c>
      <c r="B286" s="48" t="s">
        <v>663</v>
      </c>
      <c r="C286" s="48" t="s">
        <v>2872</v>
      </c>
    </row>
    <row r="287" spans="1:3">
      <c r="A287" s="50" t="str" cm="1">
        <f t="array" ref="A287">_xlfn.XLOOKUP($C287,_xlfn.ANCHORARRAY('Health Concerns'!$B$2),'Health Concerns'!$A$2:$A$15,"Not Found")</f>
        <v>CRH008</v>
      </c>
      <c r="B287" s="32" t="s">
        <v>664</v>
      </c>
      <c r="C287" s="32" t="s">
        <v>2853</v>
      </c>
    </row>
    <row r="288" spans="1:3">
      <c r="A288" s="52" t="str" cm="1">
        <f t="array" ref="A288">_xlfn.XLOOKUP($C288,_xlfn.ANCHORARRAY('Health Concerns'!$B$2),'Health Concerns'!$A$2:$A$15,"Not Found")</f>
        <v>CRH008</v>
      </c>
      <c r="B288" s="48" t="s">
        <v>665</v>
      </c>
      <c r="C288" s="48" t="s">
        <v>2853</v>
      </c>
    </row>
    <row r="289" spans="1:3">
      <c r="A289" s="50" t="str" cm="1">
        <f t="array" ref="A289">_xlfn.XLOOKUP($C289,_xlfn.ANCHORARRAY('Health Concerns'!$B$2),'Health Concerns'!$A$2:$A$15,"Not Found")</f>
        <v>CRH008</v>
      </c>
      <c r="B289" s="32" t="s">
        <v>666</v>
      </c>
      <c r="C289" s="32" t="s">
        <v>2853</v>
      </c>
    </row>
    <row r="290" spans="1:3">
      <c r="A290" s="52" t="str" cm="1">
        <f t="array" ref="A290">_xlfn.XLOOKUP($C290,_xlfn.ANCHORARRAY('Health Concerns'!$B$2),'Health Concerns'!$A$2:$A$15,"Not Found")</f>
        <v>CRH008</v>
      </c>
      <c r="B290" s="48" t="s">
        <v>667</v>
      </c>
      <c r="C290" s="48" t="s">
        <v>2853</v>
      </c>
    </row>
    <row r="291" spans="1:3">
      <c r="A291" s="50" t="str" cm="1">
        <f t="array" ref="A291">_xlfn.XLOOKUP($C291,_xlfn.ANCHORARRAY('Health Concerns'!$B$2),'Health Concerns'!$A$2:$A$15,"Not Found")</f>
        <v>CRH001</v>
      </c>
      <c r="B291" s="32" t="s">
        <v>668</v>
      </c>
      <c r="C291" s="32" t="s">
        <v>2874</v>
      </c>
    </row>
    <row r="292" spans="1:3">
      <c r="A292" s="52" t="str" cm="1">
        <f t="array" ref="A292">_xlfn.XLOOKUP($C292,_xlfn.ANCHORARRAY('Health Concerns'!$B$2),'Health Concerns'!$A$2:$A$15,"Not Found")</f>
        <v>CRH002</v>
      </c>
      <c r="B292" s="48" t="s">
        <v>668</v>
      </c>
      <c r="C292" s="48" t="s">
        <v>2855</v>
      </c>
    </row>
    <row r="293" spans="1:3">
      <c r="A293" s="50" t="str" cm="1">
        <f t="array" ref="A293">_xlfn.XLOOKUP($C293,_xlfn.ANCHORARRAY('Health Concerns'!$B$2),'Health Concerns'!$A$2:$A$15,"Not Found")</f>
        <v>CRH008</v>
      </c>
      <c r="B293" s="32" t="s">
        <v>669</v>
      </c>
      <c r="C293" s="32" t="s">
        <v>2853</v>
      </c>
    </row>
    <row r="294" spans="1:3">
      <c r="A294" s="52" t="str" cm="1">
        <f t="array" ref="A294">_xlfn.XLOOKUP($C294,_xlfn.ANCHORARRAY('Health Concerns'!$B$2),'Health Concerns'!$A$2:$A$15,"Not Found")</f>
        <v>CRH008</v>
      </c>
      <c r="B294" s="48" t="s">
        <v>670</v>
      </c>
      <c r="C294" s="48" t="s">
        <v>2853</v>
      </c>
    </row>
    <row r="295" spans="1:3">
      <c r="A295" s="50" t="str" cm="1">
        <f t="array" ref="A295">_xlfn.XLOOKUP($C295,_xlfn.ANCHORARRAY('Health Concerns'!$B$2),'Health Concerns'!$A$2:$A$15,"Not Found")</f>
        <v>CRH008</v>
      </c>
      <c r="B295" s="32" t="s">
        <v>671</v>
      </c>
      <c r="C295" s="32" t="s">
        <v>2853</v>
      </c>
    </row>
    <row r="296" spans="1:3">
      <c r="A296" s="52" t="str" cm="1">
        <f t="array" ref="A296">_xlfn.XLOOKUP($C296,_xlfn.ANCHORARRAY('Health Concerns'!$B$2),'Health Concerns'!$A$2:$A$15,"Not Found")</f>
        <v>CRH008</v>
      </c>
      <c r="B296" s="48" t="s">
        <v>672</v>
      </c>
      <c r="C296" s="48" t="s">
        <v>2853</v>
      </c>
    </row>
    <row r="297" spans="1:3">
      <c r="A297" s="50" t="str" cm="1">
        <f t="array" ref="A297">_xlfn.XLOOKUP($C297,_xlfn.ANCHORARRAY('Health Concerns'!$B$2),'Health Concerns'!$A$2:$A$15,"Not Found")</f>
        <v>CRH008</v>
      </c>
      <c r="B297" s="32" t="s">
        <v>673</v>
      </c>
      <c r="C297" s="32" t="s">
        <v>2853</v>
      </c>
    </row>
    <row r="298" spans="1:3">
      <c r="A298" s="52" t="str" cm="1">
        <f t="array" ref="A298">_xlfn.XLOOKUP($C298,_xlfn.ANCHORARRAY('Health Concerns'!$B$2),'Health Concerns'!$A$2:$A$15,"Not Found")</f>
        <v>CRH011</v>
      </c>
      <c r="B298" s="48" t="s">
        <v>674</v>
      </c>
      <c r="C298" s="48" t="s">
        <v>2879</v>
      </c>
    </row>
    <row r="299" spans="1:3">
      <c r="A299" s="50" t="str" cm="1">
        <f t="array" ref="A299">_xlfn.XLOOKUP($C299,_xlfn.ANCHORARRAY('Health Concerns'!$B$2),'Health Concerns'!$A$2:$A$15,"Not Found")</f>
        <v>CRH008</v>
      </c>
      <c r="B299" s="32" t="s">
        <v>675</v>
      </c>
      <c r="C299" s="32" t="s">
        <v>2853</v>
      </c>
    </row>
    <row r="300" spans="1:3">
      <c r="A300" s="52" t="str" cm="1">
        <f t="array" ref="A300">_xlfn.XLOOKUP($C300,_xlfn.ANCHORARRAY('Health Concerns'!$B$2),'Health Concerns'!$A$2:$A$15,"Not Found")</f>
        <v>CRH013</v>
      </c>
      <c r="B300" s="48" t="s">
        <v>676</v>
      </c>
      <c r="C300" s="48" t="s">
        <v>2856</v>
      </c>
    </row>
    <row r="301" spans="1:3">
      <c r="A301" s="50" t="str" cm="1">
        <f t="array" ref="A301">_xlfn.XLOOKUP($C301,_xlfn.ANCHORARRAY('Health Concerns'!$B$2),'Health Concerns'!$A$2:$A$15,"Not Found")</f>
        <v>CRH008</v>
      </c>
      <c r="B301" s="32" t="s">
        <v>677</v>
      </c>
      <c r="C301" s="32" t="s">
        <v>2853</v>
      </c>
    </row>
    <row r="302" spans="1:3">
      <c r="A302" s="52" t="str" cm="1">
        <f t="array" ref="A302">_xlfn.XLOOKUP($C302,_xlfn.ANCHORARRAY('Health Concerns'!$B$2),'Health Concerns'!$A$2:$A$15,"Not Found")</f>
        <v>CRH008</v>
      </c>
      <c r="B302" s="48" t="s">
        <v>678</v>
      </c>
      <c r="C302" s="48" t="s">
        <v>2853</v>
      </c>
    </row>
    <row r="303" spans="1:3">
      <c r="A303" s="50" t="str" cm="1">
        <f t="array" ref="A303">_xlfn.XLOOKUP($C303,_xlfn.ANCHORARRAY('Health Concerns'!$B$2),'Health Concerns'!$A$2:$A$15,"Not Found")</f>
        <v>CRH008</v>
      </c>
      <c r="B303" s="32" t="s">
        <v>679</v>
      </c>
      <c r="C303" s="32" t="s">
        <v>2853</v>
      </c>
    </row>
    <row r="304" spans="1:3">
      <c r="A304" s="52" t="str" cm="1">
        <f t="array" ref="A304">_xlfn.XLOOKUP($C304,_xlfn.ANCHORARRAY('Health Concerns'!$B$2),'Health Concerns'!$A$2:$A$15,"Not Found")</f>
        <v>CRH008</v>
      </c>
      <c r="B304" s="48" t="s">
        <v>680</v>
      </c>
      <c r="C304" s="48" t="s">
        <v>2853</v>
      </c>
    </row>
    <row r="305" spans="1:3">
      <c r="A305" s="50" t="str" cm="1">
        <f t="array" ref="A305">_xlfn.XLOOKUP($C305,_xlfn.ANCHORARRAY('Health Concerns'!$B$2),'Health Concerns'!$A$2:$A$15,"Not Found")</f>
        <v>CRH008</v>
      </c>
      <c r="B305" s="32" t="s">
        <v>681</v>
      </c>
      <c r="C305" s="32" t="s">
        <v>2853</v>
      </c>
    </row>
    <row r="306" spans="1:3">
      <c r="A306" s="52" t="str" cm="1">
        <f t="array" ref="A306">_xlfn.XLOOKUP($C306,_xlfn.ANCHORARRAY('Health Concerns'!$B$2),'Health Concerns'!$A$2:$A$15,"Not Found")</f>
        <v>CRH008</v>
      </c>
      <c r="B306" s="48" t="s">
        <v>682</v>
      </c>
      <c r="C306" s="48" t="s">
        <v>2853</v>
      </c>
    </row>
    <row r="307" spans="1:3">
      <c r="A307" s="50" t="str" cm="1">
        <f t="array" ref="A307">_xlfn.XLOOKUP($C307,_xlfn.ANCHORARRAY('Health Concerns'!$B$2),'Health Concerns'!$A$2:$A$15,"Not Found")</f>
        <v>CRH014</v>
      </c>
      <c r="B307" s="32" t="s">
        <v>683</v>
      </c>
      <c r="C307" s="32" t="s">
        <v>2877</v>
      </c>
    </row>
    <row r="308" spans="1:3">
      <c r="A308" s="52" t="str" cm="1">
        <f t="array" ref="A308">_xlfn.XLOOKUP($C308,_xlfn.ANCHORARRAY('Health Concerns'!$B$2),'Health Concerns'!$A$2:$A$15,"Not Found")</f>
        <v>CRH001</v>
      </c>
      <c r="B308" s="48" t="s">
        <v>684</v>
      </c>
      <c r="C308" s="48" t="s">
        <v>2874</v>
      </c>
    </row>
    <row r="309" spans="1:3">
      <c r="A309" s="50" t="str" cm="1">
        <f t="array" ref="A309">_xlfn.XLOOKUP($C309,_xlfn.ANCHORARRAY('Health Concerns'!$B$2),'Health Concerns'!$A$2:$A$15,"Not Found")</f>
        <v>CRH006</v>
      </c>
      <c r="B309" s="32" t="s">
        <v>684</v>
      </c>
      <c r="C309" s="32" t="s">
        <v>2875</v>
      </c>
    </row>
    <row r="310" spans="1:3">
      <c r="A310" s="52" t="str" cm="1">
        <f t="array" ref="A310">_xlfn.XLOOKUP($C310,_xlfn.ANCHORARRAY('Health Concerns'!$B$2),'Health Concerns'!$A$2:$A$15,"Not Found")</f>
        <v>CRH009</v>
      </c>
      <c r="B310" s="48" t="s">
        <v>684</v>
      </c>
      <c r="C310" s="48" t="s">
        <v>2872</v>
      </c>
    </row>
    <row r="311" spans="1:3">
      <c r="A311" s="50" t="str" cm="1">
        <f t="array" ref="A311">_xlfn.XLOOKUP($C311,_xlfn.ANCHORARRAY('Health Concerns'!$B$2),'Health Concerns'!$A$2:$A$15,"Not Found")</f>
        <v>CRH002</v>
      </c>
      <c r="B311" s="32" t="s">
        <v>685</v>
      </c>
      <c r="C311" s="32" t="s">
        <v>2855</v>
      </c>
    </row>
    <row r="312" spans="1:3">
      <c r="A312" s="52" t="str" cm="1">
        <f t="array" ref="A312">_xlfn.XLOOKUP($C312,_xlfn.ANCHORARRAY('Health Concerns'!$B$2),'Health Concerns'!$A$2:$A$15,"Not Found")</f>
        <v>CRH004</v>
      </c>
      <c r="B312" s="48" t="s">
        <v>685</v>
      </c>
      <c r="C312" s="48" t="s">
        <v>2871</v>
      </c>
    </row>
    <row r="313" spans="1:3">
      <c r="A313" s="50" t="str" cm="1">
        <f t="array" ref="A313">_xlfn.XLOOKUP($C313,_xlfn.ANCHORARRAY('Health Concerns'!$B$2),'Health Concerns'!$A$2:$A$15,"Not Found")</f>
        <v>CRH008</v>
      </c>
      <c r="B313" s="32" t="s">
        <v>686</v>
      </c>
      <c r="C313" s="32" t="s">
        <v>2853</v>
      </c>
    </row>
    <row r="314" spans="1:3">
      <c r="A314" s="52" t="str" cm="1">
        <f t="array" ref="A314">_xlfn.XLOOKUP($C314,_xlfn.ANCHORARRAY('Health Concerns'!$B$2),'Health Concerns'!$A$2:$A$15,"Not Found")</f>
        <v>CRH001</v>
      </c>
      <c r="B314" s="48" t="s">
        <v>687</v>
      </c>
      <c r="C314" s="48" t="s">
        <v>2874</v>
      </c>
    </row>
    <row r="315" spans="1:3">
      <c r="A315" s="50" t="str" cm="1">
        <f t="array" ref="A315">_xlfn.XLOOKUP($C315,_xlfn.ANCHORARRAY('Health Concerns'!$B$2),'Health Concerns'!$A$2:$A$15,"Not Found")</f>
        <v>CRH006</v>
      </c>
      <c r="B315" s="32" t="s">
        <v>687</v>
      </c>
      <c r="C315" s="32" t="s">
        <v>2875</v>
      </c>
    </row>
    <row r="316" spans="1:3">
      <c r="A316" s="52" t="str" cm="1">
        <f t="array" ref="A316">_xlfn.XLOOKUP($C316,_xlfn.ANCHORARRAY('Health Concerns'!$B$2),'Health Concerns'!$A$2:$A$15,"Not Found")</f>
        <v>CRH009</v>
      </c>
      <c r="B316" s="48" t="s">
        <v>687</v>
      </c>
      <c r="C316" s="48" t="s">
        <v>2872</v>
      </c>
    </row>
    <row r="317" spans="1:3">
      <c r="A317" s="50" t="str" cm="1">
        <f t="array" ref="A317">_xlfn.XLOOKUP($C317,_xlfn.ANCHORARRAY('Health Concerns'!$B$2),'Health Concerns'!$A$2:$A$15,"Not Found")</f>
        <v>CRH008</v>
      </c>
      <c r="B317" s="32" t="s">
        <v>688</v>
      </c>
      <c r="C317" s="32" t="s">
        <v>2853</v>
      </c>
    </row>
    <row r="318" spans="1:3">
      <c r="A318" s="52" t="str" cm="1">
        <f t="array" ref="A318">_xlfn.XLOOKUP($C318,_xlfn.ANCHORARRAY('Health Concerns'!$B$2),'Health Concerns'!$A$2:$A$15,"Not Found")</f>
        <v>CRH008</v>
      </c>
      <c r="B318" s="48" t="s">
        <v>689</v>
      </c>
      <c r="C318" s="48" t="s">
        <v>2853</v>
      </c>
    </row>
    <row r="319" spans="1:3">
      <c r="A319" s="50" t="str" cm="1">
        <f t="array" ref="A319">_xlfn.XLOOKUP($C319,_xlfn.ANCHORARRAY('Health Concerns'!$B$2),'Health Concerns'!$A$2:$A$15,"Not Found")</f>
        <v>CRH008</v>
      </c>
      <c r="B319" s="32" t="s">
        <v>690</v>
      </c>
      <c r="C319" s="32" t="s">
        <v>2853</v>
      </c>
    </row>
    <row r="320" spans="1:3">
      <c r="A320" s="52" t="str" cm="1">
        <f t="array" ref="A320">_xlfn.XLOOKUP($C320,_xlfn.ANCHORARRAY('Health Concerns'!$B$2),'Health Concerns'!$A$2:$A$15,"Not Found")</f>
        <v>CRH008</v>
      </c>
      <c r="B320" s="48" t="s">
        <v>691</v>
      </c>
      <c r="C320" s="48" t="s">
        <v>2853</v>
      </c>
    </row>
    <row r="321" spans="1:3">
      <c r="A321" s="50" t="str" cm="1">
        <f t="array" ref="A321">_xlfn.XLOOKUP($C321,_xlfn.ANCHORARRAY('Health Concerns'!$B$2),'Health Concerns'!$A$2:$A$15,"Not Found")</f>
        <v>CRH001</v>
      </c>
      <c r="B321" s="32" t="s">
        <v>692</v>
      </c>
      <c r="C321" s="32" t="s">
        <v>2874</v>
      </c>
    </row>
    <row r="322" spans="1:3">
      <c r="A322" s="52" t="str" cm="1">
        <f t="array" ref="A322">_xlfn.XLOOKUP($C322,_xlfn.ANCHORARRAY('Health Concerns'!$B$2),'Health Concerns'!$A$2:$A$15,"Not Found")</f>
        <v>CRH002</v>
      </c>
      <c r="B322" s="48" t="s">
        <v>692</v>
      </c>
      <c r="C322" s="48" t="s">
        <v>2855</v>
      </c>
    </row>
    <row r="323" spans="1:3">
      <c r="A323" s="50" t="str" cm="1">
        <f t="array" ref="A323">_xlfn.XLOOKUP($C323,_xlfn.ANCHORARRAY('Health Concerns'!$B$2),'Health Concerns'!$A$2:$A$15,"Not Found")</f>
        <v>CRH008</v>
      </c>
      <c r="B323" s="32" t="s">
        <v>693</v>
      </c>
      <c r="C323" s="32" t="s">
        <v>2853</v>
      </c>
    </row>
    <row r="324" spans="1:3">
      <c r="A324" s="52" t="str" cm="1">
        <f t="array" ref="A324">_xlfn.XLOOKUP($C324,_xlfn.ANCHORARRAY('Health Concerns'!$B$2),'Health Concerns'!$A$2:$A$15,"Not Found")</f>
        <v>CRH008</v>
      </c>
      <c r="B324" s="48" t="s">
        <v>694</v>
      </c>
      <c r="C324" s="48" t="s">
        <v>2853</v>
      </c>
    </row>
    <row r="325" spans="1:3">
      <c r="A325" s="50" t="str" cm="1">
        <f t="array" ref="A325">_xlfn.XLOOKUP($C325,_xlfn.ANCHORARRAY('Health Concerns'!$B$2),'Health Concerns'!$A$2:$A$15,"Not Found")</f>
        <v>CRH008</v>
      </c>
      <c r="B325" s="32" t="s">
        <v>695</v>
      </c>
      <c r="C325" s="32" t="s">
        <v>2853</v>
      </c>
    </row>
    <row r="326" spans="1:3">
      <c r="A326" s="52" t="str" cm="1">
        <f t="array" ref="A326">_xlfn.XLOOKUP($C326,_xlfn.ANCHORARRAY('Health Concerns'!$B$2),'Health Concerns'!$A$2:$A$15,"Not Found")</f>
        <v>CRH008</v>
      </c>
      <c r="B326" s="48" t="s">
        <v>696</v>
      </c>
      <c r="C326" s="48" t="s">
        <v>2853</v>
      </c>
    </row>
    <row r="327" spans="1:3">
      <c r="A327" s="50" t="str" cm="1">
        <f t="array" ref="A327">_xlfn.XLOOKUP($C327,_xlfn.ANCHORARRAY('Health Concerns'!$B$2),'Health Concerns'!$A$2:$A$15,"Not Found")</f>
        <v>CRH008</v>
      </c>
      <c r="B327" s="32" t="s">
        <v>697</v>
      </c>
      <c r="C327" s="32" t="s">
        <v>2853</v>
      </c>
    </row>
    <row r="328" spans="1:3">
      <c r="A328" s="52" t="str" cm="1">
        <f t="array" ref="A328">_xlfn.XLOOKUP($C328,_xlfn.ANCHORARRAY('Health Concerns'!$B$2),'Health Concerns'!$A$2:$A$15,"Not Found")</f>
        <v>CRH011</v>
      </c>
      <c r="B328" s="48" t="s">
        <v>698</v>
      </c>
      <c r="C328" s="48" t="s">
        <v>2879</v>
      </c>
    </row>
    <row r="329" spans="1:3">
      <c r="A329" s="50" t="str" cm="1">
        <f t="array" ref="A329">_xlfn.XLOOKUP($C329,_xlfn.ANCHORARRAY('Health Concerns'!$B$2),'Health Concerns'!$A$2:$A$15,"Not Found")</f>
        <v>CRH008</v>
      </c>
      <c r="B329" s="32" t="s">
        <v>699</v>
      </c>
      <c r="C329" s="32" t="s">
        <v>2853</v>
      </c>
    </row>
    <row r="330" spans="1:3">
      <c r="A330" s="52" t="str" cm="1">
        <f t="array" ref="A330">_xlfn.XLOOKUP($C330,_xlfn.ANCHORARRAY('Health Concerns'!$B$2),'Health Concerns'!$A$2:$A$15,"Not Found")</f>
        <v>CRH013</v>
      </c>
      <c r="B330" s="48" t="s">
        <v>700</v>
      </c>
      <c r="C330" s="48" t="s">
        <v>2856</v>
      </c>
    </row>
    <row r="331" spans="1:3">
      <c r="A331" s="50" t="str" cm="1">
        <f t="array" ref="A331">_xlfn.XLOOKUP($C331,_xlfn.ANCHORARRAY('Health Concerns'!$B$2),'Health Concerns'!$A$2:$A$15,"Not Found")</f>
        <v>CRH008</v>
      </c>
      <c r="B331" s="32" t="s">
        <v>701</v>
      </c>
      <c r="C331" s="32" t="s">
        <v>2853</v>
      </c>
    </row>
    <row r="332" spans="1:3">
      <c r="A332" s="52" t="str" cm="1">
        <f t="array" ref="A332">_xlfn.XLOOKUP($C332,_xlfn.ANCHORARRAY('Health Concerns'!$B$2),'Health Concerns'!$A$2:$A$15,"Not Found")</f>
        <v>CRH008</v>
      </c>
      <c r="B332" s="48" t="s">
        <v>702</v>
      </c>
      <c r="C332" s="48" t="s">
        <v>2853</v>
      </c>
    </row>
    <row r="333" spans="1:3">
      <c r="A333" s="50" t="str" cm="1">
        <f t="array" ref="A333">_xlfn.XLOOKUP($C333,_xlfn.ANCHORARRAY('Health Concerns'!$B$2),'Health Concerns'!$A$2:$A$15,"Not Found")</f>
        <v>CRH008</v>
      </c>
      <c r="B333" s="32" t="s">
        <v>703</v>
      </c>
      <c r="C333" s="32" t="s">
        <v>2853</v>
      </c>
    </row>
    <row r="334" spans="1:3">
      <c r="A334" s="52" t="str" cm="1">
        <f t="array" ref="A334">_xlfn.XLOOKUP($C334,_xlfn.ANCHORARRAY('Health Concerns'!$B$2),'Health Concerns'!$A$2:$A$15,"Not Found")</f>
        <v>CRH008</v>
      </c>
      <c r="B334" s="48" t="s">
        <v>704</v>
      </c>
      <c r="C334" s="48" t="s">
        <v>2853</v>
      </c>
    </row>
    <row r="335" spans="1:3">
      <c r="A335" s="50" t="str" cm="1">
        <f t="array" ref="A335">_xlfn.XLOOKUP($C335,_xlfn.ANCHORARRAY('Health Concerns'!$B$2),'Health Concerns'!$A$2:$A$15,"Not Found")</f>
        <v>CRH008</v>
      </c>
      <c r="B335" s="32" t="s">
        <v>705</v>
      </c>
      <c r="C335" s="32" t="s">
        <v>2853</v>
      </c>
    </row>
    <row r="336" spans="1:3">
      <c r="A336" s="52" t="str" cm="1">
        <f t="array" ref="A336">_xlfn.XLOOKUP($C336,_xlfn.ANCHORARRAY('Health Concerns'!$B$2),'Health Concerns'!$A$2:$A$15,"Not Found")</f>
        <v>CRH008</v>
      </c>
      <c r="B336" s="48" t="s">
        <v>706</v>
      </c>
      <c r="C336" s="48" t="s">
        <v>2853</v>
      </c>
    </row>
    <row r="337" spans="1:3">
      <c r="A337" s="50" t="str" cm="1">
        <f t="array" ref="A337">_xlfn.XLOOKUP($C337,_xlfn.ANCHORARRAY('Health Concerns'!$B$2),'Health Concerns'!$A$2:$A$15,"Not Found")</f>
        <v>CRH014</v>
      </c>
      <c r="B337" s="32" t="s">
        <v>707</v>
      </c>
      <c r="C337" s="32" t="s">
        <v>2877</v>
      </c>
    </row>
    <row r="338" spans="1:3">
      <c r="A338" s="52" t="str" cm="1">
        <f t="array" ref="A338">_xlfn.XLOOKUP($C338,_xlfn.ANCHORARRAY('Health Concerns'!$B$2),'Health Concerns'!$A$2:$A$15,"Not Found")</f>
        <v>CRH001</v>
      </c>
      <c r="B338" s="48" t="s">
        <v>708</v>
      </c>
      <c r="C338" s="48" t="s">
        <v>2874</v>
      </c>
    </row>
    <row r="339" spans="1:3">
      <c r="A339" s="50" t="str" cm="1">
        <f t="array" ref="A339">_xlfn.XLOOKUP($C339,_xlfn.ANCHORARRAY('Health Concerns'!$B$2),'Health Concerns'!$A$2:$A$15,"Not Found")</f>
        <v>CRH006</v>
      </c>
      <c r="B339" s="32" t="s">
        <v>708</v>
      </c>
      <c r="C339" s="32" t="s">
        <v>2875</v>
      </c>
    </row>
    <row r="340" spans="1:3">
      <c r="A340" s="52" t="str" cm="1">
        <f t="array" ref="A340">_xlfn.XLOOKUP($C340,_xlfn.ANCHORARRAY('Health Concerns'!$B$2),'Health Concerns'!$A$2:$A$15,"Not Found")</f>
        <v>CRH009</v>
      </c>
      <c r="B340" s="48" t="s">
        <v>708</v>
      </c>
      <c r="C340" s="48" t="s">
        <v>2872</v>
      </c>
    </row>
    <row r="341" spans="1:3">
      <c r="A341" s="50" t="str" cm="1">
        <f t="array" ref="A341">_xlfn.XLOOKUP($C341,_xlfn.ANCHORARRAY('Health Concerns'!$B$2),'Health Concerns'!$A$2:$A$15,"Not Found")</f>
        <v>CRH002</v>
      </c>
      <c r="B341" s="32" t="s">
        <v>709</v>
      </c>
      <c r="C341" s="32" t="s">
        <v>2855</v>
      </c>
    </row>
    <row r="342" spans="1:3">
      <c r="A342" s="52" t="str" cm="1">
        <f t="array" ref="A342">_xlfn.XLOOKUP($C342,_xlfn.ANCHORARRAY('Health Concerns'!$B$2),'Health Concerns'!$A$2:$A$15,"Not Found")</f>
        <v>CRH004</v>
      </c>
      <c r="B342" s="48" t="s">
        <v>709</v>
      </c>
      <c r="C342" s="48" t="s">
        <v>2871</v>
      </c>
    </row>
    <row r="343" spans="1:3">
      <c r="A343" s="50" t="str" cm="1">
        <f t="array" ref="A343">_xlfn.XLOOKUP($C343,_xlfn.ANCHORARRAY('Health Concerns'!$B$2),'Health Concerns'!$A$2:$A$15,"Not Found")</f>
        <v>CRH008</v>
      </c>
      <c r="B343" s="32" t="s">
        <v>710</v>
      </c>
      <c r="C343" s="32" t="s">
        <v>2853</v>
      </c>
    </row>
    <row r="344" spans="1:3">
      <c r="A344" s="52" t="str" cm="1">
        <f t="array" ref="A344">_xlfn.XLOOKUP($C344,_xlfn.ANCHORARRAY('Health Concerns'!$B$2),'Health Concerns'!$A$2:$A$15,"Not Found")</f>
        <v>CRH001</v>
      </c>
      <c r="B344" s="48" t="s">
        <v>711</v>
      </c>
      <c r="C344" s="48" t="s">
        <v>2874</v>
      </c>
    </row>
    <row r="345" spans="1:3">
      <c r="A345" s="50" t="str" cm="1">
        <f t="array" ref="A345">_xlfn.XLOOKUP($C345,_xlfn.ANCHORARRAY('Health Concerns'!$B$2),'Health Concerns'!$A$2:$A$15,"Not Found")</f>
        <v>CRH006</v>
      </c>
      <c r="B345" s="32" t="s">
        <v>711</v>
      </c>
      <c r="C345" s="32" t="s">
        <v>2875</v>
      </c>
    </row>
    <row r="346" spans="1:3">
      <c r="A346" s="52" t="str" cm="1">
        <f t="array" ref="A346">_xlfn.XLOOKUP($C346,_xlfn.ANCHORARRAY('Health Concerns'!$B$2),'Health Concerns'!$A$2:$A$15,"Not Found")</f>
        <v>CRH009</v>
      </c>
      <c r="B346" s="48" t="s">
        <v>711</v>
      </c>
      <c r="C346" s="48" t="s">
        <v>2872</v>
      </c>
    </row>
    <row r="347" spans="1:3">
      <c r="A347" s="50" t="str" cm="1">
        <f t="array" ref="A347">_xlfn.XLOOKUP($C347,_xlfn.ANCHORARRAY('Health Concerns'!$B$2),'Health Concerns'!$A$2:$A$15,"Not Found")</f>
        <v>CRH008</v>
      </c>
      <c r="B347" s="32" t="s">
        <v>712</v>
      </c>
      <c r="C347" s="32" t="s">
        <v>2853</v>
      </c>
    </row>
    <row r="348" spans="1:3">
      <c r="A348" s="52" t="str" cm="1">
        <f t="array" ref="A348">_xlfn.XLOOKUP($C348,_xlfn.ANCHORARRAY('Health Concerns'!$B$2),'Health Concerns'!$A$2:$A$15,"Not Found")</f>
        <v>CRH008</v>
      </c>
      <c r="B348" s="48" t="s">
        <v>713</v>
      </c>
      <c r="C348" s="48" t="s">
        <v>2853</v>
      </c>
    </row>
    <row r="349" spans="1:3">
      <c r="A349" s="50" t="str" cm="1">
        <f t="array" ref="A349">_xlfn.XLOOKUP($C349,_xlfn.ANCHORARRAY('Health Concerns'!$B$2),'Health Concerns'!$A$2:$A$15,"Not Found")</f>
        <v>CRH008</v>
      </c>
      <c r="B349" s="32" t="s">
        <v>714</v>
      </c>
      <c r="C349" s="32" t="s">
        <v>2853</v>
      </c>
    </row>
    <row r="350" spans="1:3">
      <c r="A350" s="52" t="str" cm="1">
        <f t="array" ref="A350">_xlfn.XLOOKUP($C350,_xlfn.ANCHORARRAY('Health Concerns'!$B$2),'Health Concerns'!$A$2:$A$15,"Not Found")</f>
        <v>CRH008</v>
      </c>
      <c r="B350" s="48" t="s">
        <v>715</v>
      </c>
      <c r="C350" s="48" t="s">
        <v>2853</v>
      </c>
    </row>
    <row r="351" spans="1:3">
      <c r="A351" s="50" t="str" cm="1">
        <f t="array" ref="A351">_xlfn.XLOOKUP($C351,_xlfn.ANCHORARRAY('Health Concerns'!$B$2),'Health Concerns'!$A$2:$A$15,"Not Found")</f>
        <v>CRH001</v>
      </c>
      <c r="B351" s="32" t="s">
        <v>716</v>
      </c>
      <c r="C351" s="32" t="s">
        <v>2874</v>
      </c>
    </row>
    <row r="352" spans="1:3">
      <c r="A352" s="52" t="str" cm="1">
        <f t="array" ref="A352">_xlfn.XLOOKUP($C352,_xlfn.ANCHORARRAY('Health Concerns'!$B$2),'Health Concerns'!$A$2:$A$15,"Not Found")</f>
        <v>CRH002</v>
      </c>
      <c r="B352" s="48" t="s">
        <v>716</v>
      </c>
      <c r="C352" s="48" t="s">
        <v>2855</v>
      </c>
    </row>
    <row r="353" spans="1:3">
      <c r="A353" s="50" t="str" cm="1">
        <f t="array" ref="A353">_xlfn.XLOOKUP($C353,_xlfn.ANCHORARRAY('Health Concerns'!$B$2),'Health Concerns'!$A$2:$A$15,"Not Found")</f>
        <v>CRH008</v>
      </c>
      <c r="B353" s="32" t="s">
        <v>717</v>
      </c>
      <c r="C353" s="32" t="s">
        <v>2853</v>
      </c>
    </row>
    <row r="354" spans="1:3">
      <c r="A354" s="52" t="str" cm="1">
        <f t="array" ref="A354">_xlfn.XLOOKUP($C354,_xlfn.ANCHORARRAY('Health Concerns'!$B$2),'Health Concerns'!$A$2:$A$15,"Not Found")</f>
        <v>CRH008</v>
      </c>
      <c r="B354" s="48" t="s">
        <v>718</v>
      </c>
      <c r="C354" s="48" t="s">
        <v>2853</v>
      </c>
    </row>
    <row r="355" spans="1:3">
      <c r="A355" s="50" t="str" cm="1">
        <f t="array" ref="A355">_xlfn.XLOOKUP($C355,_xlfn.ANCHORARRAY('Health Concerns'!$B$2),'Health Concerns'!$A$2:$A$15,"Not Found")</f>
        <v>CRH008</v>
      </c>
      <c r="B355" s="32" t="s">
        <v>719</v>
      </c>
      <c r="C355" s="32" t="s">
        <v>2853</v>
      </c>
    </row>
    <row r="356" spans="1:3">
      <c r="A356" s="52" t="str" cm="1">
        <f t="array" ref="A356">_xlfn.XLOOKUP($C356,_xlfn.ANCHORARRAY('Health Concerns'!$B$2),'Health Concerns'!$A$2:$A$15,"Not Found")</f>
        <v>CRH008</v>
      </c>
      <c r="B356" s="48" t="s">
        <v>720</v>
      </c>
      <c r="C356" s="48" t="s">
        <v>2853</v>
      </c>
    </row>
    <row r="357" spans="1:3">
      <c r="A357" s="50" t="str" cm="1">
        <f t="array" ref="A357">_xlfn.XLOOKUP($C357,_xlfn.ANCHORARRAY('Health Concerns'!$B$2),'Health Concerns'!$A$2:$A$15,"Not Found")</f>
        <v>CRH008</v>
      </c>
      <c r="B357" s="32" t="s">
        <v>721</v>
      </c>
      <c r="C357" s="32" t="s">
        <v>2853</v>
      </c>
    </row>
    <row r="358" spans="1:3">
      <c r="A358" s="52" t="str" cm="1">
        <f t="array" ref="A358">_xlfn.XLOOKUP($C358,_xlfn.ANCHORARRAY('Health Concerns'!$B$2),'Health Concerns'!$A$2:$A$15,"Not Found")</f>
        <v>CRH011</v>
      </c>
      <c r="B358" s="48" t="s">
        <v>722</v>
      </c>
      <c r="C358" s="48" t="s">
        <v>2879</v>
      </c>
    </row>
    <row r="359" spans="1:3">
      <c r="A359" s="50" t="str" cm="1">
        <f t="array" ref="A359">_xlfn.XLOOKUP($C359,_xlfn.ANCHORARRAY('Health Concerns'!$B$2),'Health Concerns'!$A$2:$A$15,"Not Found")</f>
        <v>CRH008</v>
      </c>
      <c r="B359" s="32" t="s">
        <v>723</v>
      </c>
      <c r="C359" s="32" t="s">
        <v>2853</v>
      </c>
    </row>
    <row r="360" spans="1:3">
      <c r="A360" s="52" t="str" cm="1">
        <f t="array" ref="A360">_xlfn.XLOOKUP($C360,_xlfn.ANCHORARRAY('Health Concerns'!$B$2),'Health Concerns'!$A$2:$A$15,"Not Found")</f>
        <v>CRH013</v>
      </c>
      <c r="B360" s="48" t="s">
        <v>724</v>
      </c>
      <c r="C360" s="48" t="s">
        <v>2856</v>
      </c>
    </row>
    <row r="361" spans="1:3">
      <c r="A361" s="50" t="str" cm="1">
        <f t="array" ref="A361">_xlfn.XLOOKUP($C361,_xlfn.ANCHORARRAY('Health Concerns'!$B$2),'Health Concerns'!$A$2:$A$15,"Not Found")</f>
        <v>CRH008</v>
      </c>
      <c r="B361" s="32" t="s">
        <v>725</v>
      </c>
      <c r="C361" s="32" t="s">
        <v>2853</v>
      </c>
    </row>
    <row r="362" spans="1:3">
      <c r="A362" s="52" t="str" cm="1">
        <f t="array" ref="A362">_xlfn.XLOOKUP($C362,_xlfn.ANCHORARRAY('Health Concerns'!$B$2),'Health Concerns'!$A$2:$A$15,"Not Found")</f>
        <v>CRH008</v>
      </c>
      <c r="B362" s="48" t="s">
        <v>726</v>
      </c>
      <c r="C362" s="48" t="s">
        <v>2853</v>
      </c>
    </row>
    <row r="363" spans="1:3">
      <c r="A363" s="50" t="str" cm="1">
        <f t="array" ref="A363">_xlfn.XLOOKUP($C363,_xlfn.ANCHORARRAY('Health Concerns'!$B$2),'Health Concerns'!$A$2:$A$15,"Not Found")</f>
        <v>CRH008</v>
      </c>
      <c r="B363" s="32" t="s">
        <v>727</v>
      </c>
      <c r="C363" s="32" t="s">
        <v>2853</v>
      </c>
    </row>
    <row r="364" spans="1:3">
      <c r="A364" s="52" t="str" cm="1">
        <f t="array" ref="A364">_xlfn.XLOOKUP($C364,_xlfn.ANCHORARRAY('Health Concerns'!$B$2),'Health Concerns'!$A$2:$A$15,"Not Found")</f>
        <v>CRH008</v>
      </c>
      <c r="B364" s="48" t="s">
        <v>728</v>
      </c>
      <c r="C364" s="48" t="s">
        <v>2853</v>
      </c>
    </row>
    <row r="365" spans="1:3">
      <c r="A365" s="50" t="str" cm="1">
        <f t="array" ref="A365">_xlfn.XLOOKUP($C365,_xlfn.ANCHORARRAY('Health Concerns'!$B$2),'Health Concerns'!$A$2:$A$15,"Not Found")</f>
        <v>CRH008</v>
      </c>
      <c r="B365" s="32" t="s">
        <v>729</v>
      </c>
      <c r="C365" s="32" t="s">
        <v>2853</v>
      </c>
    </row>
    <row r="366" spans="1:3">
      <c r="A366" s="52" t="str" cm="1">
        <f t="array" ref="A366">_xlfn.XLOOKUP($C366,_xlfn.ANCHORARRAY('Health Concerns'!$B$2),'Health Concerns'!$A$2:$A$15,"Not Found")</f>
        <v>CRH008</v>
      </c>
      <c r="B366" s="48" t="s">
        <v>730</v>
      </c>
      <c r="C366" s="48" t="s">
        <v>2853</v>
      </c>
    </row>
    <row r="367" spans="1:3">
      <c r="A367" s="50" t="str" cm="1">
        <f t="array" ref="A367">_xlfn.XLOOKUP($C367,_xlfn.ANCHORARRAY('Health Concerns'!$B$2),'Health Concerns'!$A$2:$A$15,"Not Found")</f>
        <v>CRH014</v>
      </c>
      <c r="B367" s="32" t="s">
        <v>731</v>
      </c>
      <c r="C367" s="32" t="s">
        <v>2877</v>
      </c>
    </row>
    <row r="368" spans="1:3">
      <c r="A368" s="52" t="str" cm="1">
        <f t="array" ref="A368">_xlfn.XLOOKUP($C368,_xlfn.ANCHORARRAY('Health Concerns'!$B$2),'Health Concerns'!$A$2:$A$15,"Not Found")</f>
        <v>CRH001</v>
      </c>
      <c r="B368" s="48" t="s">
        <v>732</v>
      </c>
      <c r="C368" s="48" t="s">
        <v>2874</v>
      </c>
    </row>
    <row r="369" spans="1:3">
      <c r="A369" s="50" t="str" cm="1">
        <f t="array" ref="A369">_xlfn.XLOOKUP($C369,_xlfn.ANCHORARRAY('Health Concerns'!$B$2),'Health Concerns'!$A$2:$A$15,"Not Found")</f>
        <v>CRH006</v>
      </c>
      <c r="B369" s="32" t="s">
        <v>732</v>
      </c>
      <c r="C369" s="32" t="s">
        <v>2875</v>
      </c>
    </row>
    <row r="370" spans="1:3">
      <c r="A370" s="52" t="str" cm="1">
        <f t="array" ref="A370">_xlfn.XLOOKUP($C370,_xlfn.ANCHORARRAY('Health Concerns'!$B$2),'Health Concerns'!$A$2:$A$15,"Not Found")</f>
        <v>CRH009</v>
      </c>
      <c r="B370" s="48" t="s">
        <v>732</v>
      </c>
      <c r="C370" s="48" t="s">
        <v>2872</v>
      </c>
    </row>
    <row r="371" spans="1:3">
      <c r="A371" s="50" t="str" cm="1">
        <f t="array" ref="A371">_xlfn.XLOOKUP($C371,_xlfn.ANCHORARRAY('Health Concerns'!$B$2),'Health Concerns'!$A$2:$A$15,"Not Found")</f>
        <v>CRH002</v>
      </c>
      <c r="B371" s="32" t="s">
        <v>733</v>
      </c>
      <c r="C371" s="32" t="s">
        <v>2855</v>
      </c>
    </row>
    <row r="372" spans="1:3">
      <c r="A372" s="52" t="str" cm="1">
        <f t="array" ref="A372">_xlfn.XLOOKUP($C372,_xlfn.ANCHORARRAY('Health Concerns'!$B$2),'Health Concerns'!$A$2:$A$15,"Not Found")</f>
        <v>CRH004</v>
      </c>
      <c r="B372" s="48" t="s">
        <v>733</v>
      </c>
      <c r="C372" s="48" t="s">
        <v>2871</v>
      </c>
    </row>
    <row r="373" spans="1:3">
      <c r="A373" s="50" t="str" cm="1">
        <f t="array" ref="A373">_xlfn.XLOOKUP($C373,_xlfn.ANCHORARRAY('Health Concerns'!$B$2),'Health Concerns'!$A$2:$A$15,"Not Found")</f>
        <v>CRH008</v>
      </c>
      <c r="B373" s="32" t="s">
        <v>734</v>
      </c>
      <c r="C373" s="32" t="s">
        <v>2853</v>
      </c>
    </row>
    <row r="374" spans="1:3">
      <c r="A374" s="52" t="str" cm="1">
        <f t="array" ref="A374">_xlfn.XLOOKUP($C374,_xlfn.ANCHORARRAY('Health Concerns'!$B$2),'Health Concerns'!$A$2:$A$15,"Not Found")</f>
        <v>CRH001</v>
      </c>
      <c r="B374" s="48" t="s">
        <v>735</v>
      </c>
      <c r="C374" s="48" t="s">
        <v>2874</v>
      </c>
    </row>
    <row r="375" spans="1:3">
      <c r="A375" s="50" t="str" cm="1">
        <f t="array" ref="A375">_xlfn.XLOOKUP($C375,_xlfn.ANCHORARRAY('Health Concerns'!$B$2),'Health Concerns'!$A$2:$A$15,"Not Found")</f>
        <v>CRH006</v>
      </c>
      <c r="B375" s="32" t="s">
        <v>735</v>
      </c>
      <c r="C375" s="32" t="s">
        <v>2875</v>
      </c>
    </row>
    <row r="376" spans="1:3">
      <c r="A376" s="52" t="str" cm="1">
        <f t="array" ref="A376">_xlfn.XLOOKUP($C376,_xlfn.ANCHORARRAY('Health Concerns'!$B$2),'Health Concerns'!$A$2:$A$15,"Not Found")</f>
        <v>CRH009</v>
      </c>
      <c r="B376" s="48" t="s">
        <v>735</v>
      </c>
      <c r="C376" s="48" t="s">
        <v>2872</v>
      </c>
    </row>
    <row r="377" spans="1:3">
      <c r="A377" s="50" t="str" cm="1">
        <f t="array" ref="A377">_xlfn.XLOOKUP($C377,_xlfn.ANCHORARRAY('Health Concerns'!$B$2),'Health Concerns'!$A$2:$A$15,"Not Found")</f>
        <v>CRH008</v>
      </c>
      <c r="B377" s="32" t="s">
        <v>736</v>
      </c>
      <c r="C377" s="32" t="s">
        <v>2853</v>
      </c>
    </row>
    <row r="378" spans="1:3">
      <c r="A378" s="52" t="str" cm="1">
        <f t="array" ref="A378">_xlfn.XLOOKUP($C378,_xlfn.ANCHORARRAY('Health Concerns'!$B$2),'Health Concerns'!$A$2:$A$15,"Not Found")</f>
        <v>CRH008</v>
      </c>
      <c r="B378" s="48" t="s">
        <v>737</v>
      </c>
      <c r="C378" s="48" t="s">
        <v>2853</v>
      </c>
    </row>
    <row r="379" spans="1:3">
      <c r="A379" s="50" t="str" cm="1">
        <f t="array" ref="A379">_xlfn.XLOOKUP($C379,_xlfn.ANCHORARRAY('Health Concerns'!$B$2),'Health Concerns'!$A$2:$A$15,"Not Found")</f>
        <v>CRH008</v>
      </c>
      <c r="B379" s="32" t="s">
        <v>738</v>
      </c>
      <c r="C379" s="32" t="s">
        <v>2853</v>
      </c>
    </row>
    <row r="380" spans="1:3">
      <c r="A380" s="52" t="str" cm="1">
        <f t="array" ref="A380">_xlfn.XLOOKUP($C380,_xlfn.ANCHORARRAY('Health Concerns'!$B$2),'Health Concerns'!$A$2:$A$15,"Not Found")</f>
        <v>CRH008</v>
      </c>
      <c r="B380" s="48" t="s">
        <v>739</v>
      </c>
      <c r="C380" s="48" t="s">
        <v>2853</v>
      </c>
    </row>
    <row r="381" spans="1:3">
      <c r="A381" s="50" t="str" cm="1">
        <f t="array" ref="A381">_xlfn.XLOOKUP($C381,_xlfn.ANCHORARRAY('Health Concerns'!$B$2),'Health Concerns'!$A$2:$A$15,"Not Found")</f>
        <v>CRH001</v>
      </c>
      <c r="B381" s="32" t="s">
        <v>740</v>
      </c>
      <c r="C381" s="32" t="s">
        <v>2874</v>
      </c>
    </row>
    <row r="382" spans="1:3">
      <c r="A382" s="52" t="str" cm="1">
        <f t="array" ref="A382">_xlfn.XLOOKUP($C382,_xlfn.ANCHORARRAY('Health Concerns'!$B$2),'Health Concerns'!$A$2:$A$15,"Not Found")</f>
        <v>CRH002</v>
      </c>
      <c r="B382" s="48" t="s">
        <v>740</v>
      </c>
      <c r="C382" s="48" t="s">
        <v>2855</v>
      </c>
    </row>
    <row r="383" spans="1:3">
      <c r="A383" s="50" t="str" cm="1">
        <f t="array" ref="A383">_xlfn.XLOOKUP($C383,_xlfn.ANCHORARRAY('Health Concerns'!$B$2),'Health Concerns'!$A$2:$A$15,"Not Found")</f>
        <v>CRH008</v>
      </c>
      <c r="B383" s="32" t="s">
        <v>741</v>
      </c>
      <c r="C383" s="32" t="s">
        <v>2853</v>
      </c>
    </row>
    <row r="384" spans="1:3">
      <c r="A384" s="52" t="str" cm="1">
        <f t="array" ref="A384">_xlfn.XLOOKUP($C384,_xlfn.ANCHORARRAY('Health Concerns'!$B$2),'Health Concerns'!$A$2:$A$15,"Not Found")</f>
        <v>CRH008</v>
      </c>
      <c r="B384" s="48" t="s">
        <v>742</v>
      </c>
      <c r="C384" s="48" t="s">
        <v>2853</v>
      </c>
    </row>
    <row r="385" spans="1:3">
      <c r="A385" s="50" t="str" cm="1">
        <f t="array" ref="A385">_xlfn.XLOOKUP($C385,_xlfn.ANCHORARRAY('Health Concerns'!$B$2),'Health Concerns'!$A$2:$A$15,"Not Found")</f>
        <v>CRH008</v>
      </c>
      <c r="B385" s="32" t="s">
        <v>743</v>
      </c>
      <c r="C385" s="32" t="s">
        <v>2853</v>
      </c>
    </row>
    <row r="386" spans="1:3">
      <c r="A386" s="52" t="str" cm="1">
        <f t="array" ref="A386">_xlfn.XLOOKUP($C386,_xlfn.ANCHORARRAY('Health Concerns'!$B$2),'Health Concerns'!$A$2:$A$15,"Not Found")</f>
        <v>CRH008</v>
      </c>
      <c r="B386" s="48" t="s">
        <v>744</v>
      </c>
      <c r="C386" s="48" t="s">
        <v>2853</v>
      </c>
    </row>
    <row r="387" spans="1:3">
      <c r="A387" s="50" t="str" cm="1">
        <f t="array" ref="A387">_xlfn.XLOOKUP($C387,_xlfn.ANCHORARRAY('Health Concerns'!$B$2),'Health Concerns'!$A$2:$A$15,"Not Found")</f>
        <v>CRH008</v>
      </c>
      <c r="B387" s="32" t="s">
        <v>745</v>
      </c>
      <c r="C387" s="32" t="s">
        <v>2853</v>
      </c>
    </row>
    <row r="388" spans="1:3">
      <c r="A388" s="52" t="str" cm="1">
        <f t="array" ref="A388">_xlfn.XLOOKUP($C388,_xlfn.ANCHORARRAY('Health Concerns'!$B$2),'Health Concerns'!$A$2:$A$15,"Not Found")</f>
        <v>CRH011</v>
      </c>
      <c r="B388" s="48" t="s">
        <v>746</v>
      </c>
      <c r="C388" s="48" t="s">
        <v>2879</v>
      </c>
    </row>
    <row r="389" spans="1:3">
      <c r="A389" s="50" t="str" cm="1">
        <f t="array" ref="A389">_xlfn.XLOOKUP($C389,_xlfn.ANCHORARRAY('Health Concerns'!$B$2),'Health Concerns'!$A$2:$A$15,"Not Found")</f>
        <v>CRH008</v>
      </c>
      <c r="B389" s="32" t="s">
        <v>747</v>
      </c>
      <c r="C389" s="32" t="s">
        <v>2853</v>
      </c>
    </row>
    <row r="390" spans="1:3">
      <c r="A390" s="52" t="str" cm="1">
        <f t="array" ref="A390">_xlfn.XLOOKUP($C390,_xlfn.ANCHORARRAY('Health Concerns'!$B$2),'Health Concerns'!$A$2:$A$15,"Not Found")</f>
        <v>CRH013</v>
      </c>
      <c r="B390" s="48" t="s">
        <v>748</v>
      </c>
      <c r="C390" s="48" t="s">
        <v>2856</v>
      </c>
    </row>
    <row r="391" spans="1:3">
      <c r="A391" s="50" t="str" cm="1">
        <f t="array" ref="A391">_xlfn.XLOOKUP($C391,_xlfn.ANCHORARRAY('Health Concerns'!$B$2),'Health Concerns'!$A$2:$A$15,"Not Found")</f>
        <v>CRH008</v>
      </c>
      <c r="B391" s="32" t="s">
        <v>749</v>
      </c>
      <c r="C391" s="32" t="s">
        <v>2853</v>
      </c>
    </row>
    <row r="392" spans="1:3">
      <c r="A392" s="52" t="str" cm="1">
        <f t="array" ref="A392">_xlfn.XLOOKUP($C392,_xlfn.ANCHORARRAY('Health Concerns'!$B$2),'Health Concerns'!$A$2:$A$15,"Not Found")</f>
        <v>CRH008</v>
      </c>
      <c r="B392" s="48" t="s">
        <v>750</v>
      </c>
      <c r="C392" s="48" t="s">
        <v>2853</v>
      </c>
    </row>
    <row r="393" spans="1:3">
      <c r="A393" s="50" t="str" cm="1">
        <f t="array" ref="A393">_xlfn.XLOOKUP($C393,_xlfn.ANCHORARRAY('Health Concerns'!$B$2),'Health Concerns'!$A$2:$A$15,"Not Found")</f>
        <v>CRH008</v>
      </c>
      <c r="B393" s="32" t="s">
        <v>751</v>
      </c>
      <c r="C393" s="32" t="s">
        <v>2853</v>
      </c>
    </row>
    <row r="394" spans="1:3">
      <c r="A394" s="52" t="str" cm="1">
        <f t="array" ref="A394">_xlfn.XLOOKUP($C394,_xlfn.ANCHORARRAY('Health Concerns'!$B$2),'Health Concerns'!$A$2:$A$15,"Not Found")</f>
        <v>CRH008</v>
      </c>
      <c r="B394" s="48" t="s">
        <v>752</v>
      </c>
      <c r="C394" s="48" t="s">
        <v>2853</v>
      </c>
    </row>
    <row r="395" spans="1:3">
      <c r="A395" s="50" t="str" cm="1">
        <f t="array" ref="A395">_xlfn.XLOOKUP($C395,_xlfn.ANCHORARRAY('Health Concerns'!$B$2),'Health Concerns'!$A$2:$A$15,"Not Found")</f>
        <v>CRH008</v>
      </c>
      <c r="B395" s="32" t="s">
        <v>753</v>
      </c>
      <c r="C395" s="32" t="s">
        <v>2853</v>
      </c>
    </row>
    <row r="396" spans="1:3">
      <c r="A396" s="52" t="str" cm="1">
        <f t="array" ref="A396">_xlfn.XLOOKUP($C396,_xlfn.ANCHORARRAY('Health Concerns'!$B$2),'Health Concerns'!$A$2:$A$15,"Not Found")</f>
        <v>CRH008</v>
      </c>
      <c r="B396" s="48" t="s">
        <v>754</v>
      </c>
      <c r="C396" s="48" t="s">
        <v>2853</v>
      </c>
    </row>
    <row r="397" spans="1:3">
      <c r="A397" s="50" t="str" cm="1">
        <f t="array" ref="A397">_xlfn.XLOOKUP($C397,_xlfn.ANCHORARRAY('Health Concerns'!$B$2),'Health Concerns'!$A$2:$A$15,"Not Found")</f>
        <v>CRH014</v>
      </c>
      <c r="B397" s="32" t="s">
        <v>755</v>
      </c>
      <c r="C397" s="32" t="s">
        <v>2877</v>
      </c>
    </row>
    <row r="398" spans="1:3">
      <c r="A398" s="52" t="str" cm="1">
        <f t="array" ref="A398">_xlfn.XLOOKUP($C398,_xlfn.ANCHORARRAY('Health Concerns'!$B$2),'Health Concerns'!$A$2:$A$15,"Not Found")</f>
        <v>CRH001</v>
      </c>
      <c r="B398" s="48" t="s">
        <v>756</v>
      </c>
      <c r="C398" s="48" t="s">
        <v>2874</v>
      </c>
    </row>
    <row r="399" spans="1:3">
      <c r="A399" s="50" t="str" cm="1">
        <f t="array" ref="A399">_xlfn.XLOOKUP($C399,_xlfn.ANCHORARRAY('Health Concerns'!$B$2),'Health Concerns'!$A$2:$A$15,"Not Found")</f>
        <v>CRH006</v>
      </c>
      <c r="B399" s="32" t="s">
        <v>756</v>
      </c>
      <c r="C399" s="32" t="s">
        <v>2875</v>
      </c>
    </row>
    <row r="400" spans="1:3">
      <c r="A400" s="52" t="str" cm="1">
        <f t="array" ref="A400">_xlfn.XLOOKUP($C400,_xlfn.ANCHORARRAY('Health Concerns'!$B$2),'Health Concerns'!$A$2:$A$15,"Not Found")</f>
        <v>CRH009</v>
      </c>
      <c r="B400" s="48" t="s">
        <v>756</v>
      </c>
      <c r="C400" s="48" t="s">
        <v>2872</v>
      </c>
    </row>
    <row r="401" spans="1:3">
      <c r="A401" s="50" t="str" cm="1">
        <f t="array" ref="A401">_xlfn.XLOOKUP($C401,_xlfn.ANCHORARRAY('Health Concerns'!$B$2),'Health Concerns'!$A$2:$A$15,"Not Found")</f>
        <v>CRH002</v>
      </c>
      <c r="B401" s="32" t="s">
        <v>757</v>
      </c>
      <c r="C401" s="32" t="s">
        <v>2855</v>
      </c>
    </row>
    <row r="402" spans="1:3">
      <c r="A402" s="52" t="str" cm="1">
        <f t="array" ref="A402">_xlfn.XLOOKUP($C402,_xlfn.ANCHORARRAY('Health Concerns'!$B$2),'Health Concerns'!$A$2:$A$15,"Not Found")</f>
        <v>CRH004</v>
      </c>
      <c r="B402" s="48" t="s">
        <v>757</v>
      </c>
      <c r="C402" s="48" t="s">
        <v>2871</v>
      </c>
    </row>
    <row r="403" spans="1:3">
      <c r="A403" s="50" t="str" cm="1">
        <f t="array" ref="A403">_xlfn.XLOOKUP($C403,_xlfn.ANCHORARRAY('Health Concerns'!$B$2),'Health Concerns'!$A$2:$A$15,"Not Found")</f>
        <v>CRH008</v>
      </c>
      <c r="B403" s="32" t="s">
        <v>758</v>
      </c>
      <c r="C403" s="32" t="s">
        <v>2853</v>
      </c>
    </row>
    <row r="404" spans="1:3">
      <c r="A404" s="52" t="str" cm="1">
        <f t="array" ref="A404">_xlfn.XLOOKUP($C404,_xlfn.ANCHORARRAY('Health Concerns'!$B$2),'Health Concerns'!$A$2:$A$15,"Not Found")</f>
        <v>CRH001</v>
      </c>
      <c r="B404" s="48" t="s">
        <v>759</v>
      </c>
      <c r="C404" s="48" t="s">
        <v>2874</v>
      </c>
    </row>
    <row r="405" spans="1:3">
      <c r="A405" s="50" t="str" cm="1">
        <f t="array" ref="A405">_xlfn.XLOOKUP($C405,_xlfn.ANCHORARRAY('Health Concerns'!$B$2),'Health Concerns'!$A$2:$A$15,"Not Found")</f>
        <v>CRH006</v>
      </c>
      <c r="B405" s="32" t="s">
        <v>759</v>
      </c>
      <c r="C405" s="32" t="s">
        <v>2875</v>
      </c>
    </row>
    <row r="406" spans="1:3">
      <c r="A406" s="52" t="str" cm="1">
        <f t="array" ref="A406">_xlfn.XLOOKUP($C406,_xlfn.ANCHORARRAY('Health Concerns'!$B$2),'Health Concerns'!$A$2:$A$15,"Not Found")</f>
        <v>CRH009</v>
      </c>
      <c r="B406" s="48" t="s">
        <v>759</v>
      </c>
      <c r="C406" s="48" t="s">
        <v>2872</v>
      </c>
    </row>
    <row r="407" spans="1:3">
      <c r="A407" s="50" t="str" cm="1">
        <f t="array" ref="A407">_xlfn.XLOOKUP($C407,_xlfn.ANCHORARRAY('Health Concerns'!$B$2),'Health Concerns'!$A$2:$A$15,"Not Found")</f>
        <v>CRH008</v>
      </c>
      <c r="B407" s="32" t="s">
        <v>760</v>
      </c>
      <c r="C407" s="32" t="s">
        <v>2853</v>
      </c>
    </row>
    <row r="408" spans="1:3">
      <c r="A408" s="52" t="str" cm="1">
        <f t="array" ref="A408">_xlfn.XLOOKUP($C408,_xlfn.ANCHORARRAY('Health Concerns'!$B$2),'Health Concerns'!$A$2:$A$15,"Not Found")</f>
        <v>CRH008</v>
      </c>
      <c r="B408" s="48" t="s">
        <v>761</v>
      </c>
      <c r="C408" s="48" t="s">
        <v>2853</v>
      </c>
    </row>
    <row r="409" spans="1:3">
      <c r="A409" s="50" t="str" cm="1">
        <f t="array" ref="A409">_xlfn.XLOOKUP($C409,_xlfn.ANCHORARRAY('Health Concerns'!$B$2),'Health Concerns'!$A$2:$A$15,"Not Found")</f>
        <v>CRH008</v>
      </c>
      <c r="B409" s="32" t="s">
        <v>762</v>
      </c>
      <c r="C409" s="32" t="s">
        <v>2853</v>
      </c>
    </row>
    <row r="410" spans="1:3">
      <c r="A410" s="52" t="str" cm="1">
        <f t="array" ref="A410">_xlfn.XLOOKUP($C410,_xlfn.ANCHORARRAY('Health Concerns'!$B$2),'Health Concerns'!$A$2:$A$15,"Not Found")</f>
        <v>CRH008</v>
      </c>
      <c r="B410" s="48" t="s">
        <v>763</v>
      </c>
      <c r="C410" s="48" t="s">
        <v>2853</v>
      </c>
    </row>
    <row r="411" spans="1:3">
      <c r="A411" s="50" t="str" cm="1">
        <f t="array" ref="A411">_xlfn.XLOOKUP($C411,_xlfn.ANCHORARRAY('Health Concerns'!$B$2),'Health Concerns'!$A$2:$A$15,"Not Found")</f>
        <v>CRH001</v>
      </c>
      <c r="B411" s="32" t="s">
        <v>764</v>
      </c>
      <c r="C411" s="32" t="s">
        <v>2874</v>
      </c>
    </row>
    <row r="412" spans="1:3">
      <c r="A412" s="52" t="str" cm="1">
        <f t="array" ref="A412">_xlfn.XLOOKUP($C412,_xlfn.ANCHORARRAY('Health Concerns'!$B$2),'Health Concerns'!$A$2:$A$15,"Not Found")</f>
        <v>CRH002</v>
      </c>
      <c r="B412" s="48" t="s">
        <v>764</v>
      </c>
      <c r="C412" s="48" t="s">
        <v>2855</v>
      </c>
    </row>
    <row r="413" spans="1:3">
      <c r="A413" s="50" t="str" cm="1">
        <f t="array" ref="A413">_xlfn.XLOOKUP($C413,_xlfn.ANCHORARRAY('Health Concerns'!$B$2),'Health Concerns'!$A$2:$A$15,"Not Found")</f>
        <v>CRH008</v>
      </c>
      <c r="B413" s="32" t="s">
        <v>765</v>
      </c>
      <c r="C413" s="32" t="s">
        <v>2853</v>
      </c>
    </row>
    <row r="414" spans="1:3">
      <c r="A414" s="52" t="str" cm="1">
        <f t="array" ref="A414">_xlfn.XLOOKUP($C414,_xlfn.ANCHORARRAY('Health Concerns'!$B$2),'Health Concerns'!$A$2:$A$15,"Not Found")</f>
        <v>CRH008</v>
      </c>
      <c r="B414" s="48" t="s">
        <v>766</v>
      </c>
      <c r="C414" s="48" t="s">
        <v>2853</v>
      </c>
    </row>
    <row r="415" spans="1:3">
      <c r="A415" s="50" t="str" cm="1">
        <f t="array" ref="A415">_xlfn.XLOOKUP($C415,_xlfn.ANCHORARRAY('Health Concerns'!$B$2),'Health Concerns'!$A$2:$A$15,"Not Found")</f>
        <v>CRH008</v>
      </c>
      <c r="B415" s="32" t="s">
        <v>767</v>
      </c>
      <c r="C415" s="32" t="s">
        <v>2853</v>
      </c>
    </row>
    <row r="416" spans="1:3">
      <c r="A416" s="52" t="str" cm="1">
        <f t="array" ref="A416">_xlfn.XLOOKUP($C416,_xlfn.ANCHORARRAY('Health Concerns'!$B$2),'Health Concerns'!$A$2:$A$15,"Not Found")</f>
        <v>CRH008</v>
      </c>
      <c r="B416" s="48" t="s">
        <v>768</v>
      </c>
      <c r="C416" s="48" t="s">
        <v>2853</v>
      </c>
    </row>
    <row r="417" spans="1:3">
      <c r="A417" s="50" t="str" cm="1">
        <f t="array" ref="A417">_xlfn.XLOOKUP($C417,_xlfn.ANCHORARRAY('Health Concerns'!$B$2),'Health Concerns'!$A$2:$A$15,"Not Found")</f>
        <v>CRH008</v>
      </c>
      <c r="B417" s="32" t="s">
        <v>769</v>
      </c>
      <c r="C417" s="32" t="s">
        <v>2853</v>
      </c>
    </row>
    <row r="418" spans="1:3">
      <c r="A418" s="52" t="str" cm="1">
        <f t="array" ref="A418">_xlfn.XLOOKUP($C418,_xlfn.ANCHORARRAY('Health Concerns'!$B$2),'Health Concerns'!$A$2:$A$15,"Not Found")</f>
        <v>CRH011</v>
      </c>
      <c r="B418" s="48" t="s">
        <v>770</v>
      </c>
      <c r="C418" s="48" t="s">
        <v>2879</v>
      </c>
    </row>
    <row r="419" spans="1:3">
      <c r="A419" s="50" t="str" cm="1">
        <f t="array" ref="A419">_xlfn.XLOOKUP($C419,_xlfn.ANCHORARRAY('Health Concerns'!$B$2),'Health Concerns'!$A$2:$A$15,"Not Found")</f>
        <v>CRH008</v>
      </c>
      <c r="B419" s="32" t="s">
        <v>771</v>
      </c>
      <c r="C419" s="32" t="s">
        <v>2853</v>
      </c>
    </row>
    <row r="420" spans="1:3">
      <c r="A420" s="52" t="str" cm="1">
        <f t="array" ref="A420">_xlfn.XLOOKUP($C420,_xlfn.ANCHORARRAY('Health Concerns'!$B$2),'Health Concerns'!$A$2:$A$15,"Not Found")</f>
        <v>CRH013</v>
      </c>
      <c r="B420" s="48" t="s">
        <v>772</v>
      </c>
      <c r="C420" s="48" t="s">
        <v>2856</v>
      </c>
    </row>
    <row r="421" spans="1:3">
      <c r="A421" s="50" t="str" cm="1">
        <f t="array" ref="A421">_xlfn.XLOOKUP($C421,_xlfn.ANCHORARRAY('Health Concerns'!$B$2),'Health Concerns'!$A$2:$A$15,"Not Found")</f>
        <v>CRH008</v>
      </c>
      <c r="B421" s="32" t="s">
        <v>773</v>
      </c>
      <c r="C421" s="32" t="s">
        <v>2853</v>
      </c>
    </row>
    <row r="422" spans="1:3">
      <c r="A422" s="52" t="str" cm="1">
        <f t="array" ref="A422">_xlfn.XLOOKUP($C422,_xlfn.ANCHORARRAY('Health Concerns'!$B$2),'Health Concerns'!$A$2:$A$15,"Not Found")</f>
        <v>CRH008</v>
      </c>
      <c r="B422" s="48" t="s">
        <v>774</v>
      </c>
      <c r="C422" s="48" t="s">
        <v>2853</v>
      </c>
    </row>
    <row r="423" spans="1:3">
      <c r="A423" s="50" t="str" cm="1">
        <f t="array" ref="A423">_xlfn.XLOOKUP($C423,_xlfn.ANCHORARRAY('Health Concerns'!$B$2),'Health Concerns'!$A$2:$A$15,"Not Found")</f>
        <v>CRH008</v>
      </c>
      <c r="B423" s="32" t="s">
        <v>775</v>
      </c>
      <c r="C423" s="32" t="s">
        <v>2853</v>
      </c>
    </row>
    <row r="424" spans="1:3">
      <c r="A424" s="52" t="str" cm="1">
        <f t="array" ref="A424">_xlfn.XLOOKUP($C424,_xlfn.ANCHORARRAY('Health Concerns'!$B$2),'Health Concerns'!$A$2:$A$15,"Not Found")</f>
        <v>CRH008</v>
      </c>
      <c r="B424" s="48" t="s">
        <v>776</v>
      </c>
      <c r="C424" s="48" t="s">
        <v>2853</v>
      </c>
    </row>
    <row r="425" spans="1:3">
      <c r="A425" s="50" t="str" cm="1">
        <f t="array" ref="A425">_xlfn.XLOOKUP($C425,_xlfn.ANCHORARRAY('Health Concerns'!$B$2),'Health Concerns'!$A$2:$A$15,"Not Found")</f>
        <v>CRH008</v>
      </c>
      <c r="B425" s="32" t="s">
        <v>777</v>
      </c>
      <c r="C425" s="32" t="s">
        <v>2853</v>
      </c>
    </row>
    <row r="426" spans="1:3">
      <c r="A426" s="52" t="str" cm="1">
        <f t="array" ref="A426">_xlfn.XLOOKUP($C426,_xlfn.ANCHORARRAY('Health Concerns'!$B$2),'Health Concerns'!$A$2:$A$15,"Not Found")</f>
        <v>CRH008</v>
      </c>
      <c r="B426" s="48" t="s">
        <v>778</v>
      </c>
      <c r="C426" s="48" t="s">
        <v>2853</v>
      </c>
    </row>
    <row r="427" spans="1:3">
      <c r="A427" s="50" t="str" cm="1">
        <f t="array" ref="A427">_xlfn.XLOOKUP($C427,_xlfn.ANCHORARRAY('Health Concerns'!$B$2),'Health Concerns'!$A$2:$A$15,"Not Found")</f>
        <v>CRH014</v>
      </c>
      <c r="B427" s="32" t="s">
        <v>779</v>
      </c>
      <c r="C427" s="32" t="s">
        <v>2877</v>
      </c>
    </row>
    <row r="428" spans="1:3">
      <c r="A428" s="52" t="str" cm="1">
        <f t="array" ref="A428">_xlfn.XLOOKUP($C428,_xlfn.ANCHORARRAY('Health Concerns'!$B$2),'Health Concerns'!$A$2:$A$15,"Not Found")</f>
        <v>CRH001</v>
      </c>
      <c r="B428" s="48" t="s">
        <v>780</v>
      </c>
      <c r="C428" s="48" t="s">
        <v>2874</v>
      </c>
    </row>
    <row r="429" spans="1:3">
      <c r="A429" s="50" t="str" cm="1">
        <f t="array" ref="A429">_xlfn.XLOOKUP($C429,_xlfn.ANCHORARRAY('Health Concerns'!$B$2),'Health Concerns'!$A$2:$A$15,"Not Found")</f>
        <v>CRH006</v>
      </c>
      <c r="B429" s="32" t="s">
        <v>780</v>
      </c>
      <c r="C429" s="32" t="s">
        <v>2875</v>
      </c>
    </row>
    <row r="430" spans="1:3">
      <c r="A430" s="52" t="str" cm="1">
        <f t="array" ref="A430">_xlfn.XLOOKUP($C430,_xlfn.ANCHORARRAY('Health Concerns'!$B$2),'Health Concerns'!$A$2:$A$15,"Not Found")</f>
        <v>CRH009</v>
      </c>
      <c r="B430" s="48" t="s">
        <v>780</v>
      </c>
      <c r="C430" s="48" t="s">
        <v>2872</v>
      </c>
    </row>
    <row r="431" spans="1:3">
      <c r="A431" s="50" t="str" cm="1">
        <f t="array" ref="A431">_xlfn.XLOOKUP($C431,_xlfn.ANCHORARRAY('Health Concerns'!$B$2),'Health Concerns'!$A$2:$A$15,"Not Found")</f>
        <v>CRH002</v>
      </c>
      <c r="B431" s="32" t="s">
        <v>781</v>
      </c>
      <c r="C431" s="32" t="s">
        <v>2855</v>
      </c>
    </row>
    <row r="432" spans="1:3">
      <c r="A432" s="52" t="str" cm="1">
        <f t="array" ref="A432">_xlfn.XLOOKUP($C432,_xlfn.ANCHORARRAY('Health Concerns'!$B$2),'Health Concerns'!$A$2:$A$15,"Not Found")</f>
        <v>CRH004</v>
      </c>
      <c r="B432" s="48" t="s">
        <v>781</v>
      </c>
      <c r="C432" s="48" t="s">
        <v>2871</v>
      </c>
    </row>
    <row r="433" spans="1:3">
      <c r="A433" s="50" t="str" cm="1">
        <f t="array" ref="A433">_xlfn.XLOOKUP($C433,_xlfn.ANCHORARRAY('Health Concerns'!$B$2),'Health Concerns'!$A$2:$A$15,"Not Found")</f>
        <v>CRH008</v>
      </c>
      <c r="B433" s="32" t="s">
        <v>782</v>
      </c>
      <c r="C433" s="32" t="s">
        <v>2853</v>
      </c>
    </row>
    <row r="434" spans="1:3">
      <c r="A434" s="52" t="str" cm="1">
        <f t="array" ref="A434">_xlfn.XLOOKUP($C434,_xlfn.ANCHORARRAY('Health Concerns'!$B$2),'Health Concerns'!$A$2:$A$15,"Not Found")</f>
        <v>CRH001</v>
      </c>
      <c r="B434" s="48" t="s">
        <v>783</v>
      </c>
      <c r="C434" s="48" t="s">
        <v>2874</v>
      </c>
    </row>
    <row r="435" spans="1:3">
      <c r="A435" s="50" t="str" cm="1">
        <f t="array" ref="A435">_xlfn.XLOOKUP($C435,_xlfn.ANCHORARRAY('Health Concerns'!$B$2),'Health Concerns'!$A$2:$A$15,"Not Found")</f>
        <v>CRH006</v>
      </c>
      <c r="B435" s="32" t="s">
        <v>783</v>
      </c>
      <c r="C435" s="32" t="s">
        <v>2875</v>
      </c>
    </row>
    <row r="436" spans="1:3">
      <c r="A436" s="52" t="str" cm="1">
        <f t="array" ref="A436">_xlfn.XLOOKUP($C436,_xlfn.ANCHORARRAY('Health Concerns'!$B$2),'Health Concerns'!$A$2:$A$15,"Not Found")</f>
        <v>CRH009</v>
      </c>
      <c r="B436" s="48" t="s">
        <v>783</v>
      </c>
      <c r="C436" s="48" t="s">
        <v>2872</v>
      </c>
    </row>
    <row r="437" spans="1:3">
      <c r="A437" s="50" t="str" cm="1">
        <f t="array" ref="A437">_xlfn.XLOOKUP($C437,_xlfn.ANCHORARRAY('Health Concerns'!$B$2),'Health Concerns'!$A$2:$A$15,"Not Found")</f>
        <v>CRH008</v>
      </c>
      <c r="B437" s="32" t="s">
        <v>784</v>
      </c>
      <c r="C437" s="32" t="s">
        <v>2853</v>
      </c>
    </row>
    <row r="438" spans="1:3">
      <c r="A438" s="52" t="str" cm="1">
        <f t="array" ref="A438">_xlfn.XLOOKUP($C438,_xlfn.ANCHORARRAY('Health Concerns'!$B$2),'Health Concerns'!$A$2:$A$15,"Not Found")</f>
        <v>CRH008</v>
      </c>
      <c r="B438" s="48" t="s">
        <v>785</v>
      </c>
      <c r="C438" s="48" t="s">
        <v>2853</v>
      </c>
    </row>
    <row r="439" spans="1:3">
      <c r="A439" s="50" t="str" cm="1">
        <f t="array" ref="A439">_xlfn.XLOOKUP($C439,_xlfn.ANCHORARRAY('Health Concerns'!$B$2),'Health Concerns'!$A$2:$A$15,"Not Found")</f>
        <v>CRH008</v>
      </c>
      <c r="B439" s="32" t="s">
        <v>786</v>
      </c>
      <c r="C439" s="32" t="s">
        <v>2853</v>
      </c>
    </row>
    <row r="440" spans="1:3">
      <c r="A440" s="52" t="str" cm="1">
        <f t="array" ref="A440">_xlfn.XLOOKUP($C440,_xlfn.ANCHORARRAY('Health Concerns'!$B$2),'Health Concerns'!$A$2:$A$15,"Not Found")</f>
        <v>CRH008</v>
      </c>
      <c r="B440" s="48" t="s">
        <v>787</v>
      </c>
      <c r="C440" s="48" t="s">
        <v>2853</v>
      </c>
    </row>
    <row r="441" spans="1:3">
      <c r="A441" s="50" t="str" cm="1">
        <f t="array" ref="A441">_xlfn.XLOOKUP($C441,_xlfn.ANCHORARRAY('Health Concerns'!$B$2),'Health Concerns'!$A$2:$A$15,"Not Found")</f>
        <v>CRH001</v>
      </c>
      <c r="B441" s="32" t="s">
        <v>788</v>
      </c>
      <c r="C441" s="32" t="s">
        <v>2874</v>
      </c>
    </row>
    <row r="442" spans="1:3">
      <c r="A442" s="52" t="str" cm="1">
        <f t="array" ref="A442">_xlfn.XLOOKUP($C442,_xlfn.ANCHORARRAY('Health Concerns'!$B$2),'Health Concerns'!$A$2:$A$15,"Not Found")</f>
        <v>CRH002</v>
      </c>
      <c r="B442" s="48" t="s">
        <v>788</v>
      </c>
      <c r="C442" s="48" t="s">
        <v>2855</v>
      </c>
    </row>
    <row r="443" spans="1:3">
      <c r="A443" s="50" t="str" cm="1">
        <f t="array" ref="A443">_xlfn.XLOOKUP($C443,_xlfn.ANCHORARRAY('Health Concerns'!$B$2),'Health Concerns'!$A$2:$A$15,"Not Found")</f>
        <v>CRH008</v>
      </c>
      <c r="B443" s="32" t="s">
        <v>789</v>
      </c>
      <c r="C443" s="32" t="s">
        <v>2853</v>
      </c>
    </row>
    <row r="444" spans="1:3">
      <c r="A444" s="52" t="str" cm="1">
        <f t="array" ref="A444">_xlfn.XLOOKUP($C444,_xlfn.ANCHORARRAY('Health Concerns'!$B$2),'Health Concerns'!$A$2:$A$15,"Not Found")</f>
        <v>CRH008</v>
      </c>
      <c r="B444" s="48" t="s">
        <v>790</v>
      </c>
      <c r="C444" s="48" t="s">
        <v>2853</v>
      </c>
    </row>
    <row r="445" spans="1:3">
      <c r="A445" s="50" t="str" cm="1">
        <f t="array" ref="A445">_xlfn.XLOOKUP($C445,_xlfn.ANCHORARRAY('Health Concerns'!$B$2),'Health Concerns'!$A$2:$A$15,"Not Found")</f>
        <v>CRH008</v>
      </c>
      <c r="B445" s="32" t="s">
        <v>791</v>
      </c>
      <c r="C445" s="32" t="s">
        <v>2853</v>
      </c>
    </row>
    <row r="446" spans="1:3">
      <c r="A446" s="52" t="str" cm="1">
        <f t="array" ref="A446">_xlfn.XLOOKUP($C446,_xlfn.ANCHORARRAY('Health Concerns'!$B$2),'Health Concerns'!$A$2:$A$15,"Not Found")</f>
        <v>CRH008</v>
      </c>
      <c r="B446" s="48" t="s">
        <v>792</v>
      </c>
      <c r="C446" s="48" t="s">
        <v>2853</v>
      </c>
    </row>
    <row r="447" spans="1:3">
      <c r="A447" s="50" t="str" cm="1">
        <f t="array" ref="A447">_xlfn.XLOOKUP($C447,_xlfn.ANCHORARRAY('Health Concerns'!$B$2),'Health Concerns'!$A$2:$A$15,"Not Found")</f>
        <v>CRH008</v>
      </c>
      <c r="B447" s="32" t="s">
        <v>793</v>
      </c>
      <c r="C447" s="32" t="s">
        <v>2853</v>
      </c>
    </row>
    <row r="448" spans="1:3">
      <c r="A448" s="52" t="str" cm="1">
        <f t="array" ref="A448">_xlfn.XLOOKUP($C448,_xlfn.ANCHORARRAY('Health Concerns'!$B$2),'Health Concerns'!$A$2:$A$15,"Not Found")</f>
        <v>CRH011</v>
      </c>
      <c r="B448" s="48" t="s">
        <v>794</v>
      </c>
      <c r="C448" s="48" t="s">
        <v>2879</v>
      </c>
    </row>
    <row r="449" spans="1:3">
      <c r="A449" s="50" t="str" cm="1">
        <f t="array" ref="A449">_xlfn.XLOOKUP($C449,_xlfn.ANCHORARRAY('Health Concerns'!$B$2),'Health Concerns'!$A$2:$A$15,"Not Found")</f>
        <v>CRH008</v>
      </c>
      <c r="B449" s="32" t="s">
        <v>795</v>
      </c>
      <c r="C449" s="32" t="s">
        <v>2853</v>
      </c>
    </row>
    <row r="450" spans="1:3">
      <c r="A450" s="52" t="str" cm="1">
        <f t="array" ref="A450">_xlfn.XLOOKUP($C450,_xlfn.ANCHORARRAY('Health Concerns'!$B$2),'Health Concerns'!$A$2:$A$15,"Not Found")</f>
        <v>CRH013</v>
      </c>
      <c r="B450" s="48" t="s">
        <v>796</v>
      </c>
      <c r="C450" s="48" t="s">
        <v>2856</v>
      </c>
    </row>
    <row r="451" spans="1:3">
      <c r="A451" s="50" t="str" cm="1">
        <f t="array" ref="A451">_xlfn.XLOOKUP($C451,_xlfn.ANCHORARRAY('Health Concerns'!$B$2),'Health Concerns'!$A$2:$A$15,"Not Found")</f>
        <v>CRH008</v>
      </c>
      <c r="B451" s="32" t="s">
        <v>797</v>
      </c>
      <c r="C451" s="32" t="s">
        <v>2853</v>
      </c>
    </row>
    <row r="452" spans="1:3">
      <c r="A452" s="52" t="str" cm="1">
        <f t="array" ref="A452">_xlfn.XLOOKUP($C452,_xlfn.ANCHORARRAY('Health Concerns'!$B$2),'Health Concerns'!$A$2:$A$15,"Not Found")</f>
        <v>CRH008</v>
      </c>
      <c r="B452" s="48" t="s">
        <v>798</v>
      </c>
      <c r="C452" s="48" t="s">
        <v>2853</v>
      </c>
    </row>
    <row r="453" spans="1:3">
      <c r="A453" s="50" t="str" cm="1">
        <f t="array" ref="A453">_xlfn.XLOOKUP($C453,_xlfn.ANCHORARRAY('Health Concerns'!$B$2),'Health Concerns'!$A$2:$A$15,"Not Found")</f>
        <v>CRH008</v>
      </c>
      <c r="B453" s="32" t="s">
        <v>799</v>
      </c>
      <c r="C453" s="32" t="s">
        <v>2853</v>
      </c>
    </row>
    <row r="454" spans="1:3">
      <c r="A454" s="52" t="str" cm="1">
        <f t="array" ref="A454">_xlfn.XLOOKUP($C454,_xlfn.ANCHORARRAY('Health Concerns'!$B$2),'Health Concerns'!$A$2:$A$15,"Not Found")</f>
        <v>CRH008</v>
      </c>
      <c r="B454" s="48" t="s">
        <v>800</v>
      </c>
      <c r="C454" s="48" t="s">
        <v>2853</v>
      </c>
    </row>
    <row r="455" spans="1:3">
      <c r="A455" s="50" t="str" cm="1">
        <f t="array" ref="A455">_xlfn.XLOOKUP($C455,_xlfn.ANCHORARRAY('Health Concerns'!$B$2),'Health Concerns'!$A$2:$A$15,"Not Found")</f>
        <v>CRH008</v>
      </c>
      <c r="B455" s="32" t="s">
        <v>801</v>
      </c>
      <c r="C455" s="32" t="s">
        <v>2853</v>
      </c>
    </row>
    <row r="456" spans="1:3">
      <c r="A456" s="52" t="str" cm="1">
        <f t="array" ref="A456">_xlfn.XLOOKUP($C456,_xlfn.ANCHORARRAY('Health Concerns'!$B$2),'Health Concerns'!$A$2:$A$15,"Not Found")</f>
        <v>CRH008</v>
      </c>
      <c r="B456" s="48" t="s">
        <v>802</v>
      </c>
      <c r="C456" s="48" t="s">
        <v>2853</v>
      </c>
    </row>
    <row r="457" spans="1:3">
      <c r="A457" s="50" t="str" cm="1">
        <f t="array" ref="A457">_xlfn.XLOOKUP($C457,_xlfn.ANCHORARRAY('Health Concerns'!$B$2),'Health Concerns'!$A$2:$A$15,"Not Found")</f>
        <v>CRH014</v>
      </c>
      <c r="B457" s="32" t="s">
        <v>803</v>
      </c>
      <c r="C457" s="32" t="s">
        <v>2877</v>
      </c>
    </row>
    <row r="458" spans="1:3">
      <c r="A458" s="52" t="str" cm="1">
        <f t="array" ref="A458">_xlfn.XLOOKUP($C458,_xlfn.ANCHORARRAY('Health Concerns'!$B$2),'Health Concerns'!$A$2:$A$15,"Not Found")</f>
        <v>CRH001</v>
      </c>
      <c r="B458" s="48" t="s">
        <v>804</v>
      </c>
      <c r="C458" s="48" t="s">
        <v>2874</v>
      </c>
    </row>
    <row r="459" spans="1:3">
      <c r="A459" s="50" t="str" cm="1">
        <f t="array" ref="A459">_xlfn.XLOOKUP($C459,_xlfn.ANCHORARRAY('Health Concerns'!$B$2),'Health Concerns'!$A$2:$A$15,"Not Found")</f>
        <v>CRH006</v>
      </c>
      <c r="B459" s="32" t="s">
        <v>804</v>
      </c>
      <c r="C459" s="32" t="s">
        <v>2875</v>
      </c>
    </row>
    <row r="460" spans="1:3">
      <c r="A460" s="52" t="str" cm="1">
        <f t="array" ref="A460">_xlfn.XLOOKUP($C460,_xlfn.ANCHORARRAY('Health Concerns'!$B$2),'Health Concerns'!$A$2:$A$15,"Not Found")</f>
        <v>CRH009</v>
      </c>
      <c r="B460" s="48" t="s">
        <v>804</v>
      </c>
      <c r="C460" s="48" t="s">
        <v>2872</v>
      </c>
    </row>
    <row r="461" spans="1:3">
      <c r="A461" s="50" t="str" cm="1">
        <f t="array" ref="A461">_xlfn.XLOOKUP($C461,_xlfn.ANCHORARRAY('Health Concerns'!$B$2),'Health Concerns'!$A$2:$A$15,"Not Found")</f>
        <v>CRH002</v>
      </c>
      <c r="B461" s="32" t="s">
        <v>805</v>
      </c>
      <c r="C461" s="32" t="s">
        <v>2855</v>
      </c>
    </row>
    <row r="462" spans="1:3">
      <c r="A462" s="52" t="str" cm="1">
        <f t="array" ref="A462">_xlfn.XLOOKUP($C462,_xlfn.ANCHORARRAY('Health Concerns'!$B$2),'Health Concerns'!$A$2:$A$15,"Not Found")</f>
        <v>CRH004</v>
      </c>
      <c r="B462" s="48" t="s">
        <v>805</v>
      </c>
      <c r="C462" s="48" t="s">
        <v>2871</v>
      </c>
    </row>
    <row r="463" spans="1:3">
      <c r="A463" s="50" t="str" cm="1">
        <f t="array" ref="A463">_xlfn.XLOOKUP($C463,_xlfn.ANCHORARRAY('Health Concerns'!$B$2),'Health Concerns'!$A$2:$A$15,"Not Found")</f>
        <v>CRH008</v>
      </c>
      <c r="B463" s="32" t="s">
        <v>806</v>
      </c>
      <c r="C463" s="32" t="s">
        <v>2853</v>
      </c>
    </row>
    <row r="464" spans="1:3">
      <c r="A464" s="52" t="str" cm="1">
        <f t="array" ref="A464">_xlfn.XLOOKUP($C464,_xlfn.ANCHORARRAY('Health Concerns'!$B$2),'Health Concerns'!$A$2:$A$15,"Not Found")</f>
        <v>CRH001</v>
      </c>
      <c r="B464" s="48" t="s">
        <v>807</v>
      </c>
      <c r="C464" s="48" t="s">
        <v>2874</v>
      </c>
    </row>
    <row r="465" spans="1:3">
      <c r="A465" s="50" t="str" cm="1">
        <f t="array" ref="A465">_xlfn.XLOOKUP($C465,_xlfn.ANCHORARRAY('Health Concerns'!$B$2),'Health Concerns'!$A$2:$A$15,"Not Found")</f>
        <v>CRH006</v>
      </c>
      <c r="B465" s="32" t="s">
        <v>807</v>
      </c>
      <c r="C465" s="32" t="s">
        <v>2875</v>
      </c>
    </row>
    <row r="466" spans="1:3">
      <c r="A466" s="52" t="str" cm="1">
        <f t="array" ref="A466">_xlfn.XLOOKUP($C466,_xlfn.ANCHORARRAY('Health Concerns'!$B$2),'Health Concerns'!$A$2:$A$15,"Not Found")</f>
        <v>CRH009</v>
      </c>
      <c r="B466" s="48" t="s">
        <v>807</v>
      </c>
      <c r="C466" s="48" t="s">
        <v>2872</v>
      </c>
    </row>
    <row r="467" spans="1:3">
      <c r="A467" s="50" t="str" cm="1">
        <f t="array" ref="A467">_xlfn.XLOOKUP($C467,_xlfn.ANCHORARRAY('Health Concerns'!$B$2),'Health Concerns'!$A$2:$A$15,"Not Found")</f>
        <v>CRH008</v>
      </c>
      <c r="B467" s="32" t="s">
        <v>808</v>
      </c>
      <c r="C467" s="32" t="s">
        <v>2853</v>
      </c>
    </row>
    <row r="468" spans="1:3">
      <c r="A468" s="52" t="str" cm="1">
        <f t="array" ref="A468">_xlfn.XLOOKUP($C468,_xlfn.ANCHORARRAY('Health Concerns'!$B$2),'Health Concerns'!$A$2:$A$15,"Not Found")</f>
        <v>CRH008</v>
      </c>
      <c r="B468" s="48" t="s">
        <v>809</v>
      </c>
      <c r="C468" s="48" t="s">
        <v>2853</v>
      </c>
    </row>
    <row r="469" spans="1:3">
      <c r="A469" s="50" t="str" cm="1">
        <f t="array" ref="A469">_xlfn.XLOOKUP($C469,_xlfn.ANCHORARRAY('Health Concerns'!$B$2),'Health Concerns'!$A$2:$A$15,"Not Found")</f>
        <v>CRH008</v>
      </c>
      <c r="B469" s="32" t="s">
        <v>810</v>
      </c>
      <c r="C469" s="32" t="s">
        <v>2853</v>
      </c>
    </row>
    <row r="470" spans="1:3">
      <c r="A470" s="52" t="str" cm="1">
        <f t="array" ref="A470">_xlfn.XLOOKUP($C470,_xlfn.ANCHORARRAY('Health Concerns'!$B$2),'Health Concerns'!$A$2:$A$15,"Not Found")</f>
        <v>CRH008</v>
      </c>
      <c r="B470" s="48" t="s">
        <v>811</v>
      </c>
      <c r="C470" s="48" t="s">
        <v>2853</v>
      </c>
    </row>
    <row r="471" spans="1:3">
      <c r="A471" s="50" t="str" cm="1">
        <f t="array" ref="A471">_xlfn.XLOOKUP($C471,_xlfn.ANCHORARRAY('Health Concerns'!$B$2),'Health Concerns'!$A$2:$A$15,"Not Found")</f>
        <v>CRH001</v>
      </c>
      <c r="B471" s="32" t="s">
        <v>812</v>
      </c>
      <c r="C471" s="32" t="s">
        <v>2874</v>
      </c>
    </row>
    <row r="472" spans="1:3">
      <c r="A472" s="52" t="str" cm="1">
        <f t="array" ref="A472">_xlfn.XLOOKUP($C472,_xlfn.ANCHORARRAY('Health Concerns'!$B$2),'Health Concerns'!$A$2:$A$15,"Not Found")</f>
        <v>CRH002</v>
      </c>
      <c r="B472" s="48" t="s">
        <v>812</v>
      </c>
      <c r="C472" s="48" t="s">
        <v>2855</v>
      </c>
    </row>
    <row r="473" spans="1:3">
      <c r="A473" s="50" t="str" cm="1">
        <f t="array" ref="A473">_xlfn.XLOOKUP($C473,_xlfn.ANCHORARRAY('Health Concerns'!$B$2),'Health Concerns'!$A$2:$A$15,"Not Found")</f>
        <v>CRH008</v>
      </c>
      <c r="B473" s="32" t="s">
        <v>813</v>
      </c>
      <c r="C473" s="32" t="s">
        <v>2853</v>
      </c>
    </row>
    <row r="474" spans="1:3">
      <c r="A474" s="52" t="str" cm="1">
        <f t="array" ref="A474">_xlfn.XLOOKUP($C474,_xlfn.ANCHORARRAY('Health Concerns'!$B$2),'Health Concerns'!$A$2:$A$15,"Not Found")</f>
        <v>CRH008</v>
      </c>
      <c r="B474" s="48" t="s">
        <v>814</v>
      </c>
      <c r="C474" s="48" t="s">
        <v>2853</v>
      </c>
    </row>
    <row r="475" spans="1:3">
      <c r="A475" s="50" t="str" cm="1">
        <f t="array" ref="A475">_xlfn.XLOOKUP($C475,_xlfn.ANCHORARRAY('Health Concerns'!$B$2),'Health Concerns'!$A$2:$A$15,"Not Found")</f>
        <v>CRH008</v>
      </c>
      <c r="B475" s="32" t="s">
        <v>815</v>
      </c>
      <c r="C475" s="32" t="s">
        <v>2853</v>
      </c>
    </row>
    <row r="476" spans="1:3">
      <c r="A476" s="52" t="str" cm="1">
        <f t="array" ref="A476">_xlfn.XLOOKUP($C476,_xlfn.ANCHORARRAY('Health Concerns'!$B$2),'Health Concerns'!$A$2:$A$15,"Not Found")</f>
        <v>CRH008</v>
      </c>
      <c r="B476" s="48" t="s">
        <v>816</v>
      </c>
      <c r="C476" s="48" t="s">
        <v>2853</v>
      </c>
    </row>
    <row r="477" spans="1:3">
      <c r="A477" s="50" t="str" cm="1">
        <f t="array" ref="A477">_xlfn.XLOOKUP($C477,_xlfn.ANCHORARRAY('Health Concerns'!$B$2),'Health Concerns'!$A$2:$A$15,"Not Found")</f>
        <v>CRH008</v>
      </c>
      <c r="B477" s="32" t="s">
        <v>817</v>
      </c>
      <c r="C477" s="32" t="s">
        <v>2853</v>
      </c>
    </row>
    <row r="478" spans="1:3">
      <c r="A478" s="52" t="str" cm="1">
        <f t="array" ref="A478">_xlfn.XLOOKUP($C478,_xlfn.ANCHORARRAY('Health Concerns'!$B$2),'Health Concerns'!$A$2:$A$15,"Not Found")</f>
        <v>CRH011</v>
      </c>
      <c r="B478" s="48" t="s">
        <v>818</v>
      </c>
      <c r="C478" s="48" t="s">
        <v>2879</v>
      </c>
    </row>
    <row r="479" spans="1:3">
      <c r="A479" s="50" t="str" cm="1">
        <f t="array" ref="A479">_xlfn.XLOOKUP($C479,_xlfn.ANCHORARRAY('Health Concerns'!$B$2),'Health Concerns'!$A$2:$A$15,"Not Found")</f>
        <v>CRH008</v>
      </c>
      <c r="B479" s="32" t="s">
        <v>819</v>
      </c>
      <c r="C479" s="32" t="s">
        <v>2853</v>
      </c>
    </row>
    <row r="480" spans="1:3">
      <c r="A480" s="52" t="str" cm="1">
        <f t="array" ref="A480">_xlfn.XLOOKUP($C480,_xlfn.ANCHORARRAY('Health Concerns'!$B$2),'Health Concerns'!$A$2:$A$15,"Not Found")</f>
        <v>CRH013</v>
      </c>
      <c r="B480" s="48" t="s">
        <v>820</v>
      </c>
      <c r="C480" s="48" t="s">
        <v>2856</v>
      </c>
    </row>
    <row r="481" spans="1:3">
      <c r="A481" s="50" t="str" cm="1">
        <f t="array" ref="A481">_xlfn.XLOOKUP($C481,_xlfn.ANCHORARRAY('Health Concerns'!$B$2),'Health Concerns'!$A$2:$A$15,"Not Found")</f>
        <v>CRH008</v>
      </c>
      <c r="B481" s="32" t="s">
        <v>821</v>
      </c>
      <c r="C481" s="32" t="s">
        <v>2853</v>
      </c>
    </row>
    <row r="482" spans="1:3">
      <c r="A482" s="52" t="str" cm="1">
        <f t="array" ref="A482">_xlfn.XLOOKUP($C482,_xlfn.ANCHORARRAY('Health Concerns'!$B$2),'Health Concerns'!$A$2:$A$15,"Not Found")</f>
        <v>CRH008</v>
      </c>
      <c r="B482" s="48" t="s">
        <v>822</v>
      </c>
      <c r="C482" s="48" t="s">
        <v>2853</v>
      </c>
    </row>
    <row r="483" spans="1:3">
      <c r="A483" s="50" t="str" cm="1">
        <f t="array" ref="A483">_xlfn.XLOOKUP($C483,_xlfn.ANCHORARRAY('Health Concerns'!$B$2),'Health Concerns'!$A$2:$A$15,"Not Found")</f>
        <v>CRH008</v>
      </c>
      <c r="B483" s="32" t="s">
        <v>823</v>
      </c>
      <c r="C483" s="32" t="s">
        <v>2853</v>
      </c>
    </row>
    <row r="484" spans="1:3">
      <c r="A484" s="52" t="str" cm="1">
        <f t="array" ref="A484">_xlfn.XLOOKUP($C484,_xlfn.ANCHORARRAY('Health Concerns'!$B$2),'Health Concerns'!$A$2:$A$15,"Not Found")</f>
        <v>CRH008</v>
      </c>
      <c r="B484" s="48" t="s">
        <v>824</v>
      </c>
      <c r="C484" s="48" t="s">
        <v>2853</v>
      </c>
    </row>
    <row r="485" spans="1:3">
      <c r="A485" s="50" t="str" cm="1">
        <f t="array" ref="A485">_xlfn.XLOOKUP($C485,_xlfn.ANCHORARRAY('Health Concerns'!$B$2),'Health Concerns'!$A$2:$A$15,"Not Found")</f>
        <v>CRH008</v>
      </c>
      <c r="B485" s="32" t="s">
        <v>825</v>
      </c>
      <c r="C485" s="32" t="s">
        <v>2853</v>
      </c>
    </row>
    <row r="486" spans="1:3">
      <c r="A486" s="52" t="str" cm="1">
        <f t="array" ref="A486">_xlfn.XLOOKUP($C486,_xlfn.ANCHORARRAY('Health Concerns'!$B$2),'Health Concerns'!$A$2:$A$15,"Not Found")</f>
        <v>CRH008</v>
      </c>
      <c r="B486" s="48" t="s">
        <v>826</v>
      </c>
      <c r="C486" s="48" t="s">
        <v>2853</v>
      </c>
    </row>
    <row r="487" spans="1:3">
      <c r="A487" s="50" t="str" cm="1">
        <f t="array" ref="A487">_xlfn.XLOOKUP($C487,_xlfn.ANCHORARRAY('Health Concerns'!$B$2),'Health Concerns'!$A$2:$A$15,"Not Found")</f>
        <v>CRH014</v>
      </c>
      <c r="B487" s="32" t="s">
        <v>827</v>
      </c>
      <c r="C487" s="32" t="s">
        <v>2877</v>
      </c>
    </row>
    <row r="488" spans="1:3">
      <c r="A488" s="52" t="str" cm="1">
        <f t="array" ref="A488">_xlfn.XLOOKUP($C488,_xlfn.ANCHORARRAY('Health Concerns'!$B$2),'Health Concerns'!$A$2:$A$15,"Not Found")</f>
        <v>CRH001</v>
      </c>
      <c r="B488" s="48" t="s">
        <v>828</v>
      </c>
      <c r="C488" s="48" t="s">
        <v>2874</v>
      </c>
    </row>
    <row r="489" spans="1:3">
      <c r="A489" s="50" t="str" cm="1">
        <f t="array" ref="A489">_xlfn.XLOOKUP($C489,_xlfn.ANCHORARRAY('Health Concerns'!$B$2),'Health Concerns'!$A$2:$A$15,"Not Found")</f>
        <v>CRH006</v>
      </c>
      <c r="B489" s="32" t="s">
        <v>828</v>
      </c>
      <c r="C489" s="32" t="s">
        <v>2875</v>
      </c>
    </row>
    <row r="490" spans="1:3">
      <c r="A490" s="52" t="str" cm="1">
        <f t="array" ref="A490">_xlfn.XLOOKUP($C490,_xlfn.ANCHORARRAY('Health Concerns'!$B$2),'Health Concerns'!$A$2:$A$15,"Not Found")</f>
        <v>CRH009</v>
      </c>
      <c r="B490" s="48" t="s">
        <v>828</v>
      </c>
      <c r="C490" s="48" t="s">
        <v>2872</v>
      </c>
    </row>
    <row r="491" spans="1:3">
      <c r="A491" s="50" t="str" cm="1">
        <f t="array" ref="A491">_xlfn.XLOOKUP($C491,_xlfn.ANCHORARRAY('Health Concerns'!$B$2),'Health Concerns'!$A$2:$A$15,"Not Found")</f>
        <v>CRH002</v>
      </c>
      <c r="B491" s="32" t="s">
        <v>829</v>
      </c>
      <c r="C491" s="32" t="s">
        <v>2855</v>
      </c>
    </row>
    <row r="492" spans="1:3">
      <c r="A492" s="52" t="str" cm="1">
        <f t="array" ref="A492">_xlfn.XLOOKUP($C492,_xlfn.ANCHORARRAY('Health Concerns'!$B$2),'Health Concerns'!$A$2:$A$15,"Not Found")</f>
        <v>CRH004</v>
      </c>
      <c r="B492" s="48" t="s">
        <v>829</v>
      </c>
      <c r="C492" s="48" t="s">
        <v>2871</v>
      </c>
    </row>
    <row r="493" spans="1:3">
      <c r="A493" s="50" t="str" cm="1">
        <f t="array" ref="A493">_xlfn.XLOOKUP($C493,_xlfn.ANCHORARRAY('Health Concerns'!$B$2),'Health Concerns'!$A$2:$A$15,"Not Found")</f>
        <v>CRH008</v>
      </c>
      <c r="B493" s="32" t="s">
        <v>830</v>
      </c>
      <c r="C493" s="32" t="s">
        <v>2853</v>
      </c>
    </row>
    <row r="494" spans="1:3">
      <c r="A494" s="52" t="str" cm="1">
        <f t="array" ref="A494">_xlfn.XLOOKUP($C494,_xlfn.ANCHORARRAY('Health Concerns'!$B$2),'Health Concerns'!$A$2:$A$15,"Not Found")</f>
        <v>CRH001</v>
      </c>
      <c r="B494" s="48" t="s">
        <v>831</v>
      </c>
      <c r="C494" s="48" t="s">
        <v>2874</v>
      </c>
    </row>
    <row r="495" spans="1:3">
      <c r="A495" s="50" t="str" cm="1">
        <f t="array" ref="A495">_xlfn.XLOOKUP($C495,_xlfn.ANCHORARRAY('Health Concerns'!$B$2),'Health Concerns'!$A$2:$A$15,"Not Found")</f>
        <v>CRH006</v>
      </c>
      <c r="B495" s="32" t="s">
        <v>831</v>
      </c>
      <c r="C495" s="32" t="s">
        <v>2875</v>
      </c>
    </row>
    <row r="496" spans="1:3">
      <c r="A496" s="52" t="str" cm="1">
        <f t="array" ref="A496">_xlfn.XLOOKUP($C496,_xlfn.ANCHORARRAY('Health Concerns'!$B$2),'Health Concerns'!$A$2:$A$15,"Not Found")</f>
        <v>CRH009</v>
      </c>
      <c r="B496" s="48" t="s">
        <v>831</v>
      </c>
      <c r="C496" s="48" t="s">
        <v>2872</v>
      </c>
    </row>
    <row r="497" spans="1:3">
      <c r="A497" s="50" t="str" cm="1">
        <f t="array" ref="A497">_xlfn.XLOOKUP($C497,_xlfn.ANCHORARRAY('Health Concerns'!$B$2),'Health Concerns'!$A$2:$A$15,"Not Found")</f>
        <v>CRH008</v>
      </c>
      <c r="B497" s="32" t="s">
        <v>832</v>
      </c>
      <c r="C497" s="32" t="s">
        <v>2853</v>
      </c>
    </row>
    <row r="498" spans="1:3">
      <c r="A498" s="52" t="str" cm="1">
        <f t="array" ref="A498">_xlfn.XLOOKUP($C498,_xlfn.ANCHORARRAY('Health Concerns'!$B$2),'Health Concerns'!$A$2:$A$15,"Not Found")</f>
        <v>CRH008</v>
      </c>
      <c r="B498" s="48" t="s">
        <v>833</v>
      </c>
      <c r="C498" s="48" t="s">
        <v>2853</v>
      </c>
    </row>
    <row r="499" spans="1:3">
      <c r="A499" s="50" t="str" cm="1">
        <f t="array" ref="A499">_xlfn.XLOOKUP($C499,_xlfn.ANCHORARRAY('Health Concerns'!$B$2),'Health Concerns'!$A$2:$A$15,"Not Found")</f>
        <v>CRH008</v>
      </c>
      <c r="B499" s="32" t="s">
        <v>834</v>
      </c>
      <c r="C499" s="32" t="s">
        <v>2853</v>
      </c>
    </row>
    <row r="500" spans="1:3">
      <c r="A500" s="52" t="str" cm="1">
        <f t="array" ref="A500">_xlfn.XLOOKUP($C500,_xlfn.ANCHORARRAY('Health Concerns'!$B$2),'Health Concerns'!$A$2:$A$15,"Not Found")</f>
        <v>CRH008</v>
      </c>
      <c r="B500" s="48" t="s">
        <v>835</v>
      </c>
      <c r="C500" s="48" t="s">
        <v>2853</v>
      </c>
    </row>
    <row r="501" spans="1:3">
      <c r="A501" s="50" t="str" cm="1">
        <f t="array" ref="A501">_xlfn.XLOOKUP($C501,_xlfn.ANCHORARRAY('Health Concerns'!$B$2),'Health Concerns'!$A$2:$A$15,"Not Found")</f>
        <v>CRH001</v>
      </c>
      <c r="B501" s="32" t="s">
        <v>836</v>
      </c>
      <c r="C501" s="32" t="s">
        <v>2874</v>
      </c>
    </row>
    <row r="502" spans="1:3">
      <c r="A502" s="52" t="str" cm="1">
        <f t="array" ref="A502">_xlfn.XLOOKUP($C502,_xlfn.ANCHORARRAY('Health Concerns'!$B$2),'Health Concerns'!$A$2:$A$15,"Not Found")</f>
        <v>CRH002</v>
      </c>
      <c r="B502" s="48" t="s">
        <v>836</v>
      </c>
      <c r="C502" s="48" t="s">
        <v>2855</v>
      </c>
    </row>
    <row r="503" spans="1:3">
      <c r="A503" s="50" t="str" cm="1">
        <f t="array" ref="A503">_xlfn.XLOOKUP($C503,_xlfn.ANCHORARRAY('Health Concerns'!$B$2),'Health Concerns'!$A$2:$A$15,"Not Found")</f>
        <v>CRH008</v>
      </c>
      <c r="B503" s="32" t="s">
        <v>837</v>
      </c>
      <c r="C503" s="32" t="s">
        <v>2853</v>
      </c>
    </row>
    <row r="504" spans="1:3">
      <c r="A504" s="52" t="str" cm="1">
        <f t="array" ref="A504">_xlfn.XLOOKUP($C504,_xlfn.ANCHORARRAY('Health Concerns'!$B$2),'Health Concerns'!$A$2:$A$15,"Not Found")</f>
        <v>CRH008</v>
      </c>
      <c r="B504" s="48" t="s">
        <v>838</v>
      </c>
      <c r="C504" s="48" t="s">
        <v>2853</v>
      </c>
    </row>
    <row r="505" spans="1:3">
      <c r="A505" s="50" t="str" cm="1">
        <f t="array" ref="A505">_xlfn.XLOOKUP($C505,_xlfn.ANCHORARRAY('Health Concerns'!$B$2),'Health Concerns'!$A$2:$A$15,"Not Found")</f>
        <v>CRH008</v>
      </c>
      <c r="B505" s="32" t="s">
        <v>839</v>
      </c>
      <c r="C505" s="32" t="s">
        <v>2853</v>
      </c>
    </row>
    <row r="506" spans="1:3">
      <c r="A506" s="52" t="str" cm="1">
        <f t="array" ref="A506">_xlfn.XLOOKUP($C506,_xlfn.ANCHORARRAY('Health Concerns'!$B$2),'Health Concerns'!$A$2:$A$15,"Not Found")</f>
        <v>CRH008</v>
      </c>
      <c r="B506" s="48" t="s">
        <v>840</v>
      </c>
      <c r="C506" s="48" t="s">
        <v>2853</v>
      </c>
    </row>
    <row r="507" spans="1:3">
      <c r="A507" s="50" t="str" cm="1">
        <f t="array" ref="A507">_xlfn.XLOOKUP($C507,_xlfn.ANCHORARRAY('Health Concerns'!$B$2),'Health Concerns'!$A$2:$A$15,"Not Found")</f>
        <v>CRH008</v>
      </c>
      <c r="B507" s="32" t="s">
        <v>841</v>
      </c>
      <c r="C507" s="32" t="s">
        <v>2853</v>
      </c>
    </row>
    <row r="508" spans="1:3">
      <c r="A508" s="52" t="str" cm="1">
        <f t="array" ref="A508">_xlfn.XLOOKUP($C508,_xlfn.ANCHORARRAY('Health Concerns'!$B$2),'Health Concerns'!$A$2:$A$15,"Not Found")</f>
        <v>CRH011</v>
      </c>
      <c r="B508" s="48" t="s">
        <v>842</v>
      </c>
      <c r="C508" s="48" t="s">
        <v>2879</v>
      </c>
    </row>
    <row r="509" spans="1:3">
      <c r="A509" s="50" t="str" cm="1">
        <f t="array" ref="A509">_xlfn.XLOOKUP($C509,_xlfn.ANCHORARRAY('Health Concerns'!$B$2),'Health Concerns'!$A$2:$A$15,"Not Found")</f>
        <v>CRH008</v>
      </c>
      <c r="B509" s="32" t="s">
        <v>843</v>
      </c>
      <c r="C509" s="32" t="s">
        <v>2853</v>
      </c>
    </row>
    <row r="510" spans="1:3">
      <c r="A510" s="52" t="str" cm="1">
        <f t="array" ref="A510">_xlfn.XLOOKUP($C510,_xlfn.ANCHORARRAY('Health Concerns'!$B$2),'Health Concerns'!$A$2:$A$15,"Not Found")</f>
        <v>CRH013</v>
      </c>
      <c r="B510" s="48" t="s">
        <v>844</v>
      </c>
      <c r="C510" s="48" t="s">
        <v>2856</v>
      </c>
    </row>
    <row r="511" spans="1:3">
      <c r="A511" s="50" t="str" cm="1">
        <f t="array" ref="A511">_xlfn.XLOOKUP($C511,_xlfn.ANCHORARRAY('Health Concerns'!$B$2),'Health Concerns'!$A$2:$A$15,"Not Found")</f>
        <v>CRH008</v>
      </c>
      <c r="B511" s="32" t="s">
        <v>845</v>
      </c>
      <c r="C511" s="32" t="s">
        <v>2853</v>
      </c>
    </row>
    <row r="512" spans="1:3">
      <c r="A512" s="52" t="str" cm="1">
        <f t="array" ref="A512">_xlfn.XLOOKUP($C512,_xlfn.ANCHORARRAY('Health Concerns'!$B$2),'Health Concerns'!$A$2:$A$15,"Not Found")</f>
        <v>CRH008</v>
      </c>
      <c r="B512" s="48" t="s">
        <v>846</v>
      </c>
      <c r="C512" s="48" t="s">
        <v>2853</v>
      </c>
    </row>
    <row r="513" spans="1:3">
      <c r="A513" s="50" t="str" cm="1">
        <f t="array" ref="A513">_xlfn.XLOOKUP($C513,_xlfn.ANCHORARRAY('Health Concerns'!$B$2),'Health Concerns'!$A$2:$A$15,"Not Found")</f>
        <v>CRH008</v>
      </c>
      <c r="B513" s="32" t="s">
        <v>847</v>
      </c>
      <c r="C513" s="32" t="s">
        <v>2853</v>
      </c>
    </row>
    <row r="514" spans="1:3">
      <c r="A514" s="52" t="str" cm="1">
        <f t="array" ref="A514">_xlfn.XLOOKUP($C514,_xlfn.ANCHORARRAY('Health Concerns'!$B$2),'Health Concerns'!$A$2:$A$15,"Not Found")</f>
        <v>CRH008</v>
      </c>
      <c r="B514" s="48" t="s">
        <v>848</v>
      </c>
      <c r="C514" s="48" t="s">
        <v>2853</v>
      </c>
    </row>
    <row r="515" spans="1:3">
      <c r="A515" s="50" t="str" cm="1">
        <f t="array" ref="A515">_xlfn.XLOOKUP($C515,_xlfn.ANCHORARRAY('Health Concerns'!$B$2),'Health Concerns'!$A$2:$A$15,"Not Found")</f>
        <v>CRH008</v>
      </c>
      <c r="B515" s="32" t="s">
        <v>849</v>
      </c>
      <c r="C515" s="32" t="s">
        <v>2853</v>
      </c>
    </row>
    <row r="516" spans="1:3">
      <c r="A516" s="52" t="str" cm="1">
        <f t="array" ref="A516">_xlfn.XLOOKUP($C516,_xlfn.ANCHORARRAY('Health Concerns'!$B$2),'Health Concerns'!$A$2:$A$15,"Not Found")</f>
        <v>CRH008</v>
      </c>
      <c r="B516" s="48" t="s">
        <v>850</v>
      </c>
      <c r="C516" s="48" t="s">
        <v>2853</v>
      </c>
    </row>
    <row r="517" spans="1:3">
      <c r="A517" s="50" t="str" cm="1">
        <f t="array" ref="A517">_xlfn.XLOOKUP($C517,_xlfn.ANCHORARRAY('Health Concerns'!$B$2),'Health Concerns'!$A$2:$A$15,"Not Found")</f>
        <v>CRH014</v>
      </c>
      <c r="B517" s="32" t="s">
        <v>851</v>
      </c>
      <c r="C517" s="32" t="s">
        <v>2877</v>
      </c>
    </row>
    <row r="518" spans="1:3">
      <c r="A518" s="52" t="str" cm="1">
        <f t="array" ref="A518">_xlfn.XLOOKUP($C518,_xlfn.ANCHORARRAY('Health Concerns'!$B$2),'Health Concerns'!$A$2:$A$15,"Not Found")</f>
        <v>CRH001</v>
      </c>
      <c r="B518" s="48" t="s">
        <v>852</v>
      </c>
      <c r="C518" s="48" t="s">
        <v>2874</v>
      </c>
    </row>
    <row r="519" spans="1:3">
      <c r="A519" s="50" t="str" cm="1">
        <f t="array" ref="A519">_xlfn.XLOOKUP($C519,_xlfn.ANCHORARRAY('Health Concerns'!$B$2),'Health Concerns'!$A$2:$A$15,"Not Found")</f>
        <v>CRH006</v>
      </c>
      <c r="B519" s="32" t="s">
        <v>852</v>
      </c>
      <c r="C519" s="32" t="s">
        <v>2875</v>
      </c>
    </row>
    <row r="520" spans="1:3">
      <c r="A520" s="52" t="str" cm="1">
        <f t="array" ref="A520">_xlfn.XLOOKUP($C520,_xlfn.ANCHORARRAY('Health Concerns'!$B$2),'Health Concerns'!$A$2:$A$15,"Not Found")</f>
        <v>CRH009</v>
      </c>
      <c r="B520" s="48" t="s">
        <v>852</v>
      </c>
      <c r="C520" s="48" t="s">
        <v>2872</v>
      </c>
    </row>
    <row r="521" spans="1:3">
      <c r="A521" s="50" t="str" cm="1">
        <f t="array" ref="A521">_xlfn.XLOOKUP($C521,_xlfn.ANCHORARRAY('Health Concerns'!$B$2),'Health Concerns'!$A$2:$A$15,"Not Found")</f>
        <v>CRH002</v>
      </c>
      <c r="B521" s="32" t="s">
        <v>853</v>
      </c>
      <c r="C521" s="32" t="s">
        <v>2855</v>
      </c>
    </row>
    <row r="522" spans="1:3">
      <c r="A522" s="52" t="str" cm="1">
        <f t="array" ref="A522">_xlfn.XLOOKUP($C522,_xlfn.ANCHORARRAY('Health Concerns'!$B$2),'Health Concerns'!$A$2:$A$15,"Not Found")</f>
        <v>CRH004</v>
      </c>
      <c r="B522" s="48" t="s">
        <v>853</v>
      </c>
      <c r="C522" s="48" t="s">
        <v>2871</v>
      </c>
    </row>
    <row r="523" spans="1:3">
      <c r="A523" s="50" t="str" cm="1">
        <f t="array" ref="A523">_xlfn.XLOOKUP($C523,_xlfn.ANCHORARRAY('Health Concerns'!$B$2),'Health Concerns'!$A$2:$A$15,"Not Found")</f>
        <v>CRH008</v>
      </c>
      <c r="B523" s="32" t="s">
        <v>854</v>
      </c>
      <c r="C523" s="32" t="s">
        <v>2853</v>
      </c>
    </row>
    <row r="524" spans="1:3">
      <c r="A524" s="52" t="str" cm="1">
        <f t="array" ref="A524">_xlfn.XLOOKUP($C524,_xlfn.ANCHORARRAY('Health Concerns'!$B$2),'Health Concerns'!$A$2:$A$15,"Not Found")</f>
        <v>CRH001</v>
      </c>
      <c r="B524" s="48" t="s">
        <v>855</v>
      </c>
      <c r="C524" s="48" t="s">
        <v>2874</v>
      </c>
    </row>
    <row r="525" spans="1:3">
      <c r="A525" s="50" t="str" cm="1">
        <f t="array" ref="A525">_xlfn.XLOOKUP($C525,_xlfn.ANCHORARRAY('Health Concerns'!$B$2),'Health Concerns'!$A$2:$A$15,"Not Found")</f>
        <v>CRH006</v>
      </c>
      <c r="B525" s="32" t="s">
        <v>855</v>
      </c>
      <c r="C525" s="32" t="s">
        <v>2875</v>
      </c>
    </row>
    <row r="526" spans="1:3">
      <c r="A526" s="52" t="str" cm="1">
        <f t="array" ref="A526">_xlfn.XLOOKUP($C526,_xlfn.ANCHORARRAY('Health Concerns'!$B$2),'Health Concerns'!$A$2:$A$15,"Not Found")</f>
        <v>CRH009</v>
      </c>
      <c r="B526" s="48" t="s">
        <v>855</v>
      </c>
      <c r="C526" s="48" t="s">
        <v>2872</v>
      </c>
    </row>
    <row r="527" spans="1:3">
      <c r="A527" s="50" t="str" cm="1">
        <f t="array" ref="A527">_xlfn.XLOOKUP($C527,_xlfn.ANCHORARRAY('Health Concerns'!$B$2),'Health Concerns'!$A$2:$A$15,"Not Found")</f>
        <v>CRH008</v>
      </c>
      <c r="B527" s="32" t="s">
        <v>856</v>
      </c>
      <c r="C527" s="32" t="s">
        <v>2853</v>
      </c>
    </row>
    <row r="528" spans="1:3">
      <c r="A528" s="52" t="str" cm="1">
        <f t="array" ref="A528">_xlfn.XLOOKUP($C528,_xlfn.ANCHORARRAY('Health Concerns'!$B$2),'Health Concerns'!$A$2:$A$15,"Not Found")</f>
        <v>CRH008</v>
      </c>
      <c r="B528" s="48" t="s">
        <v>857</v>
      </c>
      <c r="C528" s="48" t="s">
        <v>2853</v>
      </c>
    </row>
    <row r="529" spans="1:3">
      <c r="A529" s="50" t="str" cm="1">
        <f t="array" ref="A529">_xlfn.XLOOKUP($C529,_xlfn.ANCHORARRAY('Health Concerns'!$B$2),'Health Concerns'!$A$2:$A$15,"Not Found")</f>
        <v>CRH008</v>
      </c>
      <c r="B529" s="32" t="s">
        <v>858</v>
      </c>
      <c r="C529" s="32" t="s">
        <v>2853</v>
      </c>
    </row>
    <row r="530" spans="1:3">
      <c r="A530" s="52" t="str" cm="1">
        <f t="array" ref="A530">_xlfn.XLOOKUP($C530,_xlfn.ANCHORARRAY('Health Concerns'!$B$2),'Health Concerns'!$A$2:$A$15,"Not Found")</f>
        <v>CRH008</v>
      </c>
      <c r="B530" s="48" t="s">
        <v>859</v>
      </c>
      <c r="C530" s="48" t="s">
        <v>2853</v>
      </c>
    </row>
    <row r="531" spans="1:3">
      <c r="A531" s="50" t="str" cm="1">
        <f t="array" ref="A531">_xlfn.XLOOKUP($C531,_xlfn.ANCHORARRAY('Health Concerns'!$B$2),'Health Concerns'!$A$2:$A$15,"Not Found")</f>
        <v>CRH001</v>
      </c>
      <c r="B531" s="32" t="s">
        <v>860</v>
      </c>
      <c r="C531" s="32" t="s">
        <v>2874</v>
      </c>
    </row>
    <row r="532" spans="1:3">
      <c r="A532" s="52" t="str" cm="1">
        <f t="array" ref="A532">_xlfn.XLOOKUP($C532,_xlfn.ANCHORARRAY('Health Concerns'!$B$2),'Health Concerns'!$A$2:$A$15,"Not Found")</f>
        <v>CRH002</v>
      </c>
      <c r="B532" s="48" t="s">
        <v>860</v>
      </c>
      <c r="C532" s="48" t="s">
        <v>2855</v>
      </c>
    </row>
    <row r="533" spans="1:3">
      <c r="A533" s="50" t="str" cm="1">
        <f t="array" ref="A533">_xlfn.XLOOKUP($C533,_xlfn.ANCHORARRAY('Health Concerns'!$B$2),'Health Concerns'!$A$2:$A$15,"Not Found")</f>
        <v>CRH008</v>
      </c>
      <c r="B533" s="32" t="s">
        <v>861</v>
      </c>
      <c r="C533" s="32" t="s">
        <v>2853</v>
      </c>
    </row>
    <row r="534" spans="1:3">
      <c r="A534" s="52" t="str" cm="1">
        <f t="array" ref="A534">_xlfn.XLOOKUP($C534,_xlfn.ANCHORARRAY('Health Concerns'!$B$2),'Health Concerns'!$A$2:$A$15,"Not Found")</f>
        <v>CRH008</v>
      </c>
      <c r="B534" s="48" t="s">
        <v>862</v>
      </c>
      <c r="C534" s="48" t="s">
        <v>2853</v>
      </c>
    </row>
    <row r="535" spans="1:3">
      <c r="A535" s="50" t="str" cm="1">
        <f t="array" ref="A535">_xlfn.XLOOKUP($C535,_xlfn.ANCHORARRAY('Health Concerns'!$B$2),'Health Concerns'!$A$2:$A$15,"Not Found")</f>
        <v>CRH008</v>
      </c>
      <c r="B535" s="32" t="s">
        <v>863</v>
      </c>
      <c r="C535" s="32" t="s">
        <v>2853</v>
      </c>
    </row>
    <row r="536" spans="1:3">
      <c r="A536" s="52" t="str" cm="1">
        <f t="array" ref="A536">_xlfn.XLOOKUP($C536,_xlfn.ANCHORARRAY('Health Concerns'!$B$2),'Health Concerns'!$A$2:$A$15,"Not Found")</f>
        <v>CRH008</v>
      </c>
      <c r="B536" s="48" t="s">
        <v>864</v>
      </c>
      <c r="C536" s="48" t="s">
        <v>2853</v>
      </c>
    </row>
    <row r="537" spans="1:3">
      <c r="A537" s="50" t="str" cm="1">
        <f t="array" ref="A537">_xlfn.XLOOKUP($C537,_xlfn.ANCHORARRAY('Health Concerns'!$B$2),'Health Concerns'!$A$2:$A$15,"Not Found")</f>
        <v>CRH008</v>
      </c>
      <c r="B537" s="32" t="s">
        <v>865</v>
      </c>
      <c r="C537" s="32" t="s">
        <v>2853</v>
      </c>
    </row>
    <row r="538" spans="1:3">
      <c r="A538" s="52" t="str" cm="1">
        <f t="array" ref="A538">_xlfn.XLOOKUP($C538,_xlfn.ANCHORARRAY('Health Concerns'!$B$2),'Health Concerns'!$A$2:$A$15,"Not Found")</f>
        <v>CRH011</v>
      </c>
      <c r="B538" s="48" t="s">
        <v>866</v>
      </c>
      <c r="C538" s="48" t="s">
        <v>2879</v>
      </c>
    </row>
    <row r="539" spans="1:3">
      <c r="A539" s="50" t="str" cm="1">
        <f t="array" ref="A539">_xlfn.XLOOKUP($C539,_xlfn.ANCHORARRAY('Health Concerns'!$B$2),'Health Concerns'!$A$2:$A$15,"Not Found")</f>
        <v>CRH008</v>
      </c>
      <c r="B539" s="32" t="s">
        <v>867</v>
      </c>
      <c r="C539" s="32" t="s">
        <v>2853</v>
      </c>
    </row>
    <row r="540" spans="1:3">
      <c r="A540" s="52" t="str" cm="1">
        <f t="array" ref="A540">_xlfn.XLOOKUP($C540,_xlfn.ANCHORARRAY('Health Concerns'!$B$2),'Health Concerns'!$A$2:$A$15,"Not Found")</f>
        <v>CRH013</v>
      </c>
      <c r="B540" s="48" t="s">
        <v>868</v>
      </c>
      <c r="C540" s="48" t="s">
        <v>2856</v>
      </c>
    </row>
    <row r="541" spans="1:3">
      <c r="A541" s="50" t="str" cm="1">
        <f t="array" ref="A541">_xlfn.XLOOKUP($C541,_xlfn.ANCHORARRAY('Health Concerns'!$B$2),'Health Concerns'!$A$2:$A$15,"Not Found")</f>
        <v>CRH008</v>
      </c>
      <c r="B541" s="32" t="s">
        <v>869</v>
      </c>
      <c r="C541" s="32" t="s">
        <v>2853</v>
      </c>
    </row>
    <row r="542" spans="1:3">
      <c r="A542" s="52" t="str" cm="1">
        <f t="array" ref="A542">_xlfn.XLOOKUP($C542,_xlfn.ANCHORARRAY('Health Concerns'!$B$2),'Health Concerns'!$A$2:$A$15,"Not Found")</f>
        <v>CRH008</v>
      </c>
      <c r="B542" s="48" t="s">
        <v>870</v>
      </c>
      <c r="C542" s="48" t="s">
        <v>2853</v>
      </c>
    </row>
    <row r="543" spans="1:3">
      <c r="A543" s="50" t="str" cm="1">
        <f t="array" ref="A543">_xlfn.XLOOKUP($C543,_xlfn.ANCHORARRAY('Health Concerns'!$B$2),'Health Concerns'!$A$2:$A$15,"Not Found")</f>
        <v>CRH008</v>
      </c>
      <c r="B543" s="32" t="s">
        <v>871</v>
      </c>
      <c r="C543" s="32" t="s">
        <v>2853</v>
      </c>
    </row>
    <row r="544" spans="1:3">
      <c r="A544" s="52" t="str" cm="1">
        <f t="array" ref="A544">_xlfn.XLOOKUP($C544,_xlfn.ANCHORARRAY('Health Concerns'!$B$2),'Health Concerns'!$A$2:$A$15,"Not Found")</f>
        <v>CRH008</v>
      </c>
      <c r="B544" s="48" t="s">
        <v>872</v>
      </c>
      <c r="C544" s="48" t="s">
        <v>2853</v>
      </c>
    </row>
    <row r="545" spans="1:3">
      <c r="A545" s="50" t="str" cm="1">
        <f t="array" ref="A545">_xlfn.XLOOKUP($C545,_xlfn.ANCHORARRAY('Health Concerns'!$B$2),'Health Concerns'!$A$2:$A$15,"Not Found")</f>
        <v>CRH008</v>
      </c>
      <c r="B545" s="32" t="s">
        <v>873</v>
      </c>
      <c r="C545" s="32" t="s">
        <v>2853</v>
      </c>
    </row>
    <row r="546" spans="1:3">
      <c r="A546" s="52" t="str" cm="1">
        <f t="array" ref="A546">_xlfn.XLOOKUP($C546,_xlfn.ANCHORARRAY('Health Concerns'!$B$2),'Health Concerns'!$A$2:$A$15,"Not Found")</f>
        <v>CRH008</v>
      </c>
      <c r="B546" s="48" t="s">
        <v>874</v>
      </c>
      <c r="C546" s="48" t="s">
        <v>2853</v>
      </c>
    </row>
    <row r="547" spans="1:3">
      <c r="A547" s="50" t="str" cm="1">
        <f t="array" ref="A547">_xlfn.XLOOKUP($C547,_xlfn.ANCHORARRAY('Health Concerns'!$B$2),'Health Concerns'!$A$2:$A$15,"Not Found")</f>
        <v>CRH014</v>
      </c>
      <c r="B547" s="32" t="s">
        <v>875</v>
      </c>
      <c r="C547" s="32" t="s">
        <v>2877</v>
      </c>
    </row>
    <row r="548" spans="1:3">
      <c r="A548" s="52" t="str" cm="1">
        <f t="array" ref="A548">_xlfn.XLOOKUP($C548,_xlfn.ANCHORARRAY('Health Concerns'!$B$2),'Health Concerns'!$A$2:$A$15,"Not Found")</f>
        <v>CRH001</v>
      </c>
      <c r="B548" s="48" t="s">
        <v>876</v>
      </c>
      <c r="C548" s="48" t="s">
        <v>2874</v>
      </c>
    </row>
    <row r="549" spans="1:3">
      <c r="A549" s="50" t="str" cm="1">
        <f t="array" ref="A549">_xlfn.XLOOKUP($C549,_xlfn.ANCHORARRAY('Health Concerns'!$B$2),'Health Concerns'!$A$2:$A$15,"Not Found")</f>
        <v>CRH006</v>
      </c>
      <c r="B549" s="32" t="s">
        <v>876</v>
      </c>
      <c r="C549" s="32" t="s">
        <v>2875</v>
      </c>
    </row>
    <row r="550" spans="1:3">
      <c r="A550" s="52" t="str" cm="1">
        <f t="array" ref="A550">_xlfn.XLOOKUP($C550,_xlfn.ANCHORARRAY('Health Concerns'!$B$2),'Health Concerns'!$A$2:$A$15,"Not Found")</f>
        <v>CRH009</v>
      </c>
      <c r="B550" s="48" t="s">
        <v>876</v>
      </c>
      <c r="C550" s="48" t="s">
        <v>2872</v>
      </c>
    </row>
    <row r="551" spans="1:3">
      <c r="A551" s="50" t="str" cm="1">
        <f t="array" ref="A551">_xlfn.XLOOKUP($C551,_xlfn.ANCHORARRAY('Health Concerns'!$B$2),'Health Concerns'!$A$2:$A$15,"Not Found")</f>
        <v>CRH002</v>
      </c>
      <c r="B551" s="32" t="s">
        <v>877</v>
      </c>
      <c r="C551" s="32" t="s">
        <v>2855</v>
      </c>
    </row>
    <row r="552" spans="1:3">
      <c r="A552" s="52" t="str" cm="1">
        <f t="array" ref="A552">_xlfn.XLOOKUP($C552,_xlfn.ANCHORARRAY('Health Concerns'!$B$2),'Health Concerns'!$A$2:$A$15,"Not Found")</f>
        <v>CRH004</v>
      </c>
      <c r="B552" s="48" t="s">
        <v>877</v>
      </c>
      <c r="C552" s="48" t="s">
        <v>2871</v>
      </c>
    </row>
    <row r="553" spans="1:3">
      <c r="A553" s="50" t="str" cm="1">
        <f t="array" ref="A553">_xlfn.XLOOKUP($C553,_xlfn.ANCHORARRAY('Health Concerns'!$B$2),'Health Concerns'!$A$2:$A$15,"Not Found")</f>
        <v>CRH008</v>
      </c>
      <c r="B553" s="32" t="s">
        <v>878</v>
      </c>
      <c r="C553" s="32" t="s">
        <v>2853</v>
      </c>
    </row>
    <row r="554" spans="1:3">
      <c r="A554" s="52" t="str" cm="1">
        <f t="array" ref="A554">_xlfn.XLOOKUP($C554,_xlfn.ANCHORARRAY('Health Concerns'!$B$2),'Health Concerns'!$A$2:$A$15,"Not Found")</f>
        <v>CRH001</v>
      </c>
      <c r="B554" s="48" t="s">
        <v>879</v>
      </c>
      <c r="C554" s="48" t="s">
        <v>2874</v>
      </c>
    </row>
    <row r="555" spans="1:3">
      <c r="A555" s="50" t="str" cm="1">
        <f t="array" ref="A555">_xlfn.XLOOKUP($C555,_xlfn.ANCHORARRAY('Health Concerns'!$B$2),'Health Concerns'!$A$2:$A$15,"Not Found")</f>
        <v>CRH006</v>
      </c>
      <c r="B555" s="32" t="s">
        <v>879</v>
      </c>
      <c r="C555" s="32" t="s">
        <v>2875</v>
      </c>
    </row>
    <row r="556" spans="1:3">
      <c r="A556" s="52" t="str" cm="1">
        <f t="array" ref="A556">_xlfn.XLOOKUP($C556,_xlfn.ANCHORARRAY('Health Concerns'!$B$2),'Health Concerns'!$A$2:$A$15,"Not Found")</f>
        <v>CRH009</v>
      </c>
      <c r="B556" s="48" t="s">
        <v>879</v>
      </c>
      <c r="C556" s="48" t="s">
        <v>2872</v>
      </c>
    </row>
    <row r="557" spans="1:3">
      <c r="A557" s="50" t="str" cm="1">
        <f t="array" ref="A557">_xlfn.XLOOKUP($C557,_xlfn.ANCHORARRAY('Health Concerns'!$B$2),'Health Concerns'!$A$2:$A$15,"Not Found")</f>
        <v>CRH008</v>
      </c>
      <c r="B557" s="32" t="s">
        <v>880</v>
      </c>
      <c r="C557" s="32" t="s">
        <v>2853</v>
      </c>
    </row>
    <row r="558" spans="1:3">
      <c r="A558" s="52" t="str" cm="1">
        <f t="array" ref="A558">_xlfn.XLOOKUP($C558,_xlfn.ANCHORARRAY('Health Concerns'!$B$2),'Health Concerns'!$A$2:$A$15,"Not Found")</f>
        <v>CRH008</v>
      </c>
      <c r="B558" s="48" t="s">
        <v>881</v>
      </c>
      <c r="C558" s="48" t="s">
        <v>2853</v>
      </c>
    </row>
    <row r="559" spans="1:3">
      <c r="A559" s="50" t="str" cm="1">
        <f t="array" ref="A559">_xlfn.XLOOKUP($C559,_xlfn.ANCHORARRAY('Health Concerns'!$B$2),'Health Concerns'!$A$2:$A$15,"Not Found")</f>
        <v>CRH008</v>
      </c>
      <c r="B559" s="32" t="s">
        <v>882</v>
      </c>
      <c r="C559" s="32" t="s">
        <v>2853</v>
      </c>
    </row>
    <row r="560" spans="1:3">
      <c r="A560" s="52" t="str" cm="1">
        <f t="array" ref="A560">_xlfn.XLOOKUP($C560,_xlfn.ANCHORARRAY('Health Concerns'!$B$2),'Health Concerns'!$A$2:$A$15,"Not Found")</f>
        <v>CRH008</v>
      </c>
      <c r="B560" s="48" t="s">
        <v>883</v>
      </c>
      <c r="C560" s="48" t="s">
        <v>2853</v>
      </c>
    </row>
    <row r="561" spans="1:3">
      <c r="A561" s="50" t="str" cm="1">
        <f t="array" ref="A561">_xlfn.XLOOKUP($C561,_xlfn.ANCHORARRAY('Health Concerns'!$B$2),'Health Concerns'!$A$2:$A$15,"Not Found")</f>
        <v>CRH001</v>
      </c>
      <c r="B561" s="32" t="s">
        <v>884</v>
      </c>
      <c r="C561" s="32" t="s">
        <v>2874</v>
      </c>
    </row>
    <row r="562" spans="1:3">
      <c r="A562" s="52" t="str" cm="1">
        <f t="array" ref="A562">_xlfn.XLOOKUP($C562,_xlfn.ANCHORARRAY('Health Concerns'!$B$2),'Health Concerns'!$A$2:$A$15,"Not Found")</f>
        <v>CRH002</v>
      </c>
      <c r="B562" s="48" t="s">
        <v>884</v>
      </c>
      <c r="C562" s="48" t="s">
        <v>2855</v>
      </c>
    </row>
    <row r="563" spans="1:3">
      <c r="A563" s="50" t="str" cm="1">
        <f t="array" ref="A563">_xlfn.XLOOKUP($C563,_xlfn.ANCHORARRAY('Health Concerns'!$B$2),'Health Concerns'!$A$2:$A$15,"Not Found")</f>
        <v>CRH008</v>
      </c>
      <c r="B563" s="32" t="s">
        <v>885</v>
      </c>
      <c r="C563" s="32" t="s">
        <v>2853</v>
      </c>
    </row>
    <row r="564" spans="1:3">
      <c r="A564" s="52" t="str" cm="1">
        <f t="array" ref="A564">_xlfn.XLOOKUP($C564,_xlfn.ANCHORARRAY('Health Concerns'!$B$2),'Health Concerns'!$A$2:$A$15,"Not Found")</f>
        <v>CRH008</v>
      </c>
      <c r="B564" s="48" t="s">
        <v>886</v>
      </c>
      <c r="C564" s="48" t="s">
        <v>2853</v>
      </c>
    </row>
    <row r="565" spans="1:3">
      <c r="A565" s="50" t="str" cm="1">
        <f t="array" ref="A565">_xlfn.XLOOKUP($C565,_xlfn.ANCHORARRAY('Health Concerns'!$B$2),'Health Concerns'!$A$2:$A$15,"Not Found")</f>
        <v>CRH008</v>
      </c>
      <c r="B565" s="32" t="s">
        <v>887</v>
      </c>
      <c r="C565" s="32" t="s">
        <v>2853</v>
      </c>
    </row>
    <row r="566" spans="1:3">
      <c r="A566" s="52" t="str" cm="1">
        <f t="array" ref="A566">_xlfn.XLOOKUP($C566,_xlfn.ANCHORARRAY('Health Concerns'!$B$2),'Health Concerns'!$A$2:$A$15,"Not Found")</f>
        <v>CRH008</v>
      </c>
      <c r="B566" s="48" t="s">
        <v>888</v>
      </c>
      <c r="C566" s="48" t="s">
        <v>2853</v>
      </c>
    </row>
    <row r="567" spans="1:3">
      <c r="A567" s="50" t="str" cm="1">
        <f t="array" ref="A567">_xlfn.XLOOKUP($C567,_xlfn.ANCHORARRAY('Health Concerns'!$B$2),'Health Concerns'!$A$2:$A$15,"Not Found")</f>
        <v>CRH008</v>
      </c>
      <c r="B567" s="32" t="s">
        <v>889</v>
      </c>
      <c r="C567" s="32" t="s">
        <v>2853</v>
      </c>
    </row>
    <row r="568" spans="1:3">
      <c r="A568" s="52" t="str" cm="1">
        <f t="array" ref="A568">_xlfn.XLOOKUP($C568,_xlfn.ANCHORARRAY('Health Concerns'!$B$2),'Health Concerns'!$A$2:$A$15,"Not Found")</f>
        <v>CRH011</v>
      </c>
      <c r="B568" s="48" t="s">
        <v>890</v>
      </c>
      <c r="C568" s="48" t="s">
        <v>2879</v>
      </c>
    </row>
    <row r="569" spans="1:3">
      <c r="A569" s="50" t="str" cm="1">
        <f t="array" ref="A569">_xlfn.XLOOKUP($C569,_xlfn.ANCHORARRAY('Health Concerns'!$B$2),'Health Concerns'!$A$2:$A$15,"Not Found")</f>
        <v>CRH008</v>
      </c>
      <c r="B569" s="32" t="s">
        <v>891</v>
      </c>
      <c r="C569" s="32" t="s">
        <v>2853</v>
      </c>
    </row>
    <row r="570" spans="1:3">
      <c r="A570" s="52" t="str" cm="1">
        <f t="array" ref="A570">_xlfn.XLOOKUP($C570,_xlfn.ANCHORARRAY('Health Concerns'!$B$2),'Health Concerns'!$A$2:$A$15,"Not Found")</f>
        <v>CRH013</v>
      </c>
      <c r="B570" s="48" t="s">
        <v>892</v>
      </c>
      <c r="C570" s="48" t="s">
        <v>2856</v>
      </c>
    </row>
    <row r="571" spans="1:3">
      <c r="A571" s="50" t="str" cm="1">
        <f t="array" ref="A571">_xlfn.XLOOKUP($C571,_xlfn.ANCHORARRAY('Health Concerns'!$B$2),'Health Concerns'!$A$2:$A$15,"Not Found")</f>
        <v>CRH008</v>
      </c>
      <c r="B571" s="32" t="s">
        <v>893</v>
      </c>
      <c r="C571" s="32" t="s">
        <v>2853</v>
      </c>
    </row>
    <row r="572" spans="1:3">
      <c r="A572" s="52" t="str" cm="1">
        <f t="array" ref="A572">_xlfn.XLOOKUP($C572,_xlfn.ANCHORARRAY('Health Concerns'!$B$2),'Health Concerns'!$A$2:$A$15,"Not Found")</f>
        <v>CRH008</v>
      </c>
      <c r="B572" s="48" t="s">
        <v>894</v>
      </c>
      <c r="C572" s="48" t="s">
        <v>2853</v>
      </c>
    </row>
    <row r="573" spans="1:3">
      <c r="A573" s="50" t="str" cm="1">
        <f t="array" ref="A573">_xlfn.XLOOKUP($C573,_xlfn.ANCHORARRAY('Health Concerns'!$B$2),'Health Concerns'!$A$2:$A$15,"Not Found")</f>
        <v>CRH008</v>
      </c>
      <c r="B573" s="32" t="s">
        <v>895</v>
      </c>
      <c r="C573" s="32" t="s">
        <v>2853</v>
      </c>
    </row>
    <row r="574" spans="1:3">
      <c r="A574" s="52" t="str" cm="1">
        <f t="array" ref="A574">_xlfn.XLOOKUP($C574,_xlfn.ANCHORARRAY('Health Concerns'!$B$2),'Health Concerns'!$A$2:$A$15,"Not Found")</f>
        <v>CRH008</v>
      </c>
      <c r="B574" s="48" t="s">
        <v>896</v>
      </c>
      <c r="C574" s="48" t="s">
        <v>2853</v>
      </c>
    </row>
    <row r="575" spans="1:3">
      <c r="A575" s="50" t="str" cm="1">
        <f t="array" ref="A575">_xlfn.XLOOKUP($C575,_xlfn.ANCHORARRAY('Health Concerns'!$B$2),'Health Concerns'!$A$2:$A$15,"Not Found")</f>
        <v>CRH008</v>
      </c>
      <c r="B575" s="32" t="s">
        <v>897</v>
      </c>
      <c r="C575" s="32" t="s">
        <v>2853</v>
      </c>
    </row>
    <row r="576" spans="1:3">
      <c r="A576" s="52" t="str" cm="1">
        <f t="array" ref="A576">_xlfn.XLOOKUP($C576,_xlfn.ANCHORARRAY('Health Concerns'!$B$2),'Health Concerns'!$A$2:$A$15,"Not Found")</f>
        <v>CRH008</v>
      </c>
      <c r="B576" s="48" t="s">
        <v>898</v>
      </c>
      <c r="C576" s="48" t="s">
        <v>2853</v>
      </c>
    </row>
    <row r="577" spans="1:3">
      <c r="A577" s="50" t="str" cm="1">
        <f t="array" ref="A577">_xlfn.XLOOKUP($C577,_xlfn.ANCHORARRAY('Health Concerns'!$B$2),'Health Concerns'!$A$2:$A$15,"Not Found")</f>
        <v>CRH014</v>
      </c>
      <c r="B577" s="32" t="s">
        <v>899</v>
      </c>
      <c r="C577" s="32" t="s">
        <v>2877</v>
      </c>
    </row>
    <row r="578" spans="1:3">
      <c r="A578" s="52" t="str" cm="1">
        <f t="array" ref="A578">_xlfn.XLOOKUP($C578,_xlfn.ANCHORARRAY('Health Concerns'!$B$2),'Health Concerns'!$A$2:$A$15,"Not Found")</f>
        <v>CRH001</v>
      </c>
      <c r="B578" s="48" t="s">
        <v>900</v>
      </c>
      <c r="C578" s="48" t="s">
        <v>2874</v>
      </c>
    </row>
    <row r="579" spans="1:3">
      <c r="A579" s="50" t="str" cm="1">
        <f t="array" ref="A579">_xlfn.XLOOKUP($C579,_xlfn.ANCHORARRAY('Health Concerns'!$B$2),'Health Concerns'!$A$2:$A$15,"Not Found")</f>
        <v>CRH006</v>
      </c>
      <c r="B579" s="32" t="s">
        <v>900</v>
      </c>
      <c r="C579" s="32" t="s">
        <v>2875</v>
      </c>
    </row>
    <row r="580" spans="1:3">
      <c r="A580" s="52" t="str" cm="1">
        <f t="array" ref="A580">_xlfn.XLOOKUP($C580,_xlfn.ANCHORARRAY('Health Concerns'!$B$2),'Health Concerns'!$A$2:$A$15,"Not Found")</f>
        <v>CRH009</v>
      </c>
      <c r="B580" s="48" t="s">
        <v>900</v>
      </c>
      <c r="C580" s="48" t="s">
        <v>2872</v>
      </c>
    </row>
    <row r="581" spans="1:3">
      <c r="A581" s="50" t="str" cm="1">
        <f t="array" ref="A581">_xlfn.XLOOKUP($C581,_xlfn.ANCHORARRAY('Health Concerns'!$B$2),'Health Concerns'!$A$2:$A$15,"Not Found")</f>
        <v>CRH002</v>
      </c>
      <c r="B581" s="32" t="s">
        <v>901</v>
      </c>
      <c r="C581" s="32" t="s">
        <v>2855</v>
      </c>
    </row>
    <row r="582" spans="1:3">
      <c r="A582" s="52" t="str" cm="1">
        <f t="array" ref="A582">_xlfn.XLOOKUP($C582,_xlfn.ANCHORARRAY('Health Concerns'!$B$2),'Health Concerns'!$A$2:$A$15,"Not Found")</f>
        <v>CRH004</v>
      </c>
      <c r="B582" s="48" t="s">
        <v>901</v>
      </c>
      <c r="C582" s="48" t="s">
        <v>2871</v>
      </c>
    </row>
    <row r="583" spans="1:3">
      <c r="A583" s="50" t="str" cm="1">
        <f t="array" ref="A583">_xlfn.XLOOKUP($C583,_xlfn.ANCHORARRAY('Health Concerns'!$B$2),'Health Concerns'!$A$2:$A$15,"Not Found")</f>
        <v>CRH008</v>
      </c>
      <c r="B583" s="32" t="s">
        <v>902</v>
      </c>
      <c r="C583" s="32" t="s">
        <v>2853</v>
      </c>
    </row>
    <row r="584" spans="1:3">
      <c r="A584" s="52" t="str" cm="1">
        <f t="array" ref="A584">_xlfn.XLOOKUP($C584,_xlfn.ANCHORARRAY('Health Concerns'!$B$2),'Health Concerns'!$A$2:$A$15,"Not Found")</f>
        <v>CRH001</v>
      </c>
      <c r="B584" s="48" t="s">
        <v>903</v>
      </c>
      <c r="C584" s="48" t="s">
        <v>2874</v>
      </c>
    </row>
    <row r="585" spans="1:3">
      <c r="A585" s="50" t="str" cm="1">
        <f t="array" ref="A585">_xlfn.XLOOKUP($C585,_xlfn.ANCHORARRAY('Health Concerns'!$B$2),'Health Concerns'!$A$2:$A$15,"Not Found")</f>
        <v>CRH006</v>
      </c>
      <c r="B585" s="32" t="s">
        <v>903</v>
      </c>
      <c r="C585" s="32" t="s">
        <v>2875</v>
      </c>
    </row>
    <row r="586" spans="1:3">
      <c r="A586" s="52" t="str" cm="1">
        <f t="array" ref="A586">_xlfn.XLOOKUP($C586,_xlfn.ANCHORARRAY('Health Concerns'!$B$2),'Health Concerns'!$A$2:$A$15,"Not Found")</f>
        <v>CRH009</v>
      </c>
      <c r="B586" s="48" t="s">
        <v>903</v>
      </c>
      <c r="C586" s="48" t="s">
        <v>2872</v>
      </c>
    </row>
    <row r="587" spans="1:3">
      <c r="A587" s="50" t="str" cm="1">
        <f t="array" ref="A587">_xlfn.XLOOKUP($C587,_xlfn.ANCHORARRAY('Health Concerns'!$B$2),'Health Concerns'!$A$2:$A$15,"Not Found")</f>
        <v>CRH008</v>
      </c>
      <c r="B587" s="32" t="s">
        <v>904</v>
      </c>
      <c r="C587" s="32" t="s">
        <v>2853</v>
      </c>
    </row>
    <row r="588" spans="1:3">
      <c r="A588" s="52" t="str" cm="1">
        <f t="array" ref="A588">_xlfn.XLOOKUP($C588,_xlfn.ANCHORARRAY('Health Concerns'!$B$2),'Health Concerns'!$A$2:$A$15,"Not Found")</f>
        <v>CRH008</v>
      </c>
      <c r="B588" s="48" t="s">
        <v>905</v>
      </c>
      <c r="C588" s="48" t="s">
        <v>2853</v>
      </c>
    </row>
    <row r="589" spans="1:3">
      <c r="A589" s="50" t="str" cm="1">
        <f t="array" ref="A589">_xlfn.XLOOKUP($C589,_xlfn.ANCHORARRAY('Health Concerns'!$B$2),'Health Concerns'!$A$2:$A$15,"Not Found")</f>
        <v>CRH008</v>
      </c>
      <c r="B589" s="32" t="s">
        <v>906</v>
      </c>
      <c r="C589" s="32" t="s">
        <v>2853</v>
      </c>
    </row>
    <row r="590" spans="1:3">
      <c r="A590" s="52" t="str" cm="1">
        <f t="array" ref="A590">_xlfn.XLOOKUP($C590,_xlfn.ANCHORARRAY('Health Concerns'!$B$2),'Health Concerns'!$A$2:$A$15,"Not Found")</f>
        <v>CRH008</v>
      </c>
      <c r="B590" s="48" t="s">
        <v>907</v>
      </c>
      <c r="C590" s="48" t="s">
        <v>2853</v>
      </c>
    </row>
    <row r="591" spans="1:3">
      <c r="A591" s="50" t="str" cm="1">
        <f t="array" ref="A591">_xlfn.XLOOKUP($C591,_xlfn.ANCHORARRAY('Health Concerns'!$B$2),'Health Concerns'!$A$2:$A$15,"Not Found")</f>
        <v>CRH001</v>
      </c>
      <c r="B591" s="32" t="s">
        <v>908</v>
      </c>
      <c r="C591" s="32" t="s">
        <v>2874</v>
      </c>
    </row>
    <row r="592" spans="1:3">
      <c r="A592" s="52" t="str" cm="1">
        <f t="array" ref="A592">_xlfn.XLOOKUP($C592,_xlfn.ANCHORARRAY('Health Concerns'!$B$2),'Health Concerns'!$A$2:$A$15,"Not Found")</f>
        <v>CRH002</v>
      </c>
      <c r="B592" s="48" t="s">
        <v>908</v>
      </c>
      <c r="C592" s="48" t="s">
        <v>2855</v>
      </c>
    </row>
    <row r="593" spans="1:3">
      <c r="A593" s="50" t="str" cm="1">
        <f t="array" ref="A593">_xlfn.XLOOKUP($C593,_xlfn.ANCHORARRAY('Health Concerns'!$B$2),'Health Concerns'!$A$2:$A$15,"Not Found")</f>
        <v>CRH008</v>
      </c>
      <c r="B593" s="32" t="s">
        <v>909</v>
      </c>
      <c r="C593" s="32" t="s">
        <v>2853</v>
      </c>
    </row>
    <row r="594" spans="1:3">
      <c r="A594" s="52" t="str" cm="1">
        <f t="array" ref="A594">_xlfn.XLOOKUP($C594,_xlfn.ANCHORARRAY('Health Concerns'!$B$2),'Health Concerns'!$A$2:$A$15,"Not Found")</f>
        <v>CRH008</v>
      </c>
      <c r="B594" s="48" t="s">
        <v>910</v>
      </c>
      <c r="C594" s="48" t="s">
        <v>2853</v>
      </c>
    </row>
    <row r="595" spans="1:3">
      <c r="A595" s="50" t="str" cm="1">
        <f t="array" ref="A595">_xlfn.XLOOKUP($C595,_xlfn.ANCHORARRAY('Health Concerns'!$B$2),'Health Concerns'!$A$2:$A$15,"Not Found")</f>
        <v>CRH008</v>
      </c>
      <c r="B595" s="32" t="s">
        <v>911</v>
      </c>
      <c r="C595" s="32" t="s">
        <v>2853</v>
      </c>
    </row>
    <row r="596" spans="1:3">
      <c r="A596" s="52" t="str" cm="1">
        <f t="array" ref="A596">_xlfn.XLOOKUP($C596,_xlfn.ANCHORARRAY('Health Concerns'!$B$2),'Health Concerns'!$A$2:$A$15,"Not Found")</f>
        <v>CRH008</v>
      </c>
      <c r="B596" s="48" t="s">
        <v>912</v>
      </c>
      <c r="C596" s="48" t="s">
        <v>2853</v>
      </c>
    </row>
    <row r="597" spans="1:3">
      <c r="A597" s="50" t="str" cm="1">
        <f t="array" ref="A597">_xlfn.XLOOKUP($C597,_xlfn.ANCHORARRAY('Health Concerns'!$B$2),'Health Concerns'!$A$2:$A$15,"Not Found")</f>
        <v>CRH008</v>
      </c>
      <c r="B597" s="32" t="s">
        <v>913</v>
      </c>
      <c r="C597" s="32" t="s">
        <v>2853</v>
      </c>
    </row>
    <row r="598" spans="1:3">
      <c r="A598" s="52" t="str" cm="1">
        <f t="array" ref="A598">_xlfn.XLOOKUP($C598,_xlfn.ANCHORARRAY('Health Concerns'!$B$2),'Health Concerns'!$A$2:$A$15,"Not Found")</f>
        <v>CRH011</v>
      </c>
      <c r="B598" s="48" t="s">
        <v>914</v>
      </c>
      <c r="C598" s="48" t="s">
        <v>2879</v>
      </c>
    </row>
    <row r="599" spans="1:3">
      <c r="A599" s="50" t="str" cm="1">
        <f t="array" ref="A599">_xlfn.XLOOKUP($C599,_xlfn.ANCHORARRAY('Health Concerns'!$B$2),'Health Concerns'!$A$2:$A$15,"Not Found")</f>
        <v>CRH008</v>
      </c>
      <c r="B599" s="32" t="s">
        <v>915</v>
      </c>
      <c r="C599" s="32" t="s">
        <v>2853</v>
      </c>
    </row>
    <row r="600" spans="1:3">
      <c r="A600" s="52" t="str" cm="1">
        <f t="array" ref="A600">_xlfn.XLOOKUP($C600,_xlfn.ANCHORARRAY('Health Concerns'!$B$2),'Health Concerns'!$A$2:$A$15,"Not Found")</f>
        <v>CRH013</v>
      </c>
      <c r="B600" s="48" t="s">
        <v>916</v>
      </c>
      <c r="C600" s="48" t="s">
        <v>2856</v>
      </c>
    </row>
    <row r="601" spans="1:3">
      <c r="A601" s="50" t="str" cm="1">
        <f t="array" ref="A601">_xlfn.XLOOKUP($C601,_xlfn.ANCHORARRAY('Health Concerns'!$B$2),'Health Concerns'!$A$2:$A$15,"Not Found")</f>
        <v>CRH008</v>
      </c>
      <c r="B601" s="32" t="s">
        <v>917</v>
      </c>
      <c r="C601" s="32" t="s">
        <v>2853</v>
      </c>
    </row>
    <row r="602" spans="1:3">
      <c r="A602" s="52" t="str" cm="1">
        <f t="array" ref="A602">_xlfn.XLOOKUP($C602,_xlfn.ANCHORARRAY('Health Concerns'!$B$2),'Health Concerns'!$A$2:$A$15,"Not Found")</f>
        <v>CRH008</v>
      </c>
      <c r="B602" s="48" t="s">
        <v>918</v>
      </c>
      <c r="C602" s="48" t="s">
        <v>2853</v>
      </c>
    </row>
    <row r="603" spans="1:3">
      <c r="A603" s="50" t="str" cm="1">
        <f t="array" ref="A603">_xlfn.XLOOKUP($C603,_xlfn.ANCHORARRAY('Health Concerns'!$B$2),'Health Concerns'!$A$2:$A$15,"Not Found")</f>
        <v>CRH008</v>
      </c>
      <c r="B603" s="32" t="s">
        <v>919</v>
      </c>
      <c r="C603" s="32" t="s">
        <v>2853</v>
      </c>
    </row>
    <row r="604" spans="1:3">
      <c r="A604" s="52" t="str" cm="1">
        <f t="array" ref="A604">_xlfn.XLOOKUP($C604,_xlfn.ANCHORARRAY('Health Concerns'!$B$2),'Health Concerns'!$A$2:$A$15,"Not Found")</f>
        <v>CRH008</v>
      </c>
      <c r="B604" s="48" t="s">
        <v>920</v>
      </c>
      <c r="C604" s="48" t="s">
        <v>2853</v>
      </c>
    </row>
    <row r="605" spans="1:3">
      <c r="A605" s="50" t="str" cm="1">
        <f t="array" ref="A605">_xlfn.XLOOKUP($C605,_xlfn.ANCHORARRAY('Health Concerns'!$B$2),'Health Concerns'!$A$2:$A$15,"Not Found")</f>
        <v>CRH008</v>
      </c>
      <c r="B605" s="32" t="s">
        <v>921</v>
      </c>
      <c r="C605" s="32" t="s">
        <v>2853</v>
      </c>
    </row>
    <row r="606" spans="1:3">
      <c r="A606" s="52" t="str" cm="1">
        <f t="array" ref="A606">_xlfn.XLOOKUP($C606,_xlfn.ANCHORARRAY('Health Concerns'!$B$2),'Health Concerns'!$A$2:$A$15,"Not Found")</f>
        <v>CRH008</v>
      </c>
      <c r="B606" s="48" t="s">
        <v>922</v>
      </c>
      <c r="C606" s="48" t="s">
        <v>2853</v>
      </c>
    </row>
    <row r="607" spans="1:3">
      <c r="A607" s="50" t="str" cm="1">
        <f t="array" ref="A607">_xlfn.XLOOKUP($C607,_xlfn.ANCHORARRAY('Health Concerns'!$B$2),'Health Concerns'!$A$2:$A$15,"Not Found")</f>
        <v>CRH014</v>
      </c>
      <c r="B607" s="32" t="s">
        <v>923</v>
      </c>
      <c r="C607" s="32" t="s">
        <v>2877</v>
      </c>
    </row>
    <row r="608" spans="1:3">
      <c r="A608" s="52" t="str" cm="1">
        <f t="array" ref="A608">_xlfn.XLOOKUP($C608,_xlfn.ANCHORARRAY('Health Concerns'!$B$2),'Health Concerns'!$A$2:$A$15,"Not Found")</f>
        <v>CRH001</v>
      </c>
      <c r="B608" s="48" t="s">
        <v>924</v>
      </c>
      <c r="C608" s="48" t="s">
        <v>2874</v>
      </c>
    </row>
    <row r="609" spans="1:3">
      <c r="A609" s="50" t="str" cm="1">
        <f t="array" ref="A609">_xlfn.XLOOKUP($C609,_xlfn.ANCHORARRAY('Health Concerns'!$B$2),'Health Concerns'!$A$2:$A$15,"Not Found")</f>
        <v>CRH006</v>
      </c>
      <c r="B609" s="32" t="s">
        <v>924</v>
      </c>
      <c r="C609" s="32" t="s">
        <v>2875</v>
      </c>
    </row>
    <row r="610" spans="1:3">
      <c r="A610" s="52" t="str" cm="1">
        <f t="array" ref="A610">_xlfn.XLOOKUP($C610,_xlfn.ANCHORARRAY('Health Concerns'!$B$2),'Health Concerns'!$A$2:$A$15,"Not Found")</f>
        <v>CRH009</v>
      </c>
      <c r="B610" s="48" t="s">
        <v>924</v>
      </c>
      <c r="C610" s="48" t="s">
        <v>2872</v>
      </c>
    </row>
    <row r="611" spans="1:3">
      <c r="A611" s="50" t="str" cm="1">
        <f t="array" ref="A611">_xlfn.XLOOKUP($C611,_xlfn.ANCHORARRAY('Health Concerns'!$B$2),'Health Concerns'!$A$2:$A$15,"Not Found")</f>
        <v>CRH002</v>
      </c>
      <c r="B611" s="32" t="s">
        <v>925</v>
      </c>
      <c r="C611" s="32" t="s">
        <v>2855</v>
      </c>
    </row>
    <row r="612" spans="1:3">
      <c r="A612" s="52" t="str" cm="1">
        <f t="array" ref="A612">_xlfn.XLOOKUP($C612,_xlfn.ANCHORARRAY('Health Concerns'!$B$2),'Health Concerns'!$A$2:$A$15,"Not Found")</f>
        <v>CRH004</v>
      </c>
      <c r="B612" s="48" t="s">
        <v>925</v>
      </c>
      <c r="C612" s="48" t="s">
        <v>2871</v>
      </c>
    </row>
    <row r="613" spans="1:3">
      <c r="A613" s="50" t="str" cm="1">
        <f t="array" ref="A613">_xlfn.XLOOKUP($C613,_xlfn.ANCHORARRAY('Health Concerns'!$B$2),'Health Concerns'!$A$2:$A$15,"Not Found")</f>
        <v>CRH008</v>
      </c>
      <c r="B613" s="32" t="s">
        <v>926</v>
      </c>
      <c r="C613" s="32" t="s">
        <v>2853</v>
      </c>
    </row>
    <row r="614" spans="1:3">
      <c r="A614" s="52" t="str" cm="1">
        <f t="array" ref="A614">_xlfn.XLOOKUP($C614,_xlfn.ANCHORARRAY('Health Concerns'!$B$2),'Health Concerns'!$A$2:$A$15,"Not Found")</f>
        <v>CRH001</v>
      </c>
      <c r="B614" s="48" t="s">
        <v>927</v>
      </c>
      <c r="C614" s="48" t="s">
        <v>2874</v>
      </c>
    </row>
    <row r="615" spans="1:3">
      <c r="A615" s="50" t="str" cm="1">
        <f t="array" ref="A615">_xlfn.XLOOKUP($C615,_xlfn.ANCHORARRAY('Health Concerns'!$B$2),'Health Concerns'!$A$2:$A$15,"Not Found")</f>
        <v>CRH006</v>
      </c>
      <c r="B615" s="32" t="s">
        <v>927</v>
      </c>
      <c r="C615" s="32" t="s">
        <v>2875</v>
      </c>
    </row>
    <row r="616" spans="1:3">
      <c r="A616" s="52" t="str" cm="1">
        <f t="array" ref="A616">_xlfn.XLOOKUP($C616,_xlfn.ANCHORARRAY('Health Concerns'!$B$2),'Health Concerns'!$A$2:$A$15,"Not Found")</f>
        <v>CRH009</v>
      </c>
      <c r="B616" s="48" t="s">
        <v>927</v>
      </c>
      <c r="C616" s="48" t="s">
        <v>2872</v>
      </c>
    </row>
    <row r="617" spans="1:3">
      <c r="A617" s="50" t="str" cm="1">
        <f t="array" ref="A617">_xlfn.XLOOKUP($C617,_xlfn.ANCHORARRAY('Health Concerns'!$B$2),'Health Concerns'!$A$2:$A$15,"Not Found")</f>
        <v>CRH008</v>
      </c>
      <c r="B617" s="32" t="s">
        <v>928</v>
      </c>
      <c r="C617" s="32" t="s">
        <v>2853</v>
      </c>
    </row>
    <row r="618" spans="1:3">
      <c r="A618" s="52" t="str" cm="1">
        <f t="array" ref="A618">_xlfn.XLOOKUP($C618,_xlfn.ANCHORARRAY('Health Concerns'!$B$2),'Health Concerns'!$A$2:$A$15,"Not Found")</f>
        <v>CRH008</v>
      </c>
      <c r="B618" s="48" t="s">
        <v>929</v>
      </c>
      <c r="C618" s="48" t="s">
        <v>2853</v>
      </c>
    </row>
    <row r="619" spans="1:3">
      <c r="A619" s="50" t="str" cm="1">
        <f t="array" ref="A619">_xlfn.XLOOKUP($C619,_xlfn.ANCHORARRAY('Health Concerns'!$B$2),'Health Concerns'!$A$2:$A$15,"Not Found")</f>
        <v>CRH008</v>
      </c>
      <c r="B619" s="32" t="s">
        <v>930</v>
      </c>
      <c r="C619" s="32" t="s">
        <v>2853</v>
      </c>
    </row>
    <row r="620" spans="1:3">
      <c r="A620" s="52" t="str" cm="1">
        <f t="array" ref="A620">_xlfn.XLOOKUP($C620,_xlfn.ANCHORARRAY('Health Concerns'!$B$2),'Health Concerns'!$A$2:$A$15,"Not Found")</f>
        <v>CRH008</v>
      </c>
      <c r="B620" s="48" t="s">
        <v>931</v>
      </c>
      <c r="C620" s="48" t="s">
        <v>2853</v>
      </c>
    </row>
    <row r="621" spans="1:3">
      <c r="A621" s="50" t="str" cm="1">
        <f t="array" ref="A621">_xlfn.XLOOKUP($C621,_xlfn.ANCHORARRAY('Health Concerns'!$B$2),'Health Concerns'!$A$2:$A$15,"Not Found")</f>
        <v>CRH001</v>
      </c>
      <c r="B621" s="32" t="s">
        <v>932</v>
      </c>
      <c r="C621" s="32" t="s">
        <v>2874</v>
      </c>
    </row>
    <row r="622" spans="1:3">
      <c r="A622" s="52" t="str" cm="1">
        <f t="array" ref="A622">_xlfn.XLOOKUP($C622,_xlfn.ANCHORARRAY('Health Concerns'!$B$2),'Health Concerns'!$A$2:$A$15,"Not Found")</f>
        <v>CRH002</v>
      </c>
      <c r="B622" s="48" t="s">
        <v>932</v>
      </c>
      <c r="C622" s="48" t="s">
        <v>2855</v>
      </c>
    </row>
    <row r="623" spans="1:3">
      <c r="A623" s="50" t="str" cm="1">
        <f t="array" ref="A623">_xlfn.XLOOKUP($C623,_xlfn.ANCHORARRAY('Health Concerns'!$B$2),'Health Concerns'!$A$2:$A$15,"Not Found")</f>
        <v>CRH008</v>
      </c>
      <c r="B623" s="32" t="s">
        <v>933</v>
      </c>
      <c r="C623" s="32" t="s">
        <v>2853</v>
      </c>
    </row>
    <row r="624" spans="1:3">
      <c r="A624" s="52" t="str" cm="1">
        <f t="array" ref="A624">_xlfn.XLOOKUP($C624,_xlfn.ANCHORARRAY('Health Concerns'!$B$2),'Health Concerns'!$A$2:$A$15,"Not Found")</f>
        <v>CRH008</v>
      </c>
      <c r="B624" s="48" t="s">
        <v>934</v>
      </c>
      <c r="C624" s="48" t="s">
        <v>2853</v>
      </c>
    </row>
    <row r="625" spans="1:3">
      <c r="A625" s="50" t="str" cm="1">
        <f t="array" ref="A625">_xlfn.XLOOKUP($C625,_xlfn.ANCHORARRAY('Health Concerns'!$B$2),'Health Concerns'!$A$2:$A$15,"Not Found")</f>
        <v>CRH008</v>
      </c>
      <c r="B625" s="32" t="s">
        <v>935</v>
      </c>
      <c r="C625" s="32" t="s">
        <v>2853</v>
      </c>
    </row>
    <row r="626" spans="1:3">
      <c r="A626" s="52" t="str" cm="1">
        <f t="array" ref="A626">_xlfn.XLOOKUP($C626,_xlfn.ANCHORARRAY('Health Concerns'!$B$2),'Health Concerns'!$A$2:$A$15,"Not Found")</f>
        <v>CRH008</v>
      </c>
      <c r="B626" s="48" t="s">
        <v>936</v>
      </c>
      <c r="C626" s="48" t="s">
        <v>2853</v>
      </c>
    </row>
    <row r="627" spans="1:3">
      <c r="A627" s="50" t="str" cm="1">
        <f t="array" ref="A627">_xlfn.XLOOKUP($C627,_xlfn.ANCHORARRAY('Health Concerns'!$B$2),'Health Concerns'!$A$2:$A$15,"Not Found")</f>
        <v>CRH008</v>
      </c>
      <c r="B627" s="32" t="s">
        <v>937</v>
      </c>
      <c r="C627" s="32" t="s">
        <v>2853</v>
      </c>
    </row>
    <row r="628" spans="1:3">
      <c r="A628" s="52" t="str" cm="1">
        <f t="array" ref="A628">_xlfn.XLOOKUP($C628,_xlfn.ANCHORARRAY('Health Concerns'!$B$2),'Health Concerns'!$A$2:$A$15,"Not Found")</f>
        <v>CRH011</v>
      </c>
      <c r="B628" s="48" t="s">
        <v>938</v>
      </c>
      <c r="C628" s="48" t="s">
        <v>2879</v>
      </c>
    </row>
    <row r="629" spans="1:3">
      <c r="A629" s="50" t="str" cm="1">
        <f t="array" ref="A629">_xlfn.XLOOKUP($C629,_xlfn.ANCHORARRAY('Health Concerns'!$B$2),'Health Concerns'!$A$2:$A$15,"Not Found")</f>
        <v>CRH008</v>
      </c>
      <c r="B629" s="32" t="s">
        <v>939</v>
      </c>
      <c r="C629" s="32" t="s">
        <v>2853</v>
      </c>
    </row>
    <row r="630" spans="1:3">
      <c r="A630" s="52" t="str" cm="1">
        <f t="array" ref="A630">_xlfn.XLOOKUP($C630,_xlfn.ANCHORARRAY('Health Concerns'!$B$2),'Health Concerns'!$A$2:$A$15,"Not Found")</f>
        <v>CRH013</v>
      </c>
      <c r="B630" s="48" t="s">
        <v>940</v>
      </c>
      <c r="C630" s="48" t="s">
        <v>2856</v>
      </c>
    </row>
    <row r="631" spans="1:3">
      <c r="A631" s="50" t="str" cm="1">
        <f t="array" ref="A631">_xlfn.XLOOKUP($C631,_xlfn.ANCHORARRAY('Health Concerns'!$B$2),'Health Concerns'!$A$2:$A$15,"Not Found")</f>
        <v>CRH008</v>
      </c>
      <c r="B631" s="32" t="s">
        <v>941</v>
      </c>
      <c r="C631" s="32" t="s">
        <v>2853</v>
      </c>
    </row>
    <row r="632" spans="1:3">
      <c r="A632" s="52" t="str" cm="1">
        <f t="array" ref="A632">_xlfn.XLOOKUP($C632,_xlfn.ANCHORARRAY('Health Concerns'!$B$2),'Health Concerns'!$A$2:$A$15,"Not Found")</f>
        <v>CRH008</v>
      </c>
      <c r="B632" s="48" t="s">
        <v>942</v>
      </c>
      <c r="C632" s="48" t="s">
        <v>2853</v>
      </c>
    </row>
    <row r="633" spans="1:3">
      <c r="A633" s="50" t="str" cm="1">
        <f t="array" ref="A633">_xlfn.XLOOKUP($C633,_xlfn.ANCHORARRAY('Health Concerns'!$B$2),'Health Concerns'!$A$2:$A$15,"Not Found")</f>
        <v>CRH008</v>
      </c>
      <c r="B633" s="32" t="s">
        <v>943</v>
      </c>
      <c r="C633" s="32" t="s">
        <v>2853</v>
      </c>
    </row>
    <row r="634" spans="1:3">
      <c r="A634" s="52" t="str" cm="1">
        <f t="array" ref="A634">_xlfn.XLOOKUP($C634,_xlfn.ANCHORARRAY('Health Concerns'!$B$2),'Health Concerns'!$A$2:$A$15,"Not Found")</f>
        <v>CRH008</v>
      </c>
      <c r="B634" s="48" t="s">
        <v>944</v>
      </c>
      <c r="C634" s="48" t="s">
        <v>2853</v>
      </c>
    </row>
    <row r="635" spans="1:3">
      <c r="A635" s="50" t="str" cm="1">
        <f t="array" ref="A635">_xlfn.XLOOKUP($C635,_xlfn.ANCHORARRAY('Health Concerns'!$B$2),'Health Concerns'!$A$2:$A$15,"Not Found")</f>
        <v>CRH008</v>
      </c>
      <c r="B635" s="32" t="s">
        <v>945</v>
      </c>
      <c r="C635" s="32" t="s">
        <v>2853</v>
      </c>
    </row>
    <row r="636" spans="1:3">
      <c r="A636" s="52" t="str" cm="1">
        <f t="array" ref="A636">_xlfn.XLOOKUP($C636,_xlfn.ANCHORARRAY('Health Concerns'!$B$2),'Health Concerns'!$A$2:$A$15,"Not Found")</f>
        <v>CRH008</v>
      </c>
      <c r="B636" s="48" t="s">
        <v>946</v>
      </c>
      <c r="C636" s="48" t="s">
        <v>2853</v>
      </c>
    </row>
    <row r="637" spans="1:3">
      <c r="A637" s="50" t="str" cm="1">
        <f t="array" ref="A637">_xlfn.XLOOKUP($C637,_xlfn.ANCHORARRAY('Health Concerns'!$B$2),'Health Concerns'!$A$2:$A$15,"Not Found")</f>
        <v>CRH001</v>
      </c>
      <c r="B637" s="32" t="s">
        <v>947</v>
      </c>
      <c r="C637" s="32" t="s">
        <v>2874</v>
      </c>
    </row>
    <row r="638" spans="1:3">
      <c r="A638" s="52" t="str" cm="1">
        <f t="array" ref="A638">_xlfn.XLOOKUP($C638,_xlfn.ANCHORARRAY('Health Concerns'!$B$2),'Health Concerns'!$A$2:$A$15,"Not Found")</f>
        <v>CRH006</v>
      </c>
      <c r="B638" s="48" t="s">
        <v>947</v>
      </c>
      <c r="C638" s="48" t="s">
        <v>2875</v>
      </c>
    </row>
    <row r="639" spans="1:3">
      <c r="A639" s="50" t="str" cm="1">
        <f t="array" ref="A639">_xlfn.XLOOKUP($C639,_xlfn.ANCHORARRAY('Health Concerns'!$B$2),'Health Concerns'!$A$2:$A$15,"Not Found")</f>
        <v>CRH009</v>
      </c>
      <c r="B639" s="32" t="s">
        <v>947</v>
      </c>
      <c r="C639" s="32" t="s">
        <v>2872</v>
      </c>
    </row>
    <row r="640" spans="1:3">
      <c r="A640" s="52" t="str" cm="1">
        <f t="array" ref="A640">_xlfn.XLOOKUP($C640,_xlfn.ANCHORARRAY('Health Concerns'!$B$2),'Health Concerns'!$A$2:$A$15,"Not Found")</f>
        <v>CRH002</v>
      </c>
      <c r="B640" s="48" t="s">
        <v>948</v>
      </c>
      <c r="C640" s="48" t="s">
        <v>2855</v>
      </c>
    </row>
    <row r="641" spans="1:3">
      <c r="A641" s="50" t="str" cm="1">
        <f t="array" ref="A641">_xlfn.XLOOKUP($C641,_xlfn.ANCHORARRAY('Health Concerns'!$B$2),'Health Concerns'!$A$2:$A$15,"Not Found")</f>
        <v>CRH004</v>
      </c>
      <c r="B641" s="32" t="s">
        <v>948</v>
      </c>
      <c r="C641" s="32" t="s">
        <v>2871</v>
      </c>
    </row>
    <row r="642" spans="1:3">
      <c r="A642" s="52" t="str" cm="1">
        <f t="array" ref="A642">_xlfn.XLOOKUP($C642,_xlfn.ANCHORARRAY('Health Concerns'!$B$2),'Health Concerns'!$A$2:$A$15,"Not Found")</f>
        <v>CRH008</v>
      </c>
      <c r="B642" s="48" t="s">
        <v>949</v>
      </c>
      <c r="C642" s="48" t="s">
        <v>2853</v>
      </c>
    </row>
    <row r="643" spans="1:3">
      <c r="A643" s="50" t="str" cm="1">
        <f t="array" ref="A643">_xlfn.XLOOKUP($C643,_xlfn.ANCHORARRAY('Health Concerns'!$B$2),'Health Concerns'!$A$2:$A$15,"Not Found")</f>
        <v>CRH001</v>
      </c>
      <c r="B643" s="32" t="s">
        <v>950</v>
      </c>
      <c r="C643" s="32" t="s">
        <v>2874</v>
      </c>
    </row>
    <row r="644" spans="1:3">
      <c r="A644" s="52" t="str" cm="1">
        <f t="array" ref="A644">_xlfn.XLOOKUP($C644,_xlfn.ANCHORARRAY('Health Concerns'!$B$2),'Health Concerns'!$A$2:$A$15,"Not Found")</f>
        <v>CRH006</v>
      </c>
      <c r="B644" s="48" t="s">
        <v>950</v>
      </c>
      <c r="C644" s="48" t="s">
        <v>2875</v>
      </c>
    </row>
    <row r="645" spans="1:3">
      <c r="A645" s="50" t="str" cm="1">
        <f t="array" ref="A645">_xlfn.XLOOKUP($C645,_xlfn.ANCHORARRAY('Health Concerns'!$B$2),'Health Concerns'!$A$2:$A$15,"Not Found")</f>
        <v>CRH009</v>
      </c>
      <c r="B645" s="32" t="s">
        <v>950</v>
      </c>
      <c r="C645" s="32" t="s">
        <v>2872</v>
      </c>
    </row>
    <row r="646" spans="1:3">
      <c r="A646" s="52" t="str" cm="1">
        <f t="array" ref="A646">_xlfn.XLOOKUP($C646,_xlfn.ANCHORARRAY('Health Concerns'!$B$2),'Health Concerns'!$A$2:$A$15,"Not Found")</f>
        <v>CRH008</v>
      </c>
      <c r="B646" s="48" t="s">
        <v>951</v>
      </c>
      <c r="C646" s="48" t="s">
        <v>2853</v>
      </c>
    </row>
    <row r="647" spans="1:3">
      <c r="A647" s="50" t="str" cm="1">
        <f t="array" ref="A647">_xlfn.XLOOKUP($C647,_xlfn.ANCHORARRAY('Health Concerns'!$B$2),'Health Concerns'!$A$2:$A$15,"Not Found")</f>
        <v>CRH008</v>
      </c>
      <c r="B647" s="32" t="s">
        <v>952</v>
      </c>
      <c r="C647" s="32" t="s">
        <v>2853</v>
      </c>
    </row>
    <row r="648" spans="1:3">
      <c r="A648" s="52" t="str" cm="1">
        <f t="array" ref="A648">_xlfn.XLOOKUP($C648,_xlfn.ANCHORARRAY('Health Concerns'!$B$2),'Health Concerns'!$A$2:$A$15,"Not Found")</f>
        <v>CRH008</v>
      </c>
      <c r="B648" s="48" t="s">
        <v>953</v>
      </c>
      <c r="C648" s="48" t="s">
        <v>2853</v>
      </c>
    </row>
    <row r="649" spans="1:3">
      <c r="A649" s="50" t="str" cm="1">
        <f t="array" ref="A649">_xlfn.XLOOKUP($C649,_xlfn.ANCHORARRAY('Health Concerns'!$B$2),'Health Concerns'!$A$2:$A$15,"Not Found")</f>
        <v>CRH008</v>
      </c>
      <c r="B649" s="32" t="s">
        <v>954</v>
      </c>
      <c r="C649" s="32" t="s">
        <v>2853</v>
      </c>
    </row>
    <row r="650" spans="1:3">
      <c r="A650" s="52" t="str" cm="1">
        <f t="array" ref="A650">_xlfn.XLOOKUP($C650,_xlfn.ANCHORARRAY('Health Concerns'!$B$2),'Health Concerns'!$A$2:$A$15,"Not Found")</f>
        <v>CRH001</v>
      </c>
      <c r="B650" s="48" t="s">
        <v>955</v>
      </c>
      <c r="C650" s="48" t="s">
        <v>2874</v>
      </c>
    </row>
    <row r="651" spans="1:3">
      <c r="A651" s="50" t="str" cm="1">
        <f t="array" ref="A651">_xlfn.XLOOKUP($C651,_xlfn.ANCHORARRAY('Health Concerns'!$B$2),'Health Concerns'!$A$2:$A$15,"Not Found")</f>
        <v>CRH002</v>
      </c>
      <c r="B651" s="32" t="s">
        <v>955</v>
      </c>
      <c r="C651" s="32" t="s">
        <v>2855</v>
      </c>
    </row>
    <row r="652" spans="1:3">
      <c r="A652" s="52" t="str" cm="1">
        <f t="array" ref="A652">_xlfn.XLOOKUP($C652,_xlfn.ANCHORARRAY('Health Concerns'!$B$2),'Health Concerns'!$A$2:$A$15,"Not Found")</f>
        <v>CRH008</v>
      </c>
      <c r="B652" s="48" t="s">
        <v>956</v>
      </c>
      <c r="C652" s="48" t="s">
        <v>2853</v>
      </c>
    </row>
    <row r="653" spans="1:3">
      <c r="A653" s="50" t="str" cm="1">
        <f t="array" ref="A653">_xlfn.XLOOKUP($C653,_xlfn.ANCHORARRAY('Health Concerns'!$B$2),'Health Concerns'!$A$2:$A$15,"Not Found")</f>
        <v>CRH008</v>
      </c>
      <c r="B653" s="32" t="s">
        <v>957</v>
      </c>
      <c r="C653" s="32" t="s">
        <v>2853</v>
      </c>
    </row>
    <row r="654" spans="1:3">
      <c r="A654" s="52" t="str" cm="1">
        <f t="array" ref="A654">_xlfn.XLOOKUP($C654,_xlfn.ANCHORARRAY('Health Concerns'!$B$2),'Health Concerns'!$A$2:$A$15,"Not Found")</f>
        <v>CRH008</v>
      </c>
      <c r="B654" s="48" t="s">
        <v>958</v>
      </c>
      <c r="C654" s="48" t="s">
        <v>2853</v>
      </c>
    </row>
    <row r="655" spans="1:3">
      <c r="A655" s="50" t="str" cm="1">
        <f t="array" ref="A655">_xlfn.XLOOKUP($C655,_xlfn.ANCHORARRAY('Health Concerns'!$B$2),'Health Concerns'!$A$2:$A$15,"Not Found")</f>
        <v>CRH008</v>
      </c>
      <c r="B655" s="32" t="s">
        <v>959</v>
      </c>
      <c r="C655" s="32" t="s">
        <v>2853</v>
      </c>
    </row>
    <row r="656" spans="1:3">
      <c r="A656" s="52" t="str" cm="1">
        <f t="array" ref="A656">_xlfn.XLOOKUP($C656,_xlfn.ANCHORARRAY('Health Concerns'!$B$2),'Health Concerns'!$A$2:$A$15,"Not Found")</f>
        <v>CRH008</v>
      </c>
      <c r="B656" s="48" t="s">
        <v>960</v>
      </c>
      <c r="C656" s="48" t="s">
        <v>2853</v>
      </c>
    </row>
    <row r="657" spans="1:3">
      <c r="A657" s="50" t="str" cm="1">
        <f t="array" ref="A657">_xlfn.XLOOKUP($C657,_xlfn.ANCHORARRAY('Health Concerns'!$B$2),'Health Concerns'!$A$2:$A$15,"Not Found")</f>
        <v>CRH011</v>
      </c>
      <c r="B657" s="32" t="s">
        <v>961</v>
      </c>
      <c r="C657" s="32" t="s">
        <v>2879</v>
      </c>
    </row>
    <row r="658" spans="1:3">
      <c r="A658" s="52" t="str" cm="1">
        <f t="array" ref="A658">_xlfn.XLOOKUP($C658,_xlfn.ANCHORARRAY('Health Concerns'!$B$2),'Health Concerns'!$A$2:$A$15,"Not Found")</f>
        <v>CRH008</v>
      </c>
      <c r="B658" s="48" t="s">
        <v>962</v>
      </c>
      <c r="C658" s="48" t="s">
        <v>2853</v>
      </c>
    </row>
    <row r="659" spans="1:3">
      <c r="A659" s="50" t="str" cm="1">
        <f t="array" ref="A659">_xlfn.XLOOKUP($C659,_xlfn.ANCHORARRAY('Health Concerns'!$B$2),'Health Concerns'!$A$2:$A$15,"Not Found")</f>
        <v>CRH013</v>
      </c>
      <c r="B659" s="32" t="s">
        <v>963</v>
      </c>
      <c r="C659" s="32" t="s">
        <v>2856</v>
      </c>
    </row>
    <row r="660" spans="1:3">
      <c r="A660" s="52" t="str" cm="1">
        <f t="array" ref="A660">_xlfn.XLOOKUP($C660,_xlfn.ANCHORARRAY('Health Concerns'!$B$2),'Health Concerns'!$A$2:$A$15,"Not Found")</f>
        <v>CRH008</v>
      </c>
      <c r="B660" s="48" t="s">
        <v>964</v>
      </c>
      <c r="C660" s="48" t="s">
        <v>2853</v>
      </c>
    </row>
    <row r="661" spans="1:3">
      <c r="A661" s="50" t="str" cm="1">
        <f t="array" ref="A661">_xlfn.XLOOKUP($C661,_xlfn.ANCHORARRAY('Health Concerns'!$B$2),'Health Concerns'!$A$2:$A$15,"Not Found")</f>
        <v>CRH008</v>
      </c>
      <c r="B661" s="32" t="s">
        <v>965</v>
      </c>
      <c r="C661" s="32" t="s">
        <v>2853</v>
      </c>
    </row>
    <row r="662" spans="1:3">
      <c r="A662" s="52" t="str" cm="1">
        <f t="array" ref="A662">_xlfn.XLOOKUP($C662,_xlfn.ANCHORARRAY('Health Concerns'!$B$2),'Health Concerns'!$A$2:$A$15,"Not Found")</f>
        <v>CRH008</v>
      </c>
      <c r="B662" s="48" t="s">
        <v>966</v>
      </c>
      <c r="C662" s="48" t="s">
        <v>2853</v>
      </c>
    </row>
    <row r="663" spans="1:3">
      <c r="A663" s="50" t="str" cm="1">
        <f t="array" ref="A663">_xlfn.XLOOKUP($C663,_xlfn.ANCHORARRAY('Health Concerns'!$B$2),'Health Concerns'!$A$2:$A$15,"Not Found")</f>
        <v>CRH008</v>
      </c>
      <c r="B663" s="32" t="s">
        <v>967</v>
      </c>
      <c r="C663" s="32" t="s">
        <v>2853</v>
      </c>
    </row>
    <row r="664" spans="1:3">
      <c r="A664" s="52" t="str" cm="1">
        <f t="array" ref="A664">_xlfn.XLOOKUP($C664,_xlfn.ANCHORARRAY('Health Concerns'!$B$2),'Health Concerns'!$A$2:$A$15,"Not Found")</f>
        <v>CRH008</v>
      </c>
      <c r="B664" s="48" t="s">
        <v>968</v>
      </c>
      <c r="C664" s="48" t="s">
        <v>2853</v>
      </c>
    </row>
    <row r="665" spans="1:3">
      <c r="A665" s="50" t="str" cm="1">
        <f t="array" ref="A665">_xlfn.XLOOKUP($C665,_xlfn.ANCHORARRAY('Health Concerns'!$B$2),'Health Concerns'!$A$2:$A$15,"Not Found")</f>
        <v>CRH008</v>
      </c>
      <c r="B665" s="32" t="s">
        <v>969</v>
      </c>
      <c r="C665" s="32" t="s">
        <v>2853</v>
      </c>
    </row>
    <row r="666" spans="1:3">
      <c r="A666" s="52" t="str" cm="1">
        <f t="array" ref="A666">_xlfn.XLOOKUP($C666,_xlfn.ANCHORARRAY('Health Concerns'!$B$2),'Health Concerns'!$A$2:$A$15,"Not Found")</f>
        <v>CRH014</v>
      </c>
      <c r="B666" s="48" t="s">
        <v>970</v>
      </c>
      <c r="C666" s="48" t="s">
        <v>2877</v>
      </c>
    </row>
    <row r="667" spans="1:3">
      <c r="A667" s="50" t="str" cm="1">
        <f t="array" ref="A667">_xlfn.XLOOKUP($C667,_xlfn.ANCHORARRAY('Health Concerns'!$B$2),'Health Concerns'!$A$2:$A$15,"Not Found")</f>
        <v>CRH001</v>
      </c>
      <c r="B667" s="32" t="s">
        <v>971</v>
      </c>
      <c r="C667" s="32" t="s">
        <v>2874</v>
      </c>
    </row>
    <row r="668" spans="1:3">
      <c r="A668" s="52" t="str" cm="1">
        <f t="array" ref="A668">_xlfn.XLOOKUP($C668,_xlfn.ANCHORARRAY('Health Concerns'!$B$2),'Health Concerns'!$A$2:$A$15,"Not Found")</f>
        <v>CRH006</v>
      </c>
      <c r="B668" s="48" t="s">
        <v>971</v>
      </c>
      <c r="C668" s="48" t="s">
        <v>2875</v>
      </c>
    </row>
    <row r="669" spans="1:3">
      <c r="A669" s="50" t="str" cm="1">
        <f t="array" ref="A669">_xlfn.XLOOKUP($C669,_xlfn.ANCHORARRAY('Health Concerns'!$B$2),'Health Concerns'!$A$2:$A$15,"Not Found")</f>
        <v>CRH009</v>
      </c>
      <c r="B669" s="32" t="s">
        <v>971</v>
      </c>
      <c r="C669" s="32" t="s">
        <v>2872</v>
      </c>
    </row>
    <row r="670" spans="1:3">
      <c r="A670" s="52" t="str" cm="1">
        <f t="array" ref="A670">_xlfn.XLOOKUP($C670,_xlfn.ANCHORARRAY('Health Concerns'!$B$2),'Health Concerns'!$A$2:$A$15,"Not Found")</f>
        <v>CRH002</v>
      </c>
      <c r="B670" s="48" t="s">
        <v>972</v>
      </c>
      <c r="C670" s="48" t="s">
        <v>2855</v>
      </c>
    </row>
    <row r="671" spans="1:3">
      <c r="A671" s="50" t="str" cm="1">
        <f t="array" ref="A671">_xlfn.XLOOKUP($C671,_xlfn.ANCHORARRAY('Health Concerns'!$B$2),'Health Concerns'!$A$2:$A$15,"Not Found")</f>
        <v>CRH004</v>
      </c>
      <c r="B671" s="32" t="s">
        <v>972</v>
      </c>
      <c r="C671" s="32" t="s">
        <v>2871</v>
      </c>
    </row>
    <row r="672" spans="1:3">
      <c r="A672" s="52" t="str" cm="1">
        <f t="array" ref="A672">_xlfn.XLOOKUP($C672,_xlfn.ANCHORARRAY('Health Concerns'!$B$2),'Health Concerns'!$A$2:$A$15,"Not Found")</f>
        <v>CRH008</v>
      </c>
      <c r="B672" s="48" t="s">
        <v>973</v>
      </c>
      <c r="C672" s="48" t="s">
        <v>2853</v>
      </c>
    </row>
    <row r="673" spans="1:3">
      <c r="A673" s="50" t="str" cm="1">
        <f t="array" ref="A673">_xlfn.XLOOKUP($C673,_xlfn.ANCHORARRAY('Health Concerns'!$B$2),'Health Concerns'!$A$2:$A$15,"Not Found")</f>
        <v>CRH001</v>
      </c>
      <c r="B673" s="32" t="s">
        <v>974</v>
      </c>
      <c r="C673" s="32" t="s">
        <v>2874</v>
      </c>
    </row>
    <row r="674" spans="1:3">
      <c r="A674" s="52" t="str" cm="1">
        <f t="array" ref="A674">_xlfn.XLOOKUP($C674,_xlfn.ANCHORARRAY('Health Concerns'!$B$2),'Health Concerns'!$A$2:$A$15,"Not Found")</f>
        <v>CRH006</v>
      </c>
      <c r="B674" s="48" t="s">
        <v>974</v>
      </c>
      <c r="C674" s="48" t="s">
        <v>2875</v>
      </c>
    </row>
    <row r="675" spans="1:3">
      <c r="A675" s="50" t="str" cm="1">
        <f t="array" ref="A675">_xlfn.XLOOKUP($C675,_xlfn.ANCHORARRAY('Health Concerns'!$B$2),'Health Concerns'!$A$2:$A$15,"Not Found")</f>
        <v>CRH009</v>
      </c>
      <c r="B675" s="32" t="s">
        <v>974</v>
      </c>
      <c r="C675" s="32" t="s">
        <v>2872</v>
      </c>
    </row>
    <row r="676" spans="1:3">
      <c r="A676" s="52" t="str" cm="1">
        <f t="array" ref="A676">_xlfn.XLOOKUP($C676,_xlfn.ANCHORARRAY('Health Concerns'!$B$2),'Health Concerns'!$A$2:$A$15,"Not Found")</f>
        <v>CRH008</v>
      </c>
      <c r="B676" s="48" t="s">
        <v>975</v>
      </c>
      <c r="C676" s="48" t="s">
        <v>2853</v>
      </c>
    </row>
    <row r="677" spans="1:3">
      <c r="A677" s="50" t="str" cm="1">
        <f t="array" ref="A677">_xlfn.XLOOKUP($C677,_xlfn.ANCHORARRAY('Health Concerns'!$B$2),'Health Concerns'!$A$2:$A$15,"Not Found")</f>
        <v>CRH008</v>
      </c>
      <c r="B677" s="32" t="s">
        <v>976</v>
      </c>
      <c r="C677" s="32" t="s">
        <v>2853</v>
      </c>
    </row>
    <row r="678" spans="1:3">
      <c r="A678" s="52" t="str" cm="1">
        <f t="array" ref="A678">_xlfn.XLOOKUP($C678,_xlfn.ANCHORARRAY('Health Concerns'!$B$2),'Health Concerns'!$A$2:$A$15,"Not Found")</f>
        <v>CRH008</v>
      </c>
      <c r="B678" s="48" t="s">
        <v>977</v>
      </c>
      <c r="C678" s="48" t="s">
        <v>2853</v>
      </c>
    </row>
    <row r="679" spans="1:3">
      <c r="A679" s="50" t="str" cm="1">
        <f t="array" ref="A679">_xlfn.XLOOKUP($C679,_xlfn.ANCHORARRAY('Health Concerns'!$B$2),'Health Concerns'!$A$2:$A$15,"Not Found")</f>
        <v>CRH008</v>
      </c>
      <c r="B679" s="32" t="s">
        <v>978</v>
      </c>
      <c r="C679" s="32" t="s">
        <v>2853</v>
      </c>
    </row>
    <row r="680" spans="1:3">
      <c r="A680" s="52" t="str" cm="1">
        <f t="array" ref="A680">_xlfn.XLOOKUP($C680,_xlfn.ANCHORARRAY('Health Concerns'!$B$2),'Health Concerns'!$A$2:$A$15,"Not Found")</f>
        <v>CRH001</v>
      </c>
      <c r="B680" s="48" t="s">
        <v>979</v>
      </c>
      <c r="C680" s="48" t="s">
        <v>2874</v>
      </c>
    </row>
    <row r="681" spans="1:3">
      <c r="A681" s="50" t="str" cm="1">
        <f t="array" ref="A681">_xlfn.XLOOKUP($C681,_xlfn.ANCHORARRAY('Health Concerns'!$B$2),'Health Concerns'!$A$2:$A$15,"Not Found")</f>
        <v>CRH002</v>
      </c>
      <c r="B681" s="32" t="s">
        <v>979</v>
      </c>
      <c r="C681" s="32" t="s">
        <v>2855</v>
      </c>
    </row>
    <row r="682" spans="1:3">
      <c r="A682" s="52" t="str" cm="1">
        <f t="array" ref="A682">_xlfn.XLOOKUP($C682,_xlfn.ANCHORARRAY('Health Concerns'!$B$2),'Health Concerns'!$A$2:$A$15,"Not Found")</f>
        <v>CRH008</v>
      </c>
      <c r="B682" s="48" t="s">
        <v>980</v>
      </c>
      <c r="C682" s="48" t="s">
        <v>2853</v>
      </c>
    </row>
    <row r="683" spans="1:3">
      <c r="A683" s="50" t="str" cm="1">
        <f t="array" ref="A683">_xlfn.XLOOKUP($C683,_xlfn.ANCHORARRAY('Health Concerns'!$B$2),'Health Concerns'!$A$2:$A$15,"Not Found")</f>
        <v>CRH008</v>
      </c>
      <c r="B683" s="32" t="s">
        <v>981</v>
      </c>
      <c r="C683" s="32" t="s">
        <v>2853</v>
      </c>
    </row>
    <row r="684" spans="1:3">
      <c r="A684" s="52" t="str" cm="1">
        <f t="array" ref="A684">_xlfn.XLOOKUP($C684,_xlfn.ANCHORARRAY('Health Concerns'!$B$2),'Health Concerns'!$A$2:$A$15,"Not Found")</f>
        <v>CRH008</v>
      </c>
      <c r="B684" s="48" t="s">
        <v>982</v>
      </c>
      <c r="C684" s="48" t="s">
        <v>2853</v>
      </c>
    </row>
    <row r="685" spans="1:3">
      <c r="A685" s="50" t="str" cm="1">
        <f t="array" ref="A685">_xlfn.XLOOKUP($C685,_xlfn.ANCHORARRAY('Health Concerns'!$B$2),'Health Concerns'!$A$2:$A$15,"Not Found")</f>
        <v>CRH008</v>
      </c>
      <c r="B685" s="32" t="s">
        <v>983</v>
      </c>
      <c r="C685" s="32" t="s">
        <v>2853</v>
      </c>
    </row>
    <row r="686" spans="1:3">
      <c r="A686" s="52" t="str" cm="1">
        <f t="array" ref="A686">_xlfn.XLOOKUP($C686,_xlfn.ANCHORARRAY('Health Concerns'!$B$2),'Health Concerns'!$A$2:$A$15,"Not Found")</f>
        <v>CRH008</v>
      </c>
      <c r="B686" s="48" t="s">
        <v>984</v>
      </c>
      <c r="C686" s="48" t="s">
        <v>2853</v>
      </c>
    </row>
    <row r="687" spans="1:3">
      <c r="A687" s="50" t="str" cm="1">
        <f t="array" ref="A687">_xlfn.XLOOKUP($C687,_xlfn.ANCHORARRAY('Health Concerns'!$B$2),'Health Concerns'!$A$2:$A$15,"Not Found")</f>
        <v>CRH011</v>
      </c>
      <c r="B687" s="32" t="s">
        <v>985</v>
      </c>
      <c r="C687" s="32" t="s">
        <v>2879</v>
      </c>
    </row>
    <row r="688" spans="1:3">
      <c r="A688" s="52" t="str" cm="1">
        <f t="array" ref="A688">_xlfn.XLOOKUP($C688,_xlfn.ANCHORARRAY('Health Concerns'!$B$2),'Health Concerns'!$A$2:$A$15,"Not Found")</f>
        <v>CRH008</v>
      </c>
      <c r="B688" s="48" t="s">
        <v>986</v>
      </c>
      <c r="C688" s="48" t="s">
        <v>2853</v>
      </c>
    </row>
    <row r="689" spans="1:3">
      <c r="A689" s="50" t="str" cm="1">
        <f t="array" ref="A689">_xlfn.XLOOKUP($C689,_xlfn.ANCHORARRAY('Health Concerns'!$B$2),'Health Concerns'!$A$2:$A$15,"Not Found")</f>
        <v>CRH013</v>
      </c>
      <c r="B689" s="32" t="s">
        <v>987</v>
      </c>
      <c r="C689" s="32" t="s">
        <v>2856</v>
      </c>
    </row>
    <row r="690" spans="1:3">
      <c r="A690" s="52" t="str" cm="1">
        <f t="array" ref="A690">_xlfn.XLOOKUP($C690,_xlfn.ANCHORARRAY('Health Concerns'!$B$2),'Health Concerns'!$A$2:$A$15,"Not Found")</f>
        <v>CRH008</v>
      </c>
      <c r="B690" s="48" t="s">
        <v>988</v>
      </c>
      <c r="C690" s="48" t="s">
        <v>2853</v>
      </c>
    </row>
    <row r="691" spans="1:3">
      <c r="A691" s="50" t="str" cm="1">
        <f t="array" ref="A691">_xlfn.XLOOKUP($C691,_xlfn.ANCHORARRAY('Health Concerns'!$B$2),'Health Concerns'!$A$2:$A$15,"Not Found")</f>
        <v>CRH008</v>
      </c>
      <c r="B691" s="32" t="s">
        <v>989</v>
      </c>
      <c r="C691" s="32" t="s">
        <v>2853</v>
      </c>
    </row>
    <row r="692" spans="1:3">
      <c r="A692" s="52" t="str" cm="1">
        <f t="array" ref="A692">_xlfn.XLOOKUP($C692,_xlfn.ANCHORARRAY('Health Concerns'!$B$2),'Health Concerns'!$A$2:$A$15,"Not Found")</f>
        <v>CRH008</v>
      </c>
      <c r="B692" s="48" t="s">
        <v>990</v>
      </c>
      <c r="C692" s="48" t="s">
        <v>2853</v>
      </c>
    </row>
    <row r="693" spans="1:3">
      <c r="A693" s="50" t="str" cm="1">
        <f t="array" ref="A693">_xlfn.XLOOKUP($C693,_xlfn.ANCHORARRAY('Health Concerns'!$B$2),'Health Concerns'!$A$2:$A$15,"Not Found")</f>
        <v>CRH008</v>
      </c>
      <c r="B693" s="32" t="s">
        <v>991</v>
      </c>
      <c r="C693" s="32" t="s">
        <v>2853</v>
      </c>
    </row>
    <row r="694" spans="1:3">
      <c r="A694" s="52" t="str" cm="1">
        <f t="array" ref="A694">_xlfn.XLOOKUP($C694,_xlfn.ANCHORARRAY('Health Concerns'!$B$2),'Health Concerns'!$A$2:$A$15,"Not Found")</f>
        <v>CRH008</v>
      </c>
      <c r="B694" s="48" t="s">
        <v>992</v>
      </c>
      <c r="C694" s="48" t="s">
        <v>2853</v>
      </c>
    </row>
    <row r="695" spans="1:3">
      <c r="A695" s="50" t="str" cm="1">
        <f t="array" ref="A695">_xlfn.XLOOKUP($C695,_xlfn.ANCHORARRAY('Health Concerns'!$B$2),'Health Concerns'!$A$2:$A$15,"Not Found")</f>
        <v>CRH008</v>
      </c>
      <c r="B695" s="32" t="s">
        <v>993</v>
      </c>
      <c r="C695" s="32" t="s">
        <v>2853</v>
      </c>
    </row>
    <row r="696" spans="1:3">
      <c r="A696" s="52" t="str" cm="1">
        <f t="array" ref="A696">_xlfn.XLOOKUP($C696,_xlfn.ANCHORARRAY('Health Concerns'!$B$2),'Health Concerns'!$A$2:$A$15,"Not Found")</f>
        <v>CRH014</v>
      </c>
      <c r="B696" s="48" t="s">
        <v>994</v>
      </c>
      <c r="C696" s="48" t="s">
        <v>2877</v>
      </c>
    </row>
    <row r="697" spans="1:3">
      <c r="A697" s="50" t="str" cm="1">
        <f t="array" ref="A697">_xlfn.XLOOKUP($C697,_xlfn.ANCHORARRAY('Health Concerns'!$B$2),'Health Concerns'!$A$2:$A$15,"Not Found")</f>
        <v>CRH001</v>
      </c>
      <c r="B697" s="32" t="s">
        <v>995</v>
      </c>
      <c r="C697" s="32" t="s">
        <v>2874</v>
      </c>
    </row>
    <row r="698" spans="1:3">
      <c r="A698" s="52" t="str" cm="1">
        <f t="array" ref="A698">_xlfn.XLOOKUP($C698,_xlfn.ANCHORARRAY('Health Concerns'!$B$2),'Health Concerns'!$A$2:$A$15,"Not Found")</f>
        <v>CRH006</v>
      </c>
      <c r="B698" s="48" t="s">
        <v>995</v>
      </c>
      <c r="C698" s="48" t="s">
        <v>2875</v>
      </c>
    </row>
    <row r="699" spans="1:3">
      <c r="A699" s="50" t="str" cm="1">
        <f t="array" ref="A699">_xlfn.XLOOKUP($C699,_xlfn.ANCHORARRAY('Health Concerns'!$B$2),'Health Concerns'!$A$2:$A$15,"Not Found")</f>
        <v>CRH009</v>
      </c>
      <c r="B699" s="32" t="s">
        <v>995</v>
      </c>
      <c r="C699" s="32" t="s">
        <v>2872</v>
      </c>
    </row>
    <row r="700" spans="1:3">
      <c r="A700" s="52" t="str" cm="1">
        <f t="array" ref="A700">_xlfn.XLOOKUP($C700,_xlfn.ANCHORARRAY('Health Concerns'!$B$2),'Health Concerns'!$A$2:$A$15,"Not Found")</f>
        <v>CRH008</v>
      </c>
      <c r="B700" s="48" t="s">
        <v>996</v>
      </c>
      <c r="C700" s="48" t="s">
        <v>2853</v>
      </c>
    </row>
    <row r="701" spans="1:3">
      <c r="A701" s="50" t="str" cm="1">
        <f t="array" ref="A701">_xlfn.XLOOKUP($C701,_xlfn.ANCHORARRAY('Health Concerns'!$B$2),'Health Concerns'!$A$2:$A$15,"Not Found")</f>
        <v>CRH001</v>
      </c>
      <c r="B701" s="32" t="s">
        <v>997</v>
      </c>
      <c r="C701" s="32" t="s">
        <v>2874</v>
      </c>
    </row>
    <row r="702" spans="1:3">
      <c r="A702" s="52" t="str" cm="1">
        <f t="array" ref="A702">_xlfn.XLOOKUP($C702,_xlfn.ANCHORARRAY('Health Concerns'!$B$2),'Health Concerns'!$A$2:$A$15,"Not Found")</f>
        <v>CRH006</v>
      </c>
      <c r="B702" s="48" t="s">
        <v>997</v>
      </c>
      <c r="C702" s="48" t="s">
        <v>2875</v>
      </c>
    </row>
    <row r="703" spans="1:3">
      <c r="A703" s="50" t="str" cm="1">
        <f t="array" ref="A703">_xlfn.XLOOKUP($C703,_xlfn.ANCHORARRAY('Health Concerns'!$B$2),'Health Concerns'!$A$2:$A$15,"Not Found")</f>
        <v>CRH009</v>
      </c>
      <c r="B703" s="32" t="s">
        <v>997</v>
      </c>
      <c r="C703" s="32" t="s">
        <v>2872</v>
      </c>
    </row>
    <row r="704" spans="1:3">
      <c r="A704" s="52" t="str" cm="1">
        <f t="array" ref="A704">_xlfn.XLOOKUP($C704,_xlfn.ANCHORARRAY('Health Concerns'!$B$2),'Health Concerns'!$A$2:$A$15,"Not Found")</f>
        <v>CRH008</v>
      </c>
      <c r="B704" s="48" t="s">
        <v>998</v>
      </c>
      <c r="C704" s="48" t="s">
        <v>2853</v>
      </c>
    </row>
    <row r="705" spans="1:3">
      <c r="A705" s="50" t="str" cm="1">
        <f t="array" ref="A705">_xlfn.XLOOKUP($C705,_xlfn.ANCHORARRAY('Health Concerns'!$B$2),'Health Concerns'!$A$2:$A$15,"Not Found")</f>
        <v>CRH008</v>
      </c>
      <c r="B705" s="32" t="s">
        <v>999</v>
      </c>
      <c r="C705" s="32" t="s">
        <v>2853</v>
      </c>
    </row>
    <row r="706" spans="1:3">
      <c r="A706" s="52" t="str" cm="1">
        <f t="array" ref="A706">_xlfn.XLOOKUP($C706,_xlfn.ANCHORARRAY('Health Concerns'!$B$2),'Health Concerns'!$A$2:$A$15,"Not Found")</f>
        <v>CRH008</v>
      </c>
      <c r="B706" s="48" t="s">
        <v>1000</v>
      </c>
      <c r="C706" s="48" t="s">
        <v>2853</v>
      </c>
    </row>
    <row r="707" spans="1:3">
      <c r="A707" s="50" t="str" cm="1">
        <f t="array" ref="A707">_xlfn.XLOOKUP($C707,_xlfn.ANCHORARRAY('Health Concerns'!$B$2),'Health Concerns'!$A$2:$A$15,"Not Found")</f>
        <v>CRH008</v>
      </c>
      <c r="B707" s="32" t="s">
        <v>1001</v>
      </c>
      <c r="C707" s="32" t="s">
        <v>2853</v>
      </c>
    </row>
    <row r="708" spans="1:3">
      <c r="A708" s="52" t="str" cm="1">
        <f t="array" ref="A708">_xlfn.XLOOKUP($C708,_xlfn.ANCHORARRAY('Health Concerns'!$B$2),'Health Concerns'!$A$2:$A$15,"Not Found")</f>
        <v>CRH001</v>
      </c>
      <c r="B708" s="48" t="s">
        <v>1002</v>
      </c>
      <c r="C708" s="48" t="s">
        <v>2874</v>
      </c>
    </row>
    <row r="709" spans="1:3">
      <c r="A709" s="50" t="str" cm="1">
        <f t="array" ref="A709">_xlfn.XLOOKUP($C709,_xlfn.ANCHORARRAY('Health Concerns'!$B$2),'Health Concerns'!$A$2:$A$15,"Not Found")</f>
        <v>CRH002</v>
      </c>
      <c r="B709" s="32" t="s">
        <v>1002</v>
      </c>
      <c r="C709" s="32" t="s">
        <v>2855</v>
      </c>
    </row>
    <row r="710" spans="1:3">
      <c r="A710" s="52" t="str" cm="1">
        <f t="array" ref="A710">_xlfn.XLOOKUP($C710,_xlfn.ANCHORARRAY('Health Concerns'!$B$2),'Health Concerns'!$A$2:$A$15,"Not Found")</f>
        <v>CRH008</v>
      </c>
      <c r="B710" s="48" t="s">
        <v>1003</v>
      </c>
      <c r="C710" s="48" t="s">
        <v>2853</v>
      </c>
    </row>
    <row r="711" spans="1:3">
      <c r="A711" s="50" t="str" cm="1">
        <f t="array" ref="A711">_xlfn.XLOOKUP($C711,_xlfn.ANCHORARRAY('Health Concerns'!$B$2),'Health Concerns'!$A$2:$A$15,"Not Found")</f>
        <v>CRH008</v>
      </c>
      <c r="B711" s="32" t="s">
        <v>1004</v>
      </c>
      <c r="C711" s="32" t="s">
        <v>2853</v>
      </c>
    </row>
    <row r="712" spans="1:3">
      <c r="A712" s="52" t="str" cm="1">
        <f t="array" ref="A712">_xlfn.XLOOKUP($C712,_xlfn.ANCHORARRAY('Health Concerns'!$B$2),'Health Concerns'!$A$2:$A$15,"Not Found")</f>
        <v>CRH008</v>
      </c>
      <c r="B712" s="48" t="s">
        <v>1005</v>
      </c>
      <c r="C712" s="48" t="s">
        <v>2853</v>
      </c>
    </row>
    <row r="713" spans="1:3">
      <c r="A713" s="50" t="str" cm="1">
        <f t="array" ref="A713">_xlfn.XLOOKUP($C713,_xlfn.ANCHORARRAY('Health Concerns'!$B$2),'Health Concerns'!$A$2:$A$15,"Not Found")</f>
        <v>CRH008</v>
      </c>
      <c r="B713" s="32" t="s">
        <v>1006</v>
      </c>
      <c r="C713" s="32" t="s">
        <v>2853</v>
      </c>
    </row>
    <row r="714" spans="1:3">
      <c r="A714" s="52" t="str" cm="1">
        <f t="array" ref="A714">_xlfn.XLOOKUP($C714,_xlfn.ANCHORARRAY('Health Concerns'!$B$2),'Health Concerns'!$A$2:$A$15,"Not Found")</f>
        <v>CRH008</v>
      </c>
      <c r="B714" s="48" t="s">
        <v>1007</v>
      </c>
      <c r="C714" s="48" t="s">
        <v>2853</v>
      </c>
    </row>
    <row r="715" spans="1:3">
      <c r="A715" s="50" t="str" cm="1">
        <f t="array" ref="A715">_xlfn.XLOOKUP($C715,_xlfn.ANCHORARRAY('Health Concerns'!$B$2),'Health Concerns'!$A$2:$A$15,"Not Found")</f>
        <v>CRH011</v>
      </c>
      <c r="B715" s="32" t="s">
        <v>1008</v>
      </c>
      <c r="C715" s="32" t="s">
        <v>2879</v>
      </c>
    </row>
    <row r="716" spans="1:3">
      <c r="A716" s="52" t="str" cm="1">
        <f t="array" ref="A716">_xlfn.XLOOKUP($C716,_xlfn.ANCHORARRAY('Health Concerns'!$B$2),'Health Concerns'!$A$2:$A$15,"Not Found")</f>
        <v>CRH008</v>
      </c>
      <c r="B716" s="48" t="s">
        <v>1009</v>
      </c>
      <c r="C716" s="48" t="s">
        <v>2853</v>
      </c>
    </row>
    <row r="717" spans="1:3">
      <c r="A717" s="50" t="str" cm="1">
        <f t="array" ref="A717">_xlfn.XLOOKUP($C717,_xlfn.ANCHORARRAY('Health Concerns'!$B$2),'Health Concerns'!$A$2:$A$15,"Not Found")</f>
        <v>CRH013</v>
      </c>
      <c r="B717" s="32" t="s">
        <v>1010</v>
      </c>
      <c r="C717" s="32" t="s">
        <v>2856</v>
      </c>
    </row>
    <row r="718" spans="1:3">
      <c r="A718" s="52" t="str" cm="1">
        <f t="array" ref="A718">_xlfn.XLOOKUP($C718,_xlfn.ANCHORARRAY('Health Concerns'!$B$2),'Health Concerns'!$A$2:$A$15,"Not Found")</f>
        <v>CRH008</v>
      </c>
      <c r="B718" s="48" t="s">
        <v>1011</v>
      </c>
      <c r="C718" s="48" t="s">
        <v>2853</v>
      </c>
    </row>
    <row r="719" spans="1:3">
      <c r="A719" s="50" t="str" cm="1">
        <f t="array" ref="A719">_xlfn.XLOOKUP($C719,_xlfn.ANCHORARRAY('Health Concerns'!$B$2),'Health Concerns'!$A$2:$A$15,"Not Found")</f>
        <v>CRH008</v>
      </c>
      <c r="B719" s="32" t="s">
        <v>1012</v>
      </c>
      <c r="C719" s="32" t="s">
        <v>2853</v>
      </c>
    </row>
    <row r="720" spans="1:3">
      <c r="A720" s="52" t="str" cm="1">
        <f t="array" ref="A720">_xlfn.XLOOKUP($C720,_xlfn.ANCHORARRAY('Health Concerns'!$B$2),'Health Concerns'!$A$2:$A$15,"Not Found")</f>
        <v>CRH008</v>
      </c>
      <c r="B720" s="48" t="s">
        <v>1013</v>
      </c>
      <c r="C720" s="48" t="s">
        <v>2853</v>
      </c>
    </row>
    <row r="721" spans="1:3">
      <c r="A721" s="50" t="str" cm="1">
        <f t="array" ref="A721">_xlfn.XLOOKUP($C721,_xlfn.ANCHORARRAY('Health Concerns'!$B$2),'Health Concerns'!$A$2:$A$15,"Not Found")</f>
        <v>CRH008</v>
      </c>
      <c r="B721" s="32" t="s">
        <v>1014</v>
      </c>
      <c r="C721" s="32" t="s">
        <v>2853</v>
      </c>
    </row>
    <row r="722" spans="1:3">
      <c r="A722" s="52" t="str" cm="1">
        <f t="array" ref="A722">_xlfn.XLOOKUP($C722,_xlfn.ANCHORARRAY('Health Concerns'!$B$2),'Health Concerns'!$A$2:$A$15,"Not Found")</f>
        <v>CRH008</v>
      </c>
      <c r="B722" s="48" t="s">
        <v>1015</v>
      </c>
      <c r="C722" s="48" t="s">
        <v>2853</v>
      </c>
    </row>
    <row r="723" spans="1:3">
      <c r="A723" s="50" t="str" cm="1">
        <f t="array" ref="A723">_xlfn.XLOOKUP($C723,_xlfn.ANCHORARRAY('Health Concerns'!$B$2),'Health Concerns'!$A$2:$A$15,"Not Found")</f>
        <v>CRH008</v>
      </c>
      <c r="B723" s="32" t="s">
        <v>1016</v>
      </c>
      <c r="C723" s="32" t="s">
        <v>2853</v>
      </c>
    </row>
    <row r="724" spans="1:3">
      <c r="A724" s="52" t="str" cm="1">
        <f t="array" ref="A724">_xlfn.XLOOKUP($C724,_xlfn.ANCHORARRAY('Health Concerns'!$B$2),'Health Concerns'!$A$2:$A$15,"Not Found")</f>
        <v>CRH014</v>
      </c>
      <c r="B724" s="48" t="s">
        <v>1017</v>
      </c>
      <c r="C724" s="48" t="s">
        <v>2877</v>
      </c>
    </row>
    <row r="725" spans="1:3">
      <c r="A725" s="50" t="str" cm="1">
        <f t="array" ref="A725">_xlfn.XLOOKUP($C725,_xlfn.ANCHORARRAY('Health Concerns'!$B$2),'Health Concerns'!$A$2:$A$15,"Not Found")</f>
        <v>CRH001</v>
      </c>
      <c r="B725" s="32" t="s">
        <v>1018</v>
      </c>
      <c r="C725" s="32" t="s">
        <v>2874</v>
      </c>
    </row>
    <row r="726" spans="1:3">
      <c r="A726" s="52" t="str" cm="1">
        <f t="array" ref="A726">_xlfn.XLOOKUP($C726,_xlfn.ANCHORARRAY('Health Concerns'!$B$2),'Health Concerns'!$A$2:$A$15,"Not Found")</f>
        <v>CRH006</v>
      </c>
      <c r="B726" s="48" t="s">
        <v>1018</v>
      </c>
      <c r="C726" s="48" t="s">
        <v>2875</v>
      </c>
    </row>
    <row r="727" spans="1:3">
      <c r="A727" s="50" t="str" cm="1">
        <f t="array" ref="A727">_xlfn.XLOOKUP($C727,_xlfn.ANCHORARRAY('Health Concerns'!$B$2),'Health Concerns'!$A$2:$A$15,"Not Found")</f>
        <v>CRH009</v>
      </c>
      <c r="B727" s="32" t="s">
        <v>1018</v>
      </c>
      <c r="C727" s="32" t="s">
        <v>2872</v>
      </c>
    </row>
    <row r="728" spans="1:3">
      <c r="A728" s="52" t="str" cm="1">
        <f t="array" ref="A728">_xlfn.XLOOKUP($C728,_xlfn.ANCHORARRAY('Health Concerns'!$B$2),'Health Concerns'!$A$2:$A$15,"Not Found")</f>
        <v>CRH002</v>
      </c>
      <c r="B728" s="48" t="s">
        <v>1019</v>
      </c>
      <c r="C728" s="48" t="s">
        <v>2855</v>
      </c>
    </row>
    <row r="729" spans="1:3">
      <c r="A729" s="50" t="str" cm="1">
        <f t="array" ref="A729">_xlfn.XLOOKUP($C729,_xlfn.ANCHORARRAY('Health Concerns'!$B$2),'Health Concerns'!$A$2:$A$15,"Not Found")</f>
        <v>CRH004</v>
      </c>
      <c r="B729" s="32" t="s">
        <v>1019</v>
      </c>
      <c r="C729" s="32" t="s">
        <v>2871</v>
      </c>
    </row>
    <row r="730" spans="1:3">
      <c r="A730" s="52" t="str" cm="1">
        <f t="array" ref="A730">_xlfn.XLOOKUP($C730,_xlfn.ANCHORARRAY('Health Concerns'!$B$2),'Health Concerns'!$A$2:$A$15,"Not Found")</f>
        <v>CRH008</v>
      </c>
      <c r="B730" s="48" t="s">
        <v>1020</v>
      </c>
      <c r="C730" s="48" t="s">
        <v>2853</v>
      </c>
    </row>
    <row r="731" spans="1:3">
      <c r="A731" s="50" t="str" cm="1">
        <f t="array" ref="A731">_xlfn.XLOOKUP($C731,_xlfn.ANCHORARRAY('Health Concerns'!$B$2),'Health Concerns'!$A$2:$A$15,"Not Found")</f>
        <v>CRH001</v>
      </c>
      <c r="B731" s="32" t="s">
        <v>1021</v>
      </c>
      <c r="C731" s="32" t="s">
        <v>2874</v>
      </c>
    </row>
    <row r="732" spans="1:3">
      <c r="A732" s="52" t="str" cm="1">
        <f t="array" ref="A732">_xlfn.XLOOKUP($C732,_xlfn.ANCHORARRAY('Health Concerns'!$B$2),'Health Concerns'!$A$2:$A$15,"Not Found")</f>
        <v>CRH006</v>
      </c>
      <c r="B732" s="48" t="s">
        <v>1021</v>
      </c>
      <c r="C732" s="48" t="s">
        <v>2875</v>
      </c>
    </row>
    <row r="733" spans="1:3">
      <c r="A733" s="50" t="str" cm="1">
        <f t="array" ref="A733">_xlfn.XLOOKUP($C733,_xlfn.ANCHORARRAY('Health Concerns'!$B$2),'Health Concerns'!$A$2:$A$15,"Not Found")</f>
        <v>CRH009</v>
      </c>
      <c r="B733" s="32" t="s">
        <v>1021</v>
      </c>
      <c r="C733" s="32" t="s">
        <v>2872</v>
      </c>
    </row>
    <row r="734" spans="1:3">
      <c r="A734" s="52" t="str" cm="1">
        <f t="array" ref="A734">_xlfn.XLOOKUP($C734,_xlfn.ANCHORARRAY('Health Concerns'!$B$2),'Health Concerns'!$A$2:$A$15,"Not Found")</f>
        <v>CRH008</v>
      </c>
      <c r="B734" s="48" t="s">
        <v>1022</v>
      </c>
      <c r="C734" s="48" t="s">
        <v>2853</v>
      </c>
    </row>
    <row r="735" spans="1:3">
      <c r="A735" s="50" t="str" cm="1">
        <f t="array" ref="A735">_xlfn.XLOOKUP($C735,_xlfn.ANCHORARRAY('Health Concerns'!$B$2),'Health Concerns'!$A$2:$A$15,"Not Found")</f>
        <v>CRH008</v>
      </c>
      <c r="B735" s="32" t="s">
        <v>1023</v>
      </c>
      <c r="C735" s="32" t="s">
        <v>2853</v>
      </c>
    </row>
    <row r="736" spans="1:3">
      <c r="A736" s="52" t="str" cm="1">
        <f t="array" ref="A736">_xlfn.XLOOKUP($C736,_xlfn.ANCHORARRAY('Health Concerns'!$B$2),'Health Concerns'!$A$2:$A$15,"Not Found")</f>
        <v>CRH008</v>
      </c>
      <c r="B736" s="48" t="s">
        <v>1024</v>
      </c>
      <c r="C736" s="48" t="s">
        <v>2853</v>
      </c>
    </row>
    <row r="737" spans="1:3">
      <c r="A737" s="50" t="str" cm="1">
        <f t="array" ref="A737">_xlfn.XLOOKUP($C737,_xlfn.ANCHORARRAY('Health Concerns'!$B$2),'Health Concerns'!$A$2:$A$15,"Not Found")</f>
        <v>CRH008</v>
      </c>
      <c r="B737" s="32" t="s">
        <v>1025</v>
      </c>
      <c r="C737" s="32" t="s">
        <v>2853</v>
      </c>
    </row>
    <row r="738" spans="1:3">
      <c r="A738" s="52" t="str" cm="1">
        <f t="array" ref="A738">_xlfn.XLOOKUP($C738,_xlfn.ANCHORARRAY('Health Concerns'!$B$2),'Health Concerns'!$A$2:$A$15,"Not Found")</f>
        <v>CRH001</v>
      </c>
      <c r="B738" s="48" t="s">
        <v>1026</v>
      </c>
      <c r="C738" s="48" t="s">
        <v>2874</v>
      </c>
    </row>
    <row r="739" spans="1:3">
      <c r="A739" s="50" t="str" cm="1">
        <f t="array" ref="A739">_xlfn.XLOOKUP($C739,_xlfn.ANCHORARRAY('Health Concerns'!$B$2),'Health Concerns'!$A$2:$A$15,"Not Found")</f>
        <v>CRH002</v>
      </c>
      <c r="B739" s="32" t="s">
        <v>1026</v>
      </c>
      <c r="C739" s="32" t="s">
        <v>2855</v>
      </c>
    </row>
    <row r="740" spans="1:3">
      <c r="A740" s="52" t="str" cm="1">
        <f t="array" ref="A740">_xlfn.XLOOKUP($C740,_xlfn.ANCHORARRAY('Health Concerns'!$B$2),'Health Concerns'!$A$2:$A$15,"Not Found")</f>
        <v>CRH008</v>
      </c>
      <c r="B740" s="48" t="s">
        <v>1027</v>
      </c>
      <c r="C740" s="48" t="s">
        <v>2853</v>
      </c>
    </row>
    <row r="741" spans="1:3">
      <c r="A741" s="50" t="str" cm="1">
        <f t="array" ref="A741">_xlfn.XLOOKUP($C741,_xlfn.ANCHORARRAY('Health Concerns'!$B$2),'Health Concerns'!$A$2:$A$15,"Not Found")</f>
        <v>CRH008</v>
      </c>
      <c r="B741" s="32" t="s">
        <v>1028</v>
      </c>
      <c r="C741" s="32" t="s">
        <v>2853</v>
      </c>
    </row>
    <row r="742" spans="1:3">
      <c r="A742" s="52" t="str" cm="1">
        <f t="array" ref="A742">_xlfn.XLOOKUP($C742,_xlfn.ANCHORARRAY('Health Concerns'!$B$2),'Health Concerns'!$A$2:$A$15,"Not Found")</f>
        <v>CRH008</v>
      </c>
      <c r="B742" s="48" t="s">
        <v>1029</v>
      </c>
      <c r="C742" s="48" t="s">
        <v>2853</v>
      </c>
    </row>
    <row r="743" spans="1:3">
      <c r="A743" s="50" t="str" cm="1">
        <f t="array" ref="A743">_xlfn.XLOOKUP($C743,_xlfn.ANCHORARRAY('Health Concerns'!$B$2),'Health Concerns'!$A$2:$A$15,"Not Found")</f>
        <v>CRH008</v>
      </c>
      <c r="B743" s="32" t="s">
        <v>1030</v>
      </c>
      <c r="C743" s="32" t="s">
        <v>2853</v>
      </c>
    </row>
    <row r="744" spans="1:3">
      <c r="A744" s="52" t="str" cm="1">
        <f t="array" ref="A744">_xlfn.XLOOKUP($C744,_xlfn.ANCHORARRAY('Health Concerns'!$B$2),'Health Concerns'!$A$2:$A$15,"Not Found")</f>
        <v>CRH008</v>
      </c>
      <c r="B744" s="48" t="s">
        <v>1031</v>
      </c>
      <c r="C744" s="48" t="s">
        <v>2853</v>
      </c>
    </row>
    <row r="745" spans="1:3">
      <c r="A745" s="50" t="str" cm="1">
        <f t="array" ref="A745">_xlfn.XLOOKUP($C745,_xlfn.ANCHORARRAY('Health Concerns'!$B$2),'Health Concerns'!$A$2:$A$15,"Not Found")</f>
        <v>CRH011</v>
      </c>
      <c r="B745" s="32" t="s">
        <v>1032</v>
      </c>
      <c r="C745" s="32" t="s">
        <v>2879</v>
      </c>
    </row>
    <row r="746" spans="1:3">
      <c r="A746" s="52" t="str" cm="1">
        <f t="array" ref="A746">_xlfn.XLOOKUP($C746,_xlfn.ANCHORARRAY('Health Concerns'!$B$2),'Health Concerns'!$A$2:$A$15,"Not Found")</f>
        <v>CRH008</v>
      </c>
      <c r="B746" s="48" t="s">
        <v>1033</v>
      </c>
      <c r="C746" s="48" t="s">
        <v>2853</v>
      </c>
    </row>
    <row r="747" spans="1:3">
      <c r="A747" s="50" t="str" cm="1">
        <f t="array" ref="A747">_xlfn.XLOOKUP($C747,_xlfn.ANCHORARRAY('Health Concerns'!$B$2),'Health Concerns'!$A$2:$A$15,"Not Found")</f>
        <v>CRH013</v>
      </c>
      <c r="B747" s="32" t="s">
        <v>1034</v>
      </c>
      <c r="C747" s="32" t="s">
        <v>2856</v>
      </c>
    </row>
    <row r="748" spans="1:3">
      <c r="A748" s="52" t="str" cm="1">
        <f t="array" ref="A748">_xlfn.XLOOKUP($C748,_xlfn.ANCHORARRAY('Health Concerns'!$B$2),'Health Concerns'!$A$2:$A$15,"Not Found")</f>
        <v>CRH008</v>
      </c>
      <c r="B748" s="48" t="s">
        <v>1035</v>
      </c>
      <c r="C748" s="48" t="s">
        <v>2853</v>
      </c>
    </row>
    <row r="749" spans="1:3">
      <c r="A749" s="50" t="str" cm="1">
        <f t="array" ref="A749">_xlfn.XLOOKUP($C749,_xlfn.ANCHORARRAY('Health Concerns'!$B$2),'Health Concerns'!$A$2:$A$15,"Not Found")</f>
        <v>CRH008</v>
      </c>
      <c r="B749" s="32" t="s">
        <v>1036</v>
      </c>
      <c r="C749" s="32" t="s">
        <v>2853</v>
      </c>
    </row>
    <row r="750" spans="1:3">
      <c r="A750" s="52" t="str" cm="1">
        <f t="array" ref="A750">_xlfn.XLOOKUP($C750,_xlfn.ANCHORARRAY('Health Concerns'!$B$2),'Health Concerns'!$A$2:$A$15,"Not Found")</f>
        <v>CRH008</v>
      </c>
      <c r="B750" s="48" t="s">
        <v>1037</v>
      </c>
      <c r="C750" s="48" t="s">
        <v>2853</v>
      </c>
    </row>
    <row r="751" spans="1:3">
      <c r="A751" s="50" t="str" cm="1">
        <f t="array" ref="A751">_xlfn.XLOOKUP($C751,_xlfn.ANCHORARRAY('Health Concerns'!$B$2),'Health Concerns'!$A$2:$A$15,"Not Found")</f>
        <v>CRH008</v>
      </c>
      <c r="B751" s="32" t="s">
        <v>1038</v>
      </c>
      <c r="C751" s="32" t="s">
        <v>2853</v>
      </c>
    </row>
    <row r="752" spans="1:3">
      <c r="A752" s="52" t="str" cm="1">
        <f t="array" ref="A752">_xlfn.XLOOKUP($C752,_xlfn.ANCHORARRAY('Health Concerns'!$B$2),'Health Concerns'!$A$2:$A$15,"Not Found")</f>
        <v>CRH008</v>
      </c>
      <c r="B752" s="48" t="s">
        <v>1039</v>
      </c>
      <c r="C752" s="48" t="s">
        <v>2853</v>
      </c>
    </row>
    <row r="753" spans="1:3">
      <c r="A753" s="50" t="str" cm="1">
        <f t="array" ref="A753">_xlfn.XLOOKUP($C753,_xlfn.ANCHORARRAY('Health Concerns'!$B$2),'Health Concerns'!$A$2:$A$15,"Not Found")</f>
        <v>CRH008</v>
      </c>
      <c r="B753" s="32" t="s">
        <v>1040</v>
      </c>
      <c r="C753" s="32" t="s">
        <v>2853</v>
      </c>
    </row>
    <row r="754" spans="1:3">
      <c r="A754" s="52" t="str" cm="1">
        <f t="array" ref="A754">_xlfn.XLOOKUP($C754,_xlfn.ANCHORARRAY('Health Concerns'!$B$2),'Health Concerns'!$A$2:$A$15,"Not Found")</f>
        <v>CRH014</v>
      </c>
      <c r="B754" s="48" t="s">
        <v>1041</v>
      </c>
      <c r="C754" s="48" t="s">
        <v>2877</v>
      </c>
    </row>
    <row r="755" spans="1:3">
      <c r="A755" s="50" t="str" cm="1">
        <f t="array" ref="A755">_xlfn.XLOOKUP($C755,_xlfn.ANCHORARRAY('Health Concerns'!$B$2),'Health Concerns'!$A$2:$A$15,"Not Found")</f>
        <v>CRH001</v>
      </c>
      <c r="B755" s="32" t="s">
        <v>1042</v>
      </c>
      <c r="C755" s="32" t="s">
        <v>2874</v>
      </c>
    </row>
    <row r="756" spans="1:3">
      <c r="A756" s="52" t="str" cm="1">
        <f t="array" ref="A756">_xlfn.XLOOKUP($C756,_xlfn.ANCHORARRAY('Health Concerns'!$B$2),'Health Concerns'!$A$2:$A$15,"Not Found")</f>
        <v>CRH006</v>
      </c>
      <c r="B756" s="48" t="s">
        <v>1042</v>
      </c>
      <c r="C756" s="48" t="s">
        <v>2875</v>
      </c>
    </row>
    <row r="757" spans="1:3">
      <c r="A757" s="50" t="str" cm="1">
        <f t="array" ref="A757">_xlfn.XLOOKUP($C757,_xlfn.ANCHORARRAY('Health Concerns'!$B$2),'Health Concerns'!$A$2:$A$15,"Not Found")</f>
        <v>CRH009</v>
      </c>
      <c r="B757" s="32" t="s">
        <v>1042</v>
      </c>
      <c r="C757" s="32" t="s">
        <v>2872</v>
      </c>
    </row>
    <row r="758" spans="1:3">
      <c r="A758" s="52" t="str" cm="1">
        <f t="array" ref="A758">_xlfn.XLOOKUP($C758,_xlfn.ANCHORARRAY('Health Concerns'!$B$2),'Health Concerns'!$A$2:$A$15,"Not Found")</f>
        <v>CRH002</v>
      </c>
      <c r="B758" s="48" t="s">
        <v>1043</v>
      </c>
      <c r="C758" s="48" t="s">
        <v>2855</v>
      </c>
    </row>
    <row r="759" spans="1:3">
      <c r="A759" s="50" t="str" cm="1">
        <f t="array" ref="A759">_xlfn.XLOOKUP($C759,_xlfn.ANCHORARRAY('Health Concerns'!$B$2),'Health Concerns'!$A$2:$A$15,"Not Found")</f>
        <v>CRH004</v>
      </c>
      <c r="B759" s="32" t="s">
        <v>1043</v>
      </c>
      <c r="C759" s="32" t="s">
        <v>2871</v>
      </c>
    </row>
    <row r="760" spans="1:3">
      <c r="A760" s="52" t="str" cm="1">
        <f t="array" ref="A760">_xlfn.XLOOKUP($C760,_xlfn.ANCHORARRAY('Health Concerns'!$B$2),'Health Concerns'!$A$2:$A$15,"Not Found")</f>
        <v>CRH008</v>
      </c>
      <c r="B760" s="48" t="s">
        <v>1044</v>
      </c>
      <c r="C760" s="48" t="s">
        <v>2853</v>
      </c>
    </row>
    <row r="761" spans="1:3">
      <c r="A761" s="50" t="str" cm="1">
        <f t="array" ref="A761">_xlfn.XLOOKUP($C761,_xlfn.ANCHORARRAY('Health Concerns'!$B$2),'Health Concerns'!$A$2:$A$15,"Not Found")</f>
        <v>CRH001</v>
      </c>
      <c r="B761" s="32" t="s">
        <v>1045</v>
      </c>
      <c r="C761" s="32" t="s">
        <v>2874</v>
      </c>
    </row>
    <row r="762" spans="1:3">
      <c r="A762" s="52" t="str" cm="1">
        <f t="array" ref="A762">_xlfn.XLOOKUP($C762,_xlfn.ANCHORARRAY('Health Concerns'!$B$2),'Health Concerns'!$A$2:$A$15,"Not Found")</f>
        <v>CRH006</v>
      </c>
      <c r="B762" s="48" t="s">
        <v>1045</v>
      </c>
      <c r="C762" s="48" t="s">
        <v>2875</v>
      </c>
    </row>
    <row r="763" spans="1:3">
      <c r="A763" s="50" t="str" cm="1">
        <f t="array" ref="A763">_xlfn.XLOOKUP($C763,_xlfn.ANCHORARRAY('Health Concerns'!$B$2),'Health Concerns'!$A$2:$A$15,"Not Found")</f>
        <v>CRH009</v>
      </c>
      <c r="B763" s="32" t="s">
        <v>1045</v>
      </c>
      <c r="C763" s="32" t="s">
        <v>2872</v>
      </c>
    </row>
    <row r="764" spans="1:3">
      <c r="A764" s="52" t="str" cm="1">
        <f t="array" ref="A764">_xlfn.XLOOKUP($C764,_xlfn.ANCHORARRAY('Health Concerns'!$B$2),'Health Concerns'!$A$2:$A$15,"Not Found")</f>
        <v>CRH008</v>
      </c>
      <c r="B764" s="48" t="s">
        <v>1046</v>
      </c>
      <c r="C764" s="48" t="s">
        <v>2853</v>
      </c>
    </row>
    <row r="765" spans="1:3">
      <c r="A765" s="50" t="str" cm="1">
        <f t="array" ref="A765">_xlfn.XLOOKUP($C765,_xlfn.ANCHORARRAY('Health Concerns'!$B$2),'Health Concerns'!$A$2:$A$15,"Not Found")</f>
        <v>CRH008</v>
      </c>
      <c r="B765" s="32" t="s">
        <v>1047</v>
      </c>
      <c r="C765" s="32" t="s">
        <v>2853</v>
      </c>
    </row>
    <row r="766" spans="1:3">
      <c r="A766" s="52" t="str" cm="1">
        <f t="array" ref="A766">_xlfn.XLOOKUP($C766,_xlfn.ANCHORARRAY('Health Concerns'!$B$2),'Health Concerns'!$A$2:$A$15,"Not Found")</f>
        <v>CRH008</v>
      </c>
      <c r="B766" s="48" t="s">
        <v>1048</v>
      </c>
      <c r="C766" s="48" t="s">
        <v>2853</v>
      </c>
    </row>
    <row r="767" spans="1:3">
      <c r="A767" s="50" t="str" cm="1">
        <f t="array" ref="A767">_xlfn.XLOOKUP($C767,_xlfn.ANCHORARRAY('Health Concerns'!$B$2),'Health Concerns'!$A$2:$A$15,"Not Found")</f>
        <v>CRH008</v>
      </c>
      <c r="B767" s="32" t="s">
        <v>1049</v>
      </c>
      <c r="C767" s="32" t="s">
        <v>2853</v>
      </c>
    </row>
    <row r="768" spans="1:3">
      <c r="A768" s="52" t="str" cm="1">
        <f t="array" ref="A768">_xlfn.XLOOKUP($C768,_xlfn.ANCHORARRAY('Health Concerns'!$B$2),'Health Concerns'!$A$2:$A$15,"Not Found")</f>
        <v>CRH001</v>
      </c>
      <c r="B768" s="48" t="s">
        <v>1050</v>
      </c>
      <c r="C768" s="48" t="s">
        <v>2874</v>
      </c>
    </row>
    <row r="769" spans="1:3">
      <c r="A769" s="50" t="str" cm="1">
        <f t="array" ref="A769">_xlfn.XLOOKUP($C769,_xlfn.ANCHORARRAY('Health Concerns'!$B$2),'Health Concerns'!$A$2:$A$15,"Not Found")</f>
        <v>CRH002</v>
      </c>
      <c r="B769" s="32" t="s">
        <v>1050</v>
      </c>
      <c r="C769" s="32" t="s">
        <v>2855</v>
      </c>
    </row>
    <row r="770" spans="1:3">
      <c r="A770" s="52" t="str" cm="1">
        <f t="array" ref="A770">_xlfn.XLOOKUP($C770,_xlfn.ANCHORARRAY('Health Concerns'!$B$2),'Health Concerns'!$A$2:$A$15,"Not Found")</f>
        <v>CRH008</v>
      </c>
      <c r="B770" s="48" t="s">
        <v>1051</v>
      </c>
      <c r="C770" s="48" t="s">
        <v>2853</v>
      </c>
    </row>
    <row r="771" spans="1:3">
      <c r="A771" s="50" t="str" cm="1">
        <f t="array" ref="A771">_xlfn.XLOOKUP($C771,_xlfn.ANCHORARRAY('Health Concerns'!$B$2),'Health Concerns'!$A$2:$A$15,"Not Found")</f>
        <v>CRH008</v>
      </c>
      <c r="B771" s="32" t="s">
        <v>1052</v>
      </c>
      <c r="C771" s="32" t="s">
        <v>2853</v>
      </c>
    </row>
    <row r="772" spans="1:3">
      <c r="A772" s="52" t="str" cm="1">
        <f t="array" ref="A772">_xlfn.XLOOKUP($C772,_xlfn.ANCHORARRAY('Health Concerns'!$B$2),'Health Concerns'!$A$2:$A$15,"Not Found")</f>
        <v>CRH008</v>
      </c>
      <c r="B772" s="48" t="s">
        <v>1053</v>
      </c>
      <c r="C772" s="48" t="s">
        <v>2853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882D-E081-4DEB-89FD-1986D1C484F5}">
  <sheetPr>
    <tabColor theme="8" tint="0.79998168889431442"/>
  </sheetPr>
  <dimension ref="A1:D15"/>
  <sheetViews>
    <sheetView workbookViewId="0">
      <selection activeCell="H6" sqref="H6"/>
    </sheetView>
  </sheetViews>
  <sheetFormatPr defaultRowHeight="14.4"/>
  <cols>
    <col min="1" max="1" width="33.109375" customWidth="1"/>
    <col min="2" max="2" width="30.33203125" customWidth="1"/>
  </cols>
  <sheetData>
    <row r="1" spans="1:4">
      <c r="A1" s="46" t="s">
        <v>2881</v>
      </c>
      <c r="B1" s="47" t="s">
        <v>2873</v>
      </c>
    </row>
    <row r="2" spans="1:4">
      <c r="A2" s="48" t="s">
        <v>2857</v>
      </c>
      <c r="B2" s="49" t="str" cm="1">
        <f t="array" ref="B2:B15">_xlfn.UNIQUE(' Demographics Health Concern'!C2:C772)</f>
        <v>Chickenpox</v>
      </c>
    </row>
    <row r="3" spans="1:4">
      <c r="A3" s="32" t="s">
        <v>2858</v>
      </c>
      <c r="B3" s="31" t="str">
        <v>Flu</v>
      </c>
    </row>
    <row r="4" spans="1:4">
      <c r="A4" s="48" t="s">
        <v>2859</v>
      </c>
      <c r="B4" s="49" t="str">
        <v>Malaria</v>
      </c>
    </row>
    <row r="5" spans="1:4">
      <c r="A5" s="32" t="s">
        <v>2860</v>
      </c>
      <c r="B5" s="31" t="str">
        <v>Food Poisoning</v>
      </c>
    </row>
    <row r="6" spans="1:4">
      <c r="A6" s="48" t="s">
        <v>2861</v>
      </c>
      <c r="B6" s="49" t="str">
        <v>Cough</v>
      </c>
    </row>
    <row r="7" spans="1:4">
      <c r="A7" s="32" t="s">
        <v>2862</v>
      </c>
      <c r="B7" s="31" t="str">
        <v>Cold</v>
      </c>
    </row>
    <row r="8" spans="1:4">
      <c r="A8" s="48" t="s">
        <v>2863</v>
      </c>
      <c r="B8" s="49" t="str">
        <v>Viral Fever</v>
      </c>
    </row>
    <row r="9" spans="1:4">
      <c r="A9" s="32" t="s">
        <v>2864</v>
      </c>
      <c r="B9" s="31" t="str">
        <v>Seasonal</v>
      </c>
      <c r="D9" s="21"/>
    </row>
    <row r="10" spans="1:4">
      <c r="A10" s="48" t="s">
        <v>2865</v>
      </c>
      <c r="B10" s="49" t="str">
        <v>Scabies</v>
      </c>
    </row>
    <row r="11" spans="1:4">
      <c r="A11" s="32" t="s">
        <v>2866</v>
      </c>
      <c r="B11" s="31" t="str">
        <v>Pimples</v>
      </c>
    </row>
    <row r="12" spans="1:4">
      <c r="A12" s="48" t="s">
        <v>2867</v>
      </c>
      <c r="B12" s="49" t="str">
        <v>No Problems</v>
      </c>
    </row>
    <row r="13" spans="1:4">
      <c r="A13" s="32" t="s">
        <v>2868</v>
      </c>
      <c r="B13" s="31" t="str">
        <v>Fever</v>
      </c>
    </row>
    <row r="14" spans="1:4">
      <c r="A14" s="48" t="s">
        <v>2869</v>
      </c>
      <c r="B14" s="49" t="str">
        <v>Skin</v>
      </c>
    </row>
    <row r="15" spans="1:4">
      <c r="A15" s="22" t="s">
        <v>2870</v>
      </c>
      <c r="B15" s="3" t="str">
        <v>Hygiene Problem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F59C-7A12-41F1-9CEA-6E6F6D4433CC}">
  <sheetPr>
    <tabColor rgb="FF0066CC"/>
  </sheetPr>
  <dimension ref="A1:D570"/>
  <sheetViews>
    <sheetView workbookViewId="0">
      <selection activeCell="F7" sqref="F7"/>
    </sheetView>
  </sheetViews>
  <sheetFormatPr defaultRowHeight="14.4"/>
  <cols>
    <col min="1" max="1" width="18.33203125" customWidth="1"/>
    <col min="2" max="2" width="17" customWidth="1"/>
    <col min="3" max="3" width="28.21875" customWidth="1"/>
    <col min="4" max="4" width="10.109375" customWidth="1"/>
  </cols>
  <sheetData>
    <row r="1" spans="1:4">
      <c r="A1" s="53" t="s">
        <v>2887</v>
      </c>
      <c r="B1" s="51" t="s">
        <v>484</v>
      </c>
      <c r="C1" s="51" t="s">
        <v>13</v>
      </c>
      <c r="D1" s="51" t="s">
        <v>3460</v>
      </c>
    </row>
    <row r="2" spans="1:4">
      <c r="A2" s="52" t="s">
        <v>2888</v>
      </c>
      <c r="B2" s="48" t="s">
        <v>485</v>
      </c>
      <c r="C2" s="48" t="s">
        <v>62</v>
      </c>
      <c r="D2" s="48" t="s">
        <v>3457</v>
      </c>
    </row>
    <row r="3" spans="1:4">
      <c r="A3" s="50" t="s">
        <v>2889</v>
      </c>
      <c r="B3" s="32" t="s">
        <v>486</v>
      </c>
      <c r="C3" s="32" t="s">
        <v>2884</v>
      </c>
      <c r="D3" s="32" t="s">
        <v>3457</v>
      </c>
    </row>
    <row r="4" spans="1:4">
      <c r="A4" s="52" t="s">
        <v>2890</v>
      </c>
      <c r="B4" s="48" t="s">
        <v>487</v>
      </c>
      <c r="C4" s="48" t="s">
        <v>2884</v>
      </c>
      <c r="D4" s="48" t="s">
        <v>3457</v>
      </c>
    </row>
    <row r="5" spans="1:4">
      <c r="A5" s="50" t="s">
        <v>2891</v>
      </c>
      <c r="B5" s="32" t="s">
        <v>488</v>
      </c>
      <c r="C5" s="32" t="s">
        <v>2884</v>
      </c>
      <c r="D5" s="32" t="s">
        <v>3457</v>
      </c>
    </row>
    <row r="6" spans="1:4">
      <c r="A6" s="52" t="s">
        <v>2892</v>
      </c>
      <c r="B6" s="48" t="s">
        <v>489</v>
      </c>
      <c r="C6" s="48" t="s">
        <v>2884</v>
      </c>
      <c r="D6" s="48" t="s">
        <v>3457</v>
      </c>
    </row>
    <row r="7" spans="1:4">
      <c r="A7" s="50" t="s">
        <v>2893</v>
      </c>
      <c r="B7" s="32" t="s">
        <v>490</v>
      </c>
      <c r="C7" s="32" t="s">
        <v>2884</v>
      </c>
      <c r="D7" s="32" t="s">
        <v>3457</v>
      </c>
    </row>
    <row r="8" spans="1:4">
      <c r="A8" s="52" t="s">
        <v>2894</v>
      </c>
      <c r="B8" s="48" t="s">
        <v>491</v>
      </c>
      <c r="C8" s="48" t="s">
        <v>2884</v>
      </c>
      <c r="D8" s="48" t="s">
        <v>3458</v>
      </c>
    </row>
    <row r="9" spans="1:4">
      <c r="A9" s="50" t="s">
        <v>2895</v>
      </c>
      <c r="B9" s="32" t="s">
        <v>492</v>
      </c>
      <c r="C9" s="32" t="s">
        <v>2884</v>
      </c>
      <c r="D9" s="32" t="s">
        <v>3457</v>
      </c>
    </row>
    <row r="10" spans="1:4">
      <c r="A10" s="52" t="s">
        <v>2896</v>
      </c>
      <c r="B10" s="48" t="s">
        <v>493</v>
      </c>
      <c r="C10" s="48" t="s">
        <v>2884</v>
      </c>
      <c r="D10" s="48" t="s">
        <v>3457</v>
      </c>
    </row>
    <row r="11" spans="1:4">
      <c r="A11" s="50" t="s">
        <v>2897</v>
      </c>
      <c r="B11" s="32" t="s">
        <v>494</v>
      </c>
      <c r="C11" s="32" t="s">
        <v>2884</v>
      </c>
      <c r="D11" s="32" t="s">
        <v>3457</v>
      </c>
    </row>
    <row r="12" spans="1:4">
      <c r="A12" s="52" t="s">
        <v>2898</v>
      </c>
      <c r="B12" s="48" t="s">
        <v>495</v>
      </c>
      <c r="C12" s="48" t="s">
        <v>2884</v>
      </c>
      <c r="D12" s="48" t="s">
        <v>3457</v>
      </c>
    </row>
    <row r="13" spans="1:4">
      <c r="A13" s="50" t="s">
        <v>2899</v>
      </c>
      <c r="B13" s="32" t="s">
        <v>496</v>
      </c>
      <c r="C13" s="32" t="s">
        <v>2884</v>
      </c>
      <c r="D13" s="32" t="s">
        <v>3457</v>
      </c>
    </row>
    <row r="14" spans="1:4">
      <c r="A14" s="52" t="s">
        <v>2900</v>
      </c>
      <c r="B14" s="48" t="s">
        <v>497</v>
      </c>
      <c r="C14" s="48" t="s">
        <v>2884</v>
      </c>
      <c r="D14" s="48" t="s">
        <v>3457</v>
      </c>
    </row>
    <row r="15" spans="1:4">
      <c r="A15" s="50" t="s">
        <v>2901</v>
      </c>
      <c r="B15" s="32" t="s">
        <v>498</v>
      </c>
      <c r="C15" s="32" t="s">
        <v>2884</v>
      </c>
      <c r="D15" s="32" t="s">
        <v>3457</v>
      </c>
    </row>
    <row r="16" spans="1:4">
      <c r="A16" s="52" t="s">
        <v>2902</v>
      </c>
      <c r="B16" s="48" t="s">
        <v>499</v>
      </c>
      <c r="C16" s="48" t="s">
        <v>62</v>
      </c>
      <c r="D16" s="48" t="s">
        <v>3457</v>
      </c>
    </row>
    <row r="17" spans="1:4">
      <c r="A17" s="50" t="s">
        <v>2903</v>
      </c>
      <c r="B17" s="32" t="s">
        <v>500</v>
      </c>
      <c r="C17" s="32" t="s">
        <v>62</v>
      </c>
      <c r="D17" s="32" t="s">
        <v>3457</v>
      </c>
    </row>
    <row r="18" spans="1:4">
      <c r="A18" s="52" t="s">
        <v>2904</v>
      </c>
      <c r="B18" s="48" t="s">
        <v>501</v>
      </c>
      <c r="C18" s="48" t="s">
        <v>62</v>
      </c>
      <c r="D18" s="48" t="s">
        <v>3457</v>
      </c>
    </row>
    <row r="19" spans="1:4">
      <c r="A19" s="50" t="s">
        <v>2905</v>
      </c>
      <c r="B19" s="32" t="s">
        <v>502</v>
      </c>
      <c r="C19" s="32" t="s">
        <v>62</v>
      </c>
      <c r="D19" s="32" t="s">
        <v>3458</v>
      </c>
    </row>
    <row r="20" spans="1:4">
      <c r="A20" s="52" t="s">
        <v>2906</v>
      </c>
      <c r="B20" s="48" t="s">
        <v>503</v>
      </c>
      <c r="C20" s="48" t="s">
        <v>62</v>
      </c>
      <c r="D20" s="48" t="s">
        <v>3457</v>
      </c>
    </row>
    <row r="21" spans="1:4">
      <c r="A21" s="50" t="s">
        <v>2907</v>
      </c>
      <c r="B21" s="32" t="s">
        <v>504</v>
      </c>
      <c r="C21" s="32" t="s">
        <v>2886</v>
      </c>
      <c r="D21" s="32" t="s">
        <v>3457</v>
      </c>
    </row>
    <row r="22" spans="1:4">
      <c r="A22" s="52" t="s">
        <v>2908</v>
      </c>
      <c r="B22" s="48" t="s">
        <v>505</v>
      </c>
      <c r="C22" s="48" t="s">
        <v>2886</v>
      </c>
      <c r="D22" s="48" t="s">
        <v>3457</v>
      </c>
    </row>
    <row r="23" spans="1:4">
      <c r="A23" s="50" t="s">
        <v>2909</v>
      </c>
      <c r="B23" s="32" t="s">
        <v>506</v>
      </c>
      <c r="C23" s="32" t="s">
        <v>62</v>
      </c>
      <c r="D23" s="32" t="s">
        <v>3458</v>
      </c>
    </row>
    <row r="24" spans="1:4">
      <c r="A24" s="52" t="s">
        <v>2910</v>
      </c>
      <c r="B24" s="48" t="s">
        <v>507</v>
      </c>
      <c r="C24" s="48" t="s">
        <v>62</v>
      </c>
      <c r="D24" s="48" t="s">
        <v>3457</v>
      </c>
    </row>
    <row r="25" spans="1:4">
      <c r="A25" s="50" t="s">
        <v>2911</v>
      </c>
      <c r="B25" s="32" t="s">
        <v>508</v>
      </c>
      <c r="C25" s="32" t="s">
        <v>62</v>
      </c>
      <c r="D25" s="32" t="s">
        <v>3457</v>
      </c>
    </row>
    <row r="26" spans="1:4">
      <c r="A26" s="52" t="s">
        <v>2912</v>
      </c>
      <c r="B26" s="48" t="s">
        <v>509</v>
      </c>
      <c r="C26" s="48" t="s">
        <v>62</v>
      </c>
      <c r="D26" s="48" t="s">
        <v>3457</v>
      </c>
    </row>
    <row r="27" spans="1:4">
      <c r="A27" s="50" t="s">
        <v>2913</v>
      </c>
      <c r="B27" s="32" t="s">
        <v>510</v>
      </c>
      <c r="C27" s="32" t="s">
        <v>62</v>
      </c>
      <c r="D27" s="32" t="s">
        <v>3457</v>
      </c>
    </row>
    <row r="28" spans="1:4">
      <c r="A28" s="52" t="s">
        <v>2914</v>
      </c>
      <c r="B28" s="48" t="s">
        <v>511</v>
      </c>
      <c r="C28" s="48" t="s">
        <v>62</v>
      </c>
      <c r="D28" s="48" t="s">
        <v>3457</v>
      </c>
    </row>
    <row r="29" spans="1:4">
      <c r="A29" s="50" t="s">
        <v>2915</v>
      </c>
      <c r="B29" s="32" t="s">
        <v>512</v>
      </c>
      <c r="C29" s="32" t="s">
        <v>62</v>
      </c>
      <c r="D29" s="32" t="s">
        <v>3458</v>
      </c>
    </row>
    <row r="30" spans="1:4">
      <c r="A30" s="52" t="s">
        <v>2916</v>
      </c>
      <c r="B30" s="48" t="s">
        <v>513</v>
      </c>
      <c r="C30" s="48" t="s">
        <v>62</v>
      </c>
      <c r="D30" s="48" t="s">
        <v>3457</v>
      </c>
    </row>
    <row r="31" spans="1:4">
      <c r="A31" s="50" t="s">
        <v>2917</v>
      </c>
      <c r="B31" s="32" t="s">
        <v>514</v>
      </c>
      <c r="C31" s="32" t="s">
        <v>2886</v>
      </c>
      <c r="D31" s="32" t="s">
        <v>3457</v>
      </c>
    </row>
    <row r="32" spans="1:4">
      <c r="A32" s="52" t="s">
        <v>2918</v>
      </c>
      <c r="B32" s="48" t="s">
        <v>515</v>
      </c>
      <c r="C32" s="48" t="s">
        <v>2884</v>
      </c>
      <c r="D32" s="48" t="s">
        <v>3457</v>
      </c>
    </row>
    <row r="33" spans="1:4">
      <c r="A33" s="50" t="s">
        <v>2919</v>
      </c>
      <c r="B33" s="32" t="s">
        <v>516</v>
      </c>
      <c r="C33" s="32" t="s">
        <v>62</v>
      </c>
      <c r="D33" s="32" t="s">
        <v>3457</v>
      </c>
    </row>
    <row r="34" spans="1:4">
      <c r="A34" s="52" t="s">
        <v>2920</v>
      </c>
      <c r="B34" s="48" t="s">
        <v>517</v>
      </c>
      <c r="C34" s="48" t="s">
        <v>2884</v>
      </c>
      <c r="D34" s="48" t="s">
        <v>3457</v>
      </c>
    </row>
    <row r="35" spans="1:4">
      <c r="A35" s="50" t="s">
        <v>2921</v>
      </c>
      <c r="B35" s="32" t="s">
        <v>518</v>
      </c>
      <c r="C35" s="32" t="s">
        <v>2884</v>
      </c>
      <c r="D35" s="32" t="s">
        <v>3457</v>
      </c>
    </row>
    <row r="36" spans="1:4">
      <c r="A36" s="52" t="s">
        <v>2922</v>
      </c>
      <c r="B36" s="48" t="s">
        <v>519</v>
      </c>
      <c r="C36" s="48" t="s">
        <v>2884</v>
      </c>
      <c r="D36" s="48" t="s">
        <v>3457</v>
      </c>
    </row>
    <row r="37" spans="1:4">
      <c r="A37" s="50" t="s">
        <v>2923</v>
      </c>
      <c r="B37" s="32" t="s">
        <v>520</v>
      </c>
      <c r="C37" s="32" t="s">
        <v>2884</v>
      </c>
      <c r="D37" s="32" t="s">
        <v>3457</v>
      </c>
    </row>
    <row r="38" spans="1:4">
      <c r="A38" s="52" t="s">
        <v>2924</v>
      </c>
      <c r="B38" s="48" t="s">
        <v>521</v>
      </c>
      <c r="C38" s="48" t="s">
        <v>2884</v>
      </c>
      <c r="D38" s="48" t="s">
        <v>3457</v>
      </c>
    </row>
    <row r="39" spans="1:4">
      <c r="A39" s="50" t="s">
        <v>2925</v>
      </c>
      <c r="B39" s="32" t="s">
        <v>522</v>
      </c>
      <c r="C39" s="32" t="s">
        <v>2884</v>
      </c>
      <c r="D39" s="32" t="s">
        <v>3458</v>
      </c>
    </row>
    <row r="40" spans="1:4">
      <c r="A40" s="52" t="s">
        <v>2926</v>
      </c>
      <c r="B40" s="48" t="s">
        <v>523</v>
      </c>
      <c r="C40" s="48" t="s">
        <v>2884</v>
      </c>
      <c r="D40" s="48" t="s">
        <v>3457</v>
      </c>
    </row>
    <row r="41" spans="1:4">
      <c r="A41" s="50" t="s">
        <v>2927</v>
      </c>
      <c r="B41" s="32" t="s">
        <v>524</v>
      </c>
      <c r="C41" s="32" t="s">
        <v>2884</v>
      </c>
      <c r="D41" s="32" t="s">
        <v>3457</v>
      </c>
    </row>
    <row r="42" spans="1:4">
      <c r="A42" s="52" t="s">
        <v>2928</v>
      </c>
      <c r="B42" s="48" t="s">
        <v>525</v>
      </c>
      <c r="C42" s="48" t="s">
        <v>2884</v>
      </c>
      <c r="D42" s="48" t="s">
        <v>3457</v>
      </c>
    </row>
    <row r="43" spans="1:4">
      <c r="A43" s="50" t="s">
        <v>2929</v>
      </c>
      <c r="B43" s="32" t="s">
        <v>526</v>
      </c>
      <c r="C43" s="32" t="s">
        <v>2884</v>
      </c>
      <c r="D43" s="32" t="s">
        <v>3457</v>
      </c>
    </row>
    <row r="44" spans="1:4">
      <c r="A44" s="52" t="s">
        <v>2930</v>
      </c>
      <c r="B44" s="48" t="s">
        <v>527</v>
      </c>
      <c r="C44" s="48" t="s">
        <v>2884</v>
      </c>
      <c r="D44" s="48" t="s">
        <v>3457</v>
      </c>
    </row>
    <row r="45" spans="1:4">
      <c r="A45" s="50" t="s">
        <v>2931</v>
      </c>
      <c r="B45" s="32" t="s">
        <v>528</v>
      </c>
      <c r="C45" s="32" t="s">
        <v>2884</v>
      </c>
      <c r="D45" s="32" t="s">
        <v>3457</v>
      </c>
    </row>
    <row r="46" spans="1:4">
      <c r="A46" s="52" t="s">
        <v>2932</v>
      </c>
      <c r="B46" s="48" t="s">
        <v>529</v>
      </c>
      <c r="C46" s="48" t="s">
        <v>2884</v>
      </c>
      <c r="D46" s="48" t="s">
        <v>3457</v>
      </c>
    </row>
    <row r="47" spans="1:4">
      <c r="A47" s="50" t="s">
        <v>2933</v>
      </c>
      <c r="B47" s="32" t="s">
        <v>530</v>
      </c>
      <c r="C47" s="32" t="s">
        <v>2884</v>
      </c>
      <c r="D47" s="32" t="s">
        <v>3457</v>
      </c>
    </row>
    <row r="48" spans="1:4">
      <c r="A48" s="52" t="s">
        <v>2934</v>
      </c>
      <c r="B48" s="48" t="s">
        <v>531</v>
      </c>
      <c r="C48" s="48" t="s">
        <v>2884</v>
      </c>
      <c r="D48" s="48" t="s">
        <v>3457</v>
      </c>
    </row>
    <row r="49" spans="1:4">
      <c r="A49" s="50" t="s">
        <v>2935</v>
      </c>
      <c r="B49" s="32" t="s">
        <v>532</v>
      </c>
      <c r="C49" s="32" t="s">
        <v>2884</v>
      </c>
      <c r="D49" s="32" t="s">
        <v>3457</v>
      </c>
    </row>
    <row r="50" spans="1:4">
      <c r="A50" s="52" t="s">
        <v>2936</v>
      </c>
      <c r="B50" s="48" t="s">
        <v>533</v>
      </c>
      <c r="C50" s="48" t="s">
        <v>62</v>
      </c>
      <c r="D50" s="48" t="s">
        <v>3457</v>
      </c>
    </row>
    <row r="51" spans="1:4">
      <c r="A51" s="50" t="s">
        <v>2937</v>
      </c>
      <c r="B51" s="32" t="s">
        <v>534</v>
      </c>
      <c r="C51" s="32" t="s">
        <v>62</v>
      </c>
      <c r="D51" s="32" t="s">
        <v>3457</v>
      </c>
    </row>
    <row r="52" spans="1:4">
      <c r="A52" s="52" t="s">
        <v>2938</v>
      </c>
      <c r="B52" s="48" t="s">
        <v>535</v>
      </c>
      <c r="C52" s="48" t="s">
        <v>62</v>
      </c>
      <c r="D52" s="48" t="s">
        <v>3457</v>
      </c>
    </row>
    <row r="53" spans="1:4">
      <c r="A53" s="50" t="s">
        <v>2939</v>
      </c>
      <c r="B53" s="32" t="s">
        <v>536</v>
      </c>
      <c r="C53" s="32" t="s">
        <v>62</v>
      </c>
      <c r="D53" s="32" t="s">
        <v>3457</v>
      </c>
    </row>
    <row r="54" spans="1:4">
      <c r="A54" s="52" t="s">
        <v>2940</v>
      </c>
      <c r="B54" s="48" t="s">
        <v>537</v>
      </c>
      <c r="C54" s="48" t="s">
        <v>62</v>
      </c>
      <c r="D54" s="48" t="s">
        <v>3457</v>
      </c>
    </row>
    <row r="55" spans="1:4">
      <c r="A55" s="50" t="s">
        <v>2941</v>
      </c>
      <c r="B55" s="32" t="s">
        <v>538</v>
      </c>
      <c r="C55" s="32" t="s">
        <v>62</v>
      </c>
      <c r="D55" s="32" t="s">
        <v>3458</v>
      </c>
    </row>
    <row r="56" spans="1:4">
      <c r="A56" s="52" t="s">
        <v>2942</v>
      </c>
      <c r="B56" s="48" t="s">
        <v>539</v>
      </c>
      <c r="C56" s="48" t="s">
        <v>2885</v>
      </c>
      <c r="D56" s="48" t="s">
        <v>3457</v>
      </c>
    </row>
    <row r="57" spans="1:4">
      <c r="A57" s="50" t="s">
        <v>2943</v>
      </c>
      <c r="B57" s="32" t="s">
        <v>540</v>
      </c>
      <c r="C57" s="32" t="s">
        <v>62</v>
      </c>
      <c r="D57" s="32" t="s">
        <v>3457</v>
      </c>
    </row>
    <row r="58" spans="1:4">
      <c r="A58" s="52" t="s">
        <v>2944</v>
      </c>
      <c r="B58" s="48" t="s">
        <v>541</v>
      </c>
      <c r="C58" s="48" t="s">
        <v>62</v>
      </c>
      <c r="D58" s="48" t="s">
        <v>3457</v>
      </c>
    </row>
    <row r="59" spans="1:4">
      <c r="A59" s="50" t="s">
        <v>2945</v>
      </c>
      <c r="B59" s="32" t="s">
        <v>542</v>
      </c>
      <c r="C59" s="32" t="s">
        <v>62</v>
      </c>
      <c r="D59" s="32" t="s">
        <v>3457</v>
      </c>
    </row>
    <row r="60" spans="1:4">
      <c r="A60" s="52" t="s">
        <v>2946</v>
      </c>
      <c r="B60" s="48" t="s">
        <v>543</v>
      </c>
      <c r="C60" s="48" t="s">
        <v>62</v>
      </c>
      <c r="D60" s="48" t="s">
        <v>3457</v>
      </c>
    </row>
    <row r="61" spans="1:4">
      <c r="A61" s="50" t="s">
        <v>2947</v>
      </c>
      <c r="B61" s="32" t="s">
        <v>544</v>
      </c>
      <c r="C61" s="32" t="s">
        <v>62</v>
      </c>
      <c r="D61" s="32" t="s">
        <v>3457</v>
      </c>
    </row>
    <row r="62" spans="1:4">
      <c r="A62" s="52" t="s">
        <v>2948</v>
      </c>
      <c r="B62" s="48" t="s">
        <v>545</v>
      </c>
      <c r="C62" s="48" t="s">
        <v>62</v>
      </c>
      <c r="D62" s="48" t="s">
        <v>3457</v>
      </c>
    </row>
    <row r="63" spans="1:4">
      <c r="A63" s="50" t="s">
        <v>2949</v>
      </c>
      <c r="B63" s="32" t="s">
        <v>546</v>
      </c>
      <c r="C63" s="32" t="s">
        <v>62</v>
      </c>
      <c r="D63" s="32" t="s">
        <v>3457</v>
      </c>
    </row>
    <row r="64" spans="1:4">
      <c r="A64" s="52" t="s">
        <v>2950</v>
      </c>
      <c r="B64" s="48" t="s">
        <v>547</v>
      </c>
      <c r="C64" s="48" t="s">
        <v>62</v>
      </c>
      <c r="D64" s="48" t="s">
        <v>3457</v>
      </c>
    </row>
    <row r="65" spans="1:4">
      <c r="A65" s="50" t="s">
        <v>2951</v>
      </c>
      <c r="B65" s="32" t="s">
        <v>548</v>
      </c>
      <c r="C65" s="32" t="s">
        <v>62</v>
      </c>
      <c r="D65" s="32" t="s">
        <v>3457</v>
      </c>
    </row>
    <row r="66" spans="1:4">
      <c r="A66" s="52" t="s">
        <v>2952</v>
      </c>
      <c r="B66" s="48" t="s">
        <v>549</v>
      </c>
      <c r="C66" s="48" t="s">
        <v>62</v>
      </c>
      <c r="D66" s="48" t="s">
        <v>3457</v>
      </c>
    </row>
    <row r="67" spans="1:4">
      <c r="A67" s="50" t="s">
        <v>2953</v>
      </c>
      <c r="B67" s="32" t="s">
        <v>550</v>
      </c>
      <c r="C67" s="32" t="s">
        <v>62</v>
      </c>
      <c r="D67" s="32" t="s">
        <v>3457</v>
      </c>
    </row>
    <row r="68" spans="1:4">
      <c r="A68" s="52" t="s">
        <v>2954</v>
      </c>
      <c r="B68" s="48" t="s">
        <v>551</v>
      </c>
      <c r="C68" s="48" t="s">
        <v>62</v>
      </c>
      <c r="D68" s="48" t="s">
        <v>3457</v>
      </c>
    </row>
    <row r="69" spans="1:4">
      <c r="A69" s="50" t="s">
        <v>2955</v>
      </c>
      <c r="B69" s="32" t="s">
        <v>552</v>
      </c>
      <c r="C69" s="32" t="s">
        <v>62</v>
      </c>
      <c r="D69" s="32" t="s">
        <v>3457</v>
      </c>
    </row>
    <row r="70" spans="1:4">
      <c r="A70" s="52" t="s">
        <v>2956</v>
      </c>
      <c r="B70" s="48" t="s">
        <v>553</v>
      </c>
      <c r="C70" s="48" t="s">
        <v>62</v>
      </c>
      <c r="D70" s="48" t="s">
        <v>3457</v>
      </c>
    </row>
    <row r="71" spans="1:4">
      <c r="A71" s="50" t="s">
        <v>2957</v>
      </c>
      <c r="B71" s="32" t="s">
        <v>554</v>
      </c>
      <c r="C71" s="32" t="s">
        <v>62</v>
      </c>
      <c r="D71" s="32" t="s">
        <v>3457</v>
      </c>
    </row>
    <row r="72" spans="1:4">
      <c r="A72" s="52" t="s">
        <v>2958</v>
      </c>
      <c r="B72" s="48" t="s">
        <v>555</v>
      </c>
      <c r="C72" s="48" t="s">
        <v>62</v>
      </c>
      <c r="D72" s="48" t="s">
        <v>3457</v>
      </c>
    </row>
    <row r="73" spans="1:4">
      <c r="A73" s="50" t="s">
        <v>2959</v>
      </c>
      <c r="B73" s="32" t="s">
        <v>556</v>
      </c>
      <c r="C73" s="32" t="s">
        <v>62</v>
      </c>
      <c r="D73" s="32" t="s">
        <v>3458</v>
      </c>
    </row>
    <row r="74" spans="1:4">
      <c r="A74" s="52" t="s">
        <v>2960</v>
      </c>
      <c r="B74" s="48" t="s">
        <v>557</v>
      </c>
      <c r="C74" s="48" t="s">
        <v>62</v>
      </c>
      <c r="D74" s="48" t="s">
        <v>3457</v>
      </c>
    </row>
    <row r="75" spans="1:4">
      <c r="A75" s="50" t="s">
        <v>2961</v>
      </c>
      <c r="B75" s="32" t="s">
        <v>558</v>
      </c>
      <c r="C75" s="32" t="s">
        <v>62</v>
      </c>
      <c r="D75" s="32" t="s">
        <v>3457</v>
      </c>
    </row>
    <row r="76" spans="1:4">
      <c r="A76" s="52" t="s">
        <v>2962</v>
      </c>
      <c r="B76" s="48" t="s">
        <v>559</v>
      </c>
      <c r="C76" s="48" t="s">
        <v>62</v>
      </c>
      <c r="D76" s="48" t="s">
        <v>3457</v>
      </c>
    </row>
    <row r="77" spans="1:4">
      <c r="A77" s="50" t="s">
        <v>2963</v>
      </c>
      <c r="B77" s="32" t="s">
        <v>560</v>
      </c>
      <c r="C77" s="32" t="s">
        <v>62</v>
      </c>
      <c r="D77" s="32" t="s">
        <v>3457</v>
      </c>
    </row>
    <row r="78" spans="1:4">
      <c r="A78" s="52" t="s">
        <v>2964</v>
      </c>
      <c r="B78" s="48" t="s">
        <v>561</v>
      </c>
      <c r="C78" s="48" t="s">
        <v>62</v>
      </c>
      <c r="D78" s="48" t="s">
        <v>3457</v>
      </c>
    </row>
    <row r="79" spans="1:4">
      <c r="A79" s="50" t="s">
        <v>2965</v>
      </c>
      <c r="B79" s="32" t="s">
        <v>562</v>
      </c>
      <c r="C79" s="32" t="s">
        <v>62</v>
      </c>
      <c r="D79" s="32" t="s">
        <v>3458</v>
      </c>
    </row>
    <row r="80" spans="1:4">
      <c r="A80" s="52" t="s">
        <v>2966</v>
      </c>
      <c r="B80" s="48" t="s">
        <v>563</v>
      </c>
      <c r="C80" s="48" t="s">
        <v>62</v>
      </c>
      <c r="D80" s="48" t="s">
        <v>3457</v>
      </c>
    </row>
    <row r="81" spans="1:4">
      <c r="A81" s="50" t="s">
        <v>2967</v>
      </c>
      <c r="B81" s="32" t="s">
        <v>564</v>
      </c>
      <c r="C81" s="32" t="s">
        <v>2886</v>
      </c>
      <c r="D81" s="32" t="s">
        <v>3457</v>
      </c>
    </row>
    <row r="82" spans="1:4">
      <c r="A82" s="52" t="s">
        <v>2968</v>
      </c>
      <c r="B82" s="48" t="s">
        <v>565</v>
      </c>
      <c r="C82" s="48" t="s">
        <v>62</v>
      </c>
      <c r="D82" s="48" t="s">
        <v>3458</v>
      </c>
    </row>
    <row r="83" spans="1:4">
      <c r="A83" s="50" t="s">
        <v>2969</v>
      </c>
      <c r="B83" s="32" t="s">
        <v>566</v>
      </c>
      <c r="C83" s="32" t="s">
        <v>62</v>
      </c>
      <c r="D83" s="32" t="s">
        <v>3457</v>
      </c>
    </row>
    <row r="84" spans="1:4">
      <c r="A84" s="52" t="s">
        <v>2970</v>
      </c>
      <c r="B84" s="48" t="s">
        <v>567</v>
      </c>
      <c r="C84" s="48" t="s">
        <v>62</v>
      </c>
      <c r="D84" s="48" t="s">
        <v>3457</v>
      </c>
    </row>
    <row r="85" spans="1:4">
      <c r="A85" s="50" t="s">
        <v>2971</v>
      </c>
      <c r="B85" s="32" t="s">
        <v>568</v>
      </c>
      <c r="C85" s="32" t="s">
        <v>62</v>
      </c>
      <c r="D85" s="32" t="s">
        <v>3457</v>
      </c>
    </row>
    <row r="86" spans="1:4">
      <c r="A86" s="52" t="s">
        <v>2972</v>
      </c>
      <c r="B86" s="48" t="s">
        <v>569</v>
      </c>
      <c r="C86" s="48" t="s">
        <v>62</v>
      </c>
      <c r="D86" s="48" t="s">
        <v>3457</v>
      </c>
    </row>
    <row r="87" spans="1:4">
      <c r="A87" s="50" t="s">
        <v>2973</v>
      </c>
      <c r="B87" s="32" t="s">
        <v>570</v>
      </c>
      <c r="C87" s="32" t="s">
        <v>62</v>
      </c>
      <c r="D87" s="32" t="s">
        <v>3457</v>
      </c>
    </row>
    <row r="88" spans="1:4">
      <c r="A88" s="52" t="s">
        <v>2974</v>
      </c>
      <c r="B88" s="48" t="s">
        <v>571</v>
      </c>
      <c r="C88" s="48" t="s">
        <v>62</v>
      </c>
      <c r="D88" s="48" t="s">
        <v>3458</v>
      </c>
    </row>
    <row r="89" spans="1:4">
      <c r="A89" s="50" t="s">
        <v>2975</v>
      </c>
      <c r="B89" s="32" t="s">
        <v>572</v>
      </c>
      <c r="C89" s="32" t="s">
        <v>62</v>
      </c>
      <c r="D89" s="32" t="s">
        <v>3457</v>
      </c>
    </row>
    <row r="90" spans="1:4">
      <c r="A90" s="52" t="s">
        <v>2976</v>
      </c>
      <c r="B90" s="48" t="s">
        <v>573</v>
      </c>
      <c r="C90" s="48" t="s">
        <v>2886</v>
      </c>
      <c r="D90" s="48" t="s">
        <v>3457</v>
      </c>
    </row>
    <row r="91" spans="1:4">
      <c r="A91" s="50" t="s">
        <v>2977</v>
      </c>
      <c r="B91" s="32" t="s">
        <v>574</v>
      </c>
      <c r="C91" s="32" t="s">
        <v>62</v>
      </c>
      <c r="D91" s="32" t="s">
        <v>3458</v>
      </c>
    </row>
    <row r="92" spans="1:4">
      <c r="A92" s="52" t="s">
        <v>2978</v>
      </c>
      <c r="B92" s="48" t="s">
        <v>575</v>
      </c>
      <c r="C92" s="48" t="s">
        <v>62</v>
      </c>
      <c r="D92" s="48" t="s">
        <v>3458</v>
      </c>
    </row>
    <row r="93" spans="1:4">
      <c r="A93" s="50" t="s">
        <v>2979</v>
      </c>
      <c r="B93" s="32" t="s">
        <v>576</v>
      </c>
      <c r="C93" s="32" t="s">
        <v>62</v>
      </c>
      <c r="D93" s="32" t="s">
        <v>3458</v>
      </c>
    </row>
    <row r="94" spans="1:4">
      <c r="A94" s="52" t="s">
        <v>2980</v>
      </c>
      <c r="B94" s="48" t="s">
        <v>577</v>
      </c>
      <c r="C94" s="48" t="s">
        <v>62</v>
      </c>
      <c r="D94" s="48" t="s">
        <v>3458</v>
      </c>
    </row>
    <row r="95" spans="1:4">
      <c r="A95" s="50" t="s">
        <v>2981</v>
      </c>
      <c r="B95" s="32" t="s">
        <v>578</v>
      </c>
      <c r="C95" s="32" t="s">
        <v>62</v>
      </c>
      <c r="D95" s="32" t="s">
        <v>3458</v>
      </c>
    </row>
    <row r="96" spans="1:4">
      <c r="A96" s="52" t="s">
        <v>2982</v>
      </c>
      <c r="B96" s="48" t="s">
        <v>579</v>
      </c>
      <c r="C96" s="48" t="s">
        <v>62</v>
      </c>
      <c r="D96" s="48" t="s">
        <v>3458</v>
      </c>
    </row>
    <row r="97" spans="1:4">
      <c r="A97" s="50" t="s">
        <v>2983</v>
      </c>
      <c r="B97" s="32" t="s">
        <v>580</v>
      </c>
      <c r="C97" s="32" t="s">
        <v>62</v>
      </c>
      <c r="D97" s="32" t="s">
        <v>3458</v>
      </c>
    </row>
    <row r="98" spans="1:4">
      <c r="A98" s="52" t="s">
        <v>2984</v>
      </c>
      <c r="B98" s="48" t="s">
        <v>581</v>
      </c>
      <c r="C98" s="48" t="s">
        <v>62</v>
      </c>
      <c r="D98" s="48" t="s">
        <v>3458</v>
      </c>
    </row>
    <row r="99" spans="1:4">
      <c r="A99" s="50" t="s">
        <v>2985</v>
      </c>
      <c r="B99" s="32" t="s">
        <v>582</v>
      </c>
      <c r="C99" s="32" t="s">
        <v>2886</v>
      </c>
      <c r="D99" s="32" t="s">
        <v>3458</v>
      </c>
    </row>
    <row r="100" spans="1:4">
      <c r="A100" s="52" t="s">
        <v>2986</v>
      </c>
      <c r="B100" s="48" t="s">
        <v>583</v>
      </c>
      <c r="C100" s="48" t="s">
        <v>62</v>
      </c>
      <c r="D100" s="48" t="s">
        <v>3458</v>
      </c>
    </row>
    <row r="101" spans="1:4">
      <c r="A101" s="50" t="s">
        <v>2987</v>
      </c>
      <c r="B101" s="32" t="s">
        <v>584</v>
      </c>
      <c r="C101" s="32" t="s">
        <v>62</v>
      </c>
      <c r="D101" s="32" t="s">
        <v>3458</v>
      </c>
    </row>
    <row r="102" spans="1:4">
      <c r="A102" s="52" t="s">
        <v>2988</v>
      </c>
      <c r="B102" s="48" t="s">
        <v>585</v>
      </c>
      <c r="C102" s="48" t="s">
        <v>62</v>
      </c>
      <c r="D102" s="48" t="s">
        <v>3457</v>
      </c>
    </row>
    <row r="103" spans="1:4">
      <c r="A103" s="50" t="s">
        <v>2989</v>
      </c>
      <c r="B103" s="32" t="s">
        <v>586</v>
      </c>
      <c r="C103" s="32" t="s">
        <v>62</v>
      </c>
      <c r="D103" s="32" t="s">
        <v>3457</v>
      </c>
    </row>
    <row r="104" spans="1:4">
      <c r="A104" s="52" t="s">
        <v>2990</v>
      </c>
      <c r="B104" s="48" t="s">
        <v>587</v>
      </c>
      <c r="C104" s="48" t="s">
        <v>62</v>
      </c>
      <c r="D104" s="48" t="s">
        <v>3457</v>
      </c>
    </row>
    <row r="105" spans="1:4">
      <c r="A105" s="50" t="s">
        <v>2991</v>
      </c>
      <c r="B105" s="32" t="s">
        <v>588</v>
      </c>
      <c r="C105" s="32" t="s">
        <v>62</v>
      </c>
      <c r="D105" s="32" t="s">
        <v>3457</v>
      </c>
    </row>
    <row r="106" spans="1:4">
      <c r="A106" s="52" t="s">
        <v>2992</v>
      </c>
      <c r="B106" s="48" t="s">
        <v>589</v>
      </c>
      <c r="C106" s="48" t="s">
        <v>62</v>
      </c>
      <c r="D106" s="48" t="s">
        <v>3458</v>
      </c>
    </row>
    <row r="107" spans="1:4">
      <c r="A107" s="50" t="s">
        <v>2993</v>
      </c>
      <c r="B107" s="32" t="s">
        <v>590</v>
      </c>
      <c r="C107" s="32" t="s">
        <v>62</v>
      </c>
      <c r="D107" s="32" t="s">
        <v>3457</v>
      </c>
    </row>
    <row r="108" spans="1:4">
      <c r="A108" s="52" t="s">
        <v>2994</v>
      </c>
      <c r="B108" s="48" t="s">
        <v>591</v>
      </c>
      <c r="C108" s="48" t="s">
        <v>2886</v>
      </c>
      <c r="D108" s="48" t="s">
        <v>3457</v>
      </c>
    </row>
    <row r="109" spans="1:4">
      <c r="A109" s="50" t="s">
        <v>2995</v>
      </c>
      <c r="B109" s="32" t="s">
        <v>592</v>
      </c>
      <c r="C109" s="32" t="s">
        <v>62</v>
      </c>
      <c r="D109" s="32" t="s">
        <v>3458</v>
      </c>
    </row>
    <row r="110" spans="1:4">
      <c r="A110" s="52" t="s">
        <v>2996</v>
      </c>
      <c r="B110" s="48" t="s">
        <v>593</v>
      </c>
      <c r="C110" s="48" t="s">
        <v>62</v>
      </c>
      <c r="D110" s="48" t="s">
        <v>3458</v>
      </c>
    </row>
    <row r="111" spans="1:4">
      <c r="A111" s="50" t="s">
        <v>2997</v>
      </c>
      <c r="B111" s="32" t="s">
        <v>594</v>
      </c>
      <c r="C111" s="32" t="s">
        <v>62</v>
      </c>
      <c r="D111" s="32" t="s">
        <v>3458</v>
      </c>
    </row>
    <row r="112" spans="1:4">
      <c r="A112" s="52" t="s">
        <v>2998</v>
      </c>
      <c r="B112" s="48" t="s">
        <v>595</v>
      </c>
      <c r="C112" s="48" t="s">
        <v>62</v>
      </c>
      <c r="D112" s="48" t="s">
        <v>3457</v>
      </c>
    </row>
    <row r="113" spans="1:4">
      <c r="A113" s="50" t="s">
        <v>2999</v>
      </c>
      <c r="B113" s="32" t="s">
        <v>596</v>
      </c>
      <c r="C113" s="32" t="s">
        <v>2884</v>
      </c>
      <c r="D113" s="32" t="s">
        <v>3457</v>
      </c>
    </row>
    <row r="114" spans="1:4">
      <c r="A114" s="52" t="s">
        <v>3000</v>
      </c>
      <c r="B114" s="48" t="s">
        <v>597</v>
      </c>
      <c r="C114" s="48" t="s">
        <v>62</v>
      </c>
      <c r="D114" s="48" t="s">
        <v>3457</v>
      </c>
    </row>
    <row r="115" spans="1:4">
      <c r="A115" s="50" t="s">
        <v>3001</v>
      </c>
      <c r="B115" s="32" t="s">
        <v>598</v>
      </c>
      <c r="C115" s="32" t="s">
        <v>62</v>
      </c>
      <c r="D115" s="32" t="s">
        <v>3457</v>
      </c>
    </row>
    <row r="116" spans="1:4">
      <c r="A116" s="52" t="s">
        <v>3002</v>
      </c>
      <c r="B116" s="48" t="s">
        <v>599</v>
      </c>
      <c r="C116" s="48" t="s">
        <v>62</v>
      </c>
      <c r="D116" s="48" t="s">
        <v>3457</v>
      </c>
    </row>
    <row r="117" spans="1:4">
      <c r="A117" s="50" t="s">
        <v>3003</v>
      </c>
      <c r="B117" s="32" t="s">
        <v>600</v>
      </c>
      <c r="C117" s="32" t="s">
        <v>62</v>
      </c>
      <c r="D117" s="32" t="s">
        <v>3457</v>
      </c>
    </row>
    <row r="118" spans="1:4">
      <c r="A118" s="52" t="s">
        <v>3004</v>
      </c>
      <c r="B118" s="48" t="s">
        <v>601</v>
      </c>
      <c r="C118" s="48" t="s">
        <v>62</v>
      </c>
      <c r="D118" s="48" t="s">
        <v>3457</v>
      </c>
    </row>
    <row r="119" spans="1:4">
      <c r="A119" s="50" t="s">
        <v>3005</v>
      </c>
      <c r="B119" s="32" t="s">
        <v>602</v>
      </c>
      <c r="C119" s="32" t="s">
        <v>62</v>
      </c>
      <c r="D119" s="32" t="s">
        <v>3457</v>
      </c>
    </row>
    <row r="120" spans="1:4">
      <c r="A120" s="52" t="s">
        <v>3006</v>
      </c>
      <c r="B120" s="48" t="s">
        <v>603</v>
      </c>
      <c r="C120" s="48" t="s">
        <v>62</v>
      </c>
      <c r="D120" s="48" t="s">
        <v>3457</v>
      </c>
    </row>
    <row r="121" spans="1:4">
      <c r="A121" s="50" t="s">
        <v>3007</v>
      </c>
      <c r="B121" s="32" t="s">
        <v>604</v>
      </c>
      <c r="C121" s="32" t="s">
        <v>62</v>
      </c>
      <c r="D121" s="32" t="s">
        <v>3457</v>
      </c>
    </row>
    <row r="122" spans="1:4">
      <c r="A122" s="52" t="s">
        <v>3008</v>
      </c>
      <c r="B122" s="48" t="s">
        <v>605</v>
      </c>
      <c r="C122" s="48" t="s">
        <v>62</v>
      </c>
      <c r="D122" s="48" t="s">
        <v>3457</v>
      </c>
    </row>
    <row r="123" spans="1:4">
      <c r="A123" s="50" t="s">
        <v>3009</v>
      </c>
      <c r="B123" s="32" t="s">
        <v>606</v>
      </c>
      <c r="C123" s="32" t="s">
        <v>62</v>
      </c>
      <c r="D123" s="32" t="s">
        <v>3457</v>
      </c>
    </row>
    <row r="124" spans="1:4">
      <c r="A124" s="52" t="s">
        <v>3010</v>
      </c>
      <c r="B124" s="48" t="s">
        <v>607</v>
      </c>
      <c r="C124" s="48" t="s">
        <v>62</v>
      </c>
      <c r="D124" s="48" t="s">
        <v>3457</v>
      </c>
    </row>
    <row r="125" spans="1:4">
      <c r="A125" s="50" t="s">
        <v>3011</v>
      </c>
      <c r="B125" s="32" t="s">
        <v>608</v>
      </c>
      <c r="C125" s="32" t="s">
        <v>62</v>
      </c>
      <c r="D125" s="32" t="s">
        <v>3457</v>
      </c>
    </row>
    <row r="126" spans="1:4">
      <c r="A126" s="52" t="s">
        <v>3012</v>
      </c>
      <c r="B126" s="48" t="s">
        <v>609</v>
      </c>
      <c r="C126" s="48" t="s">
        <v>62</v>
      </c>
      <c r="D126" s="48" t="s">
        <v>3457</v>
      </c>
    </row>
    <row r="127" spans="1:4">
      <c r="A127" s="50" t="s">
        <v>3013</v>
      </c>
      <c r="B127" s="32" t="s">
        <v>610</v>
      </c>
      <c r="C127" s="32" t="s">
        <v>62</v>
      </c>
      <c r="D127" s="32" t="s">
        <v>3457</v>
      </c>
    </row>
    <row r="128" spans="1:4">
      <c r="A128" s="52" t="s">
        <v>3014</v>
      </c>
      <c r="B128" s="48" t="s">
        <v>611</v>
      </c>
      <c r="C128" s="48" t="s">
        <v>62</v>
      </c>
      <c r="D128" s="48" t="s">
        <v>3458</v>
      </c>
    </row>
    <row r="129" spans="1:4">
      <c r="A129" s="50" t="s">
        <v>3015</v>
      </c>
      <c r="B129" s="32" t="s">
        <v>612</v>
      </c>
      <c r="C129" s="32" t="s">
        <v>2885</v>
      </c>
      <c r="D129" s="32" t="s">
        <v>3457</v>
      </c>
    </row>
    <row r="130" spans="1:4">
      <c r="A130" s="52" t="s">
        <v>3016</v>
      </c>
      <c r="B130" s="48" t="s">
        <v>613</v>
      </c>
      <c r="C130" s="48" t="s">
        <v>2884</v>
      </c>
      <c r="D130" s="48" t="s">
        <v>3457</v>
      </c>
    </row>
    <row r="131" spans="1:4">
      <c r="A131" s="50" t="s">
        <v>3017</v>
      </c>
      <c r="B131" s="32" t="s">
        <v>614</v>
      </c>
      <c r="C131" s="32" t="s">
        <v>62</v>
      </c>
      <c r="D131" s="32" t="s">
        <v>3457</v>
      </c>
    </row>
    <row r="132" spans="1:4">
      <c r="A132" s="52" t="s">
        <v>3018</v>
      </c>
      <c r="B132" s="48" t="s">
        <v>615</v>
      </c>
      <c r="C132" s="48" t="s">
        <v>62</v>
      </c>
      <c r="D132" s="48" t="s">
        <v>3457</v>
      </c>
    </row>
    <row r="133" spans="1:4">
      <c r="A133" s="50" t="s">
        <v>3019</v>
      </c>
      <c r="B133" s="32" t="s">
        <v>616</v>
      </c>
      <c r="C133" s="32" t="s">
        <v>62</v>
      </c>
      <c r="D133" s="32" t="s">
        <v>3458</v>
      </c>
    </row>
    <row r="134" spans="1:4">
      <c r="A134" s="52" t="s">
        <v>3020</v>
      </c>
      <c r="B134" s="48" t="s">
        <v>617</v>
      </c>
      <c r="C134" s="48" t="s">
        <v>62</v>
      </c>
      <c r="D134" s="48" t="s">
        <v>3457</v>
      </c>
    </row>
    <row r="135" spans="1:4">
      <c r="A135" s="50" t="s">
        <v>3021</v>
      </c>
      <c r="B135" s="32" t="s">
        <v>618</v>
      </c>
      <c r="C135" s="32" t="s">
        <v>62</v>
      </c>
      <c r="D135" s="32" t="s">
        <v>3457</v>
      </c>
    </row>
    <row r="136" spans="1:4">
      <c r="A136" s="52" t="s">
        <v>3022</v>
      </c>
      <c r="B136" s="48" t="s">
        <v>619</v>
      </c>
      <c r="C136" s="48" t="s">
        <v>62</v>
      </c>
      <c r="D136" s="48" t="s">
        <v>3457</v>
      </c>
    </row>
    <row r="137" spans="1:4">
      <c r="A137" s="50" t="s">
        <v>3023</v>
      </c>
      <c r="B137" s="32" t="s">
        <v>620</v>
      </c>
      <c r="C137" s="32" t="s">
        <v>2884</v>
      </c>
      <c r="D137" s="32" t="s">
        <v>3457</v>
      </c>
    </row>
    <row r="138" spans="1:4">
      <c r="A138" s="52" t="s">
        <v>3024</v>
      </c>
      <c r="B138" s="48" t="s">
        <v>621</v>
      </c>
      <c r="C138" s="48" t="s">
        <v>62</v>
      </c>
      <c r="D138" s="48" t="s">
        <v>3457</v>
      </c>
    </row>
    <row r="139" spans="1:4">
      <c r="A139" s="50" t="s">
        <v>3025</v>
      </c>
      <c r="B139" s="32" t="s">
        <v>622</v>
      </c>
      <c r="C139" s="32" t="s">
        <v>62</v>
      </c>
      <c r="D139" s="32" t="s">
        <v>3457</v>
      </c>
    </row>
    <row r="140" spans="1:4">
      <c r="A140" s="52" t="s">
        <v>3026</v>
      </c>
      <c r="B140" s="48" t="s">
        <v>623</v>
      </c>
      <c r="C140" s="48" t="s">
        <v>62</v>
      </c>
      <c r="D140" s="48" t="s">
        <v>3457</v>
      </c>
    </row>
    <row r="141" spans="1:4">
      <c r="A141" s="50" t="s">
        <v>3027</v>
      </c>
      <c r="B141" s="32" t="s">
        <v>624</v>
      </c>
      <c r="C141" s="32" t="s">
        <v>62</v>
      </c>
      <c r="D141" s="32" t="s">
        <v>3457</v>
      </c>
    </row>
    <row r="142" spans="1:4">
      <c r="A142" s="52" t="s">
        <v>3028</v>
      </c>
      <c r="B142" s="48" t="s">
        <v>625</v>
      </c>
      <c r="C142" s="48" t="s">
        <v>62</v>
      </c>
      <c r="D142" s="48" t="s">
        <v>3457</v>
      </c>
    </row>
    <row r="143" spans="1:4">
      <c r="A143" s="50" t="s">
        <v>3029</v>
      </c>
      <c r="B143" s="32" t="s">
        <v>626</v>
      </c>
      <c r="C143" s="32" t="s">
        <v>62</v>
      </c>
      <c r="D143" s="32" t="s">
        <v>3457</v>
      </c>
    </row>
    <row r="144" spans="1:4">
      <c r="A144" s="52" t="s">
        <v>3030</v>
      </c>
      <c r="B144" s="48" t="s">
        <v>627</v>
      </c>
      <c r="C144" s="48" t="s">
        <v>62</v>
      </c>
      <c r="D144" s="48" t="s">
        <v>3457</v>
      </c>
    </row>
    <row r="145" spans="1:4">
      <c r="A145" s="50" t="s">
        <v>3031</v>
      </c>
      <c r="B145" s="32" t="s">
        <v>628</v>
      </c>
      <c r="C145" s="32" t="s">
        <v>62</v>
      </c>
      <c r="D145" s="32" t="s">
        <v>3457</v>
      </c>
    </row>
    <row r="146" spans="1:4">
      <c r="A146" s="52" t="s">
        <v>3032</v>
      </c>
      <c r="B146" s="48" t="s">
        <v>629</v>
      </c>
      <c r="C146" s="48" t="s">
        <v>62</v>
      </c>
      <c r="D146" s="48" t="s">
        <v>3457</v>
      </c>
    </row>
    <row r="147" spans="1:4">
      <c r="A147" s="50" t="s">
        <v>3033</v>
      </c>
      <c r="B147" s="32" t="s">
        <v>630</v>
      </c>
      <c r="C147" s="32" t="s">
        <v>62</v>
      </c>
      <c r="D147" s="32" t="s">
        <v>3457</v>
      </c>
    </row>
    <row r="148" spans="1:4">
      <c r="A148" s="52" t="s">
        <v>3034</v>
      </c>
      <c r="B148" s="48" t="s">
        <v>631</v>
      </c>
      <c r="C148" s="48" t="s">
        <v>62</v>
      </c>
      <c r="D148" s="48" t="s">
        <v>3457</v>
      </c>
    </row>
    <row r="149" spans="1:4">
      <c r="A149" s="50" t="s">
        <v>3035</v>
      </c>
      <c r="B149" s="32" t="s">
        <v>632</v>
      </c>
      <c r="C149" s="32" t="s">
        <v>62</v>
      </c>
      <c r="D149" s="32" t="s">
        <v>3457</v>
      </c>
    </row>
    <row r="150" spans="1:4">
      <c r="A150" s="52" t="s">
        <v>3036</v>
      </c>
      <c r="B150" s="48" t="s">
        <v>633</v>
      </c>
      <c r="C150" s="48" t="s">
        <v>62</v>
      </c>
      <c r="D150" s="48" t="s">
        <v>3457</v>
      </c>
    </row>
    <row r="151" spans="1:4">
      <c r="A151" s="50" t="s">
        <v>3037</v>
      </c>
      <c r="B151" s="32" t="s">
        <v>634</v>
      </c>
      <c r="C151" s="32" t="s">
        <v>62</v>
      </c>
      <c r="D151" s="32" t="s">
        <v>3457</v>
      </c>
    </row>
    <row r="152" spans="1:4">
      <c r="A152" s="52" t="s">
        <v>3038</v>
      </c>
      <c r="B152" s="48" t="s">
        <v>635</v>
      </c>
      <c r="C152" s="48" t="s">
        <v>62</v>
      </c>
      <c r="D152" s="48" t="s">
        <v>3458</v>
      </c>
    </row>
    <row r="153" spans="1:4">
      <c r="A153" s="50" t="s">
        <v>3039</v>
      </c>
      <c r="B153" s="32" t="s">
        <v>636</v>
      </c>
      <c r="C153" s="32" t="s">
        <v>2885</v>
      </c>
      <c r="D153" s="32" t="s">
        <v>3457</v>
      </c>
    </row>
    <row r="154" spans="1:4">
      <c r="A154" s="52" t="s">
        <v>3040</v>
      </c>
      <c r="B154" s="48" t="s">
        <v>637</v>
      </c>
      <c r="C154" s="48" t="s">
        <v>2884</v>
      </c>
      <c r="D154" s="48" t="s">
        <v>3457</v>
      </c>
    </row>
    <row r="155" spans="1:4">
      <c r="A155" s="50" t="s">
        <v>3041</v>
      </c>
      <c r="B155" s="32" t="s">
        <v>638</v>
      </c>
      <c r="C155" s="32" t="s">
        <v>62</v>
      </c>
      <c r="D155" s="32" t="s">
        <v>3457</v>
      </c>
    </row>
    <row r="156" spans="1:4">
      <c r="A156" s="52" t="s">
        <v>3042</v>
      </c>
      <c r="B156" s="48" t="s">
        <v>639</v>
      </c>
      <c r="C156" s="48" t="s">
        <v>62</v>
      </c>
      <c r="D156" s="48" t="s">
        <v>3457</v>
      </c>
    </row>
    <row r="157" spans="1:4">
      <c r="A157" s="50" t="s">
        <v>3043</v>
      </c>
      <c r="B157" s="32" t="s">
        <v>640</v>
      </c>
      <c r="C157" s="32" t="s">
        <v>62</v>
      </c>
      <c r="D157" s="32" t="s">
        <v>3458</v>
      </c>
    </row>
    <row r="158" spans="1:4">
      <c r="A158" s="52" t="s">
        <v>3044</v>
      </c>
      <c r="B158" s="48" t="s">
        <v>641</v>
      </c>
      <c r="C158" s="48" t="s">
        <v>62</v>
      </c>
      <c r="D158" s="48" t="s">
        <v>3457</v>
      </c>
    </row>
    <row r="159" spans="1:4">
      <c r="A159" s="50" t="s">
        <v>3045</v>
      </c>
      <c r="B159" s="32" t="s">
        <v>642</v>
      </c>
      <c r="C159" s="32" t="s">
        <v>62</v>
      </c>
      <c r="D159" s="32" t="s">
        <v>3457</v>
      </c>
    </row>
    <row r="160" spans="1:4">
      <c r="A160" s="52" t="s">
        <v>3046</v>
      </c>
      <c r="B160" s="48" t="s">
        <v>643</v>
      </c>
      <c r="C160" s="48" t="s">
        <v>62</v>
      </c>
      <c r="D160" s="48" t="s">
        <v>3457</v>
      </c>
    </row>
    <row r="161" spans="1:4">
      <c r="A161" s="50" t="s">
        <v>3047</v>
      </c>
      <c r="B161" s="32" t="s">
        <v>644</v>
      </c>
      <c r="C161" s="32" t="s">
        <v>2884</v>
      </c>
      <c r="D161" s="32" t="s">
        <v>3457</v>
      </c>
    </row>
    <row r="162" spans="1:4">
      <c r="A162" s="52" t="s">
        <v>3048</v>
      </c>
      <c r="B162" s="48" t="s">
        <v>645</v>
      </c>
      <c r="C162" s="48" t="s">
        <v>62</v>
      </c>
      <c r="D162" s="48" t="s">
        <v>3457</v>
      </c>
    </row>
    <row r="163" spans="1:4">
      <c r="A163" s="50" t="s">
        <v>3049</v>
      </c>
      <c r="B163" s="32" t="s">
        <v>646</v>
      </c>
      <c r="C163" s="32" t="s">
        <v>62</v>
      </c>
      <c r="D163" s="32" t="s">
        <v>3457</v>
      </c>
    </row>
    <row r="164" spans="1:4">
      <c r="A164" s="52" t="s">
        <v>3050</v>
      </c>
      <c r="B164" s="48" t="s">
        <v>647</v>
      </c>
      <c r="C164" s="48" t="s">
        <v>62</v>
      </c>
      <c r="D164" s="48" t="s">
        <v>3457</v>
      </c>
    </row>
    <row r="165" spans="1:4">
      <c r="A165" s="50" t="s">
        <v>3051</v>
      </c>
      <c r="B165" s="32" t="s">
        <v>648</v>
      </c>
      <c r="C165" s="32" t="s">
        <v>62</v>
      </c>
      <c r="D165" s="32" t="s">
        <v>3457</v>
      </c>
    </row>
    <row r="166" spans="1:4">
      <c r="A166" s="52" t="s">
        <v>3052</v>
      </c>
      <c r="B166" s="48" t="s">
        <v>649</v>
      </c>
      <c r="C166" s="48" t="s">
        <v>62</v>
      </c>
      <c r="D166" s="48" t="s">
        <v>3457</v>
      </c>
    </row>
    <row r="167" spans="1:4">
      <c r="A167" s="50" t="s">
        <v>3053</v>
      </c>
      <c r="B167" s="32" t="s">
        <v>650</v>
      </c>
      <c r="C167" s="32" t="s">
        <v>62</v>
      </c>
      <c r="D167" s="32" t="s">
        <v>3457</v>
      </c>
    </row>
    <row r="168" spans="1:4">
      <c r="A168" s="52" t="s">
        <v>3054</v>
      </c>
      <c r="B168" s="48" t="s">
        <v>651</v>
      </c>
      <c r="C168" s="48" t="s">
        <v>62</v>
      </c>
      <c r="D168" s="48" t="s">
        <v>3457</v>
      </c>
    </row>
    <row r="169" spans="1:4">
      <c r="A169" s="50" t="s">
        <v>3055</v>
      </c>
      <c r="B169" s="32" t="s">
        <v>652</v>
      </c>
      <c r="C169" s="32" t="s">
        <v>62</v>
      </c>
      <c r="D169" s="32" t="s">
        <v>3457</v>
      </c>
    </row>
    <row r="170" spans="1:4">
      <c r="A170" s="52" t="s">
        <v>3056</v>
      </c>
      <c r="B170" s="48" t="s">
        <v>653</v>
      </c>
      <c r="C170" s="48" t="s">
        <v>62</v>
      </c>
      <c r="D170" s="48" t="s">
        <v>3457</v>
      </c>
    </row>
    <row r="171" spans="1:4">
      <c r="A171" s="50" t="s">
        <v>3057</v>
      </c>
      <c r="B171" s="32" t="s">
        <v>654</v>
      </c>
      <c r="C171" s="32" t="s">
        <v>62</v>
      </c>
      <c r="D171" s="32" t="s">
        <v>3457</v>
      </c>
    </row>
    <row r="172" spans="1:4">
      <c r="A172" s="52" t="s">
        <v>3058</v>
      </c>
      <c r="B172" s="48" t="s">
        <v>655</v>
      </c>
      <c r="C172" s="48" t="s">
        <v>62</v>
      </c>
      <c r="D172" s="48" t="s">
        <v>3457</v>
      </c>
    </row>
    <row r="173" spans="1:4">
      <c r="A173" s="50" t="s">
        <v>3059</v>
      </c>
      <c r="B173" s="32" t="s">
        <v>656</v>
      </c>
      <c r="C173" s="32" t="s">
        <v>62</v>
      </c>
      <c r="D173" s="32" t="s">
        <v>3457</v>
      </c>
    </row>
    <row r="174" spans="1:4">
      <c r="A174" s="52" t="s">
        <v>3060</v>
      </c>
      <c r="B174" s="48" t="s">
        <v>657</v>
      </c>
      <c r="C174" s="48" t="s">
        <v>62</v>
      </c>
      <c r="D174" s="48" t="s">
        <v>3457</v>
      </c>
    </row>
    <row r="175" spans="1:4">
      <c r="A175" s="50" t="s">
        <v>3061</v>
      </c>
      <c r="B175" s="32" t="s">
        <v>658</v>
      </c>
      <c r="C175" s="32" t="s">
        <v>62</v>
      </c>
      <c r="D175" s="32" t="s">
        <v>3457</v>
      </c>
    </row>
    <row r="176" spans="1:4">
      <c r="A176" s="52" t="s">
        <v>3062</v>
      </c>
      <c r="B176" s="48" t="s">
        <v>659</v>
      </c>
      <c r="C176" s="48" t="s">
        <v>62</v>
      </c>
      <c r="D176" s="48" t="s">
        <v>3458</v>
      </c>
    </row>
    <row r="177" spans="1:4">
      <c r="A177" s="50" t="s">
        <v>3063</v>
      </c>
      <c r="B177" s="32" t="s">
        <v>660</v>
      </c>
      <c r="C177" s="32" t="s">
        <v>2885</v>
      </c>
      <c r="D177" s="32" t="s">
        <v>3457</v>
      </c>
    </row>
    <row r="178" spans="1:4">
      <c r="A178" s="52" t="s">
        <v>3064</v>
      </c>
      <c r="B178" s="48" t="s">
        <v>661</v>
      </c>
      <c r="C178" s="48" t="s">
        <v>2884</v>
      </c>
      <c r="D178" s="48" t="s">
        <v>3457</v>
      </c>
    </row>
    <row r="179" spans="1:4">
      <c r="A179" s="50" t="s">
        <v>3065</v>
      </c>
      <c r="B179" s="32" t="s">
        <v>662</v>
      </c>
      <c r="C179" s="32" t="s">
        <v>62</v>
      </c>
      <c r="D179" s="32" t="s">
        <v>3457</v>
      </c>
    </row>
    <row r="180" spans="1:4">
      <c r="A180" s="52" t="s">
        <v>3066</v>
      </c>
      <c r="B180" s="48" t="s">
        <v>663</v>
      </c>
      <c r="C180" s="48" t="s">
        <v>62</v>
      </c>
      <c r="D180" s="48" t="s">
        <v>3457</v>
      </c>
    </row>
    <row r="181" spans="1:4">
      <c r="A181" s="50" t="s">
        <v>3067</v>
      </c>
      <c r="B181" s="32" t="s">
        <v>664</v>
      </c>
      <c r="C181" s="32" t="s">
        <v>62</v>
      </c>
      <c r="D181" s="32" t="s">
        <v>3458</v>
      </c>
    </row>
    <row r="182" spans="1:4">
      <c r="A182" s="52" t="s">
        <v>3068</v>
      </c>
      <c r="B182" s="48" t="s">
        <v>665</v>
      </c>
      <c r="C182" s="48" t="s">
        <v>62</v>
      </c>
      <c r="D182" s="48" t="s">
        <v>3457</v>
      </c>
    </row>
    <row r="183" spans="1:4">
      <c r="A183" s="50" t="s">
        <v>3069</v>
      </c>
      <c r="B183" s="32" t="s">
        <v>666</v>
      </c>
      <c r="C183" s="32" t="s">
        <v>62</v>
      </c>
      <c r="D183" s="32" t="s">
        <v>3457</v>
      </c>
    </row>
    <row r="184" spans="1:4">
      <c r="A184" s="52" t="s">
        <v>3070</v>
      </c>
      <c r="B184" s="48" t="s">
        <v>667</v>
      </c>
      <c r="C184" s="48" t="s">
        <v>62</v>
      </c>
      <c r="D184" s="48" t="s">
        <v>3457</v>
      </c>
    </row>
    <row r="185" spans="1:4">
      <c r="A185" s="50" t="s">
        <v>3071</v>
      </c>
      <c r="B185" s="32" t="s">
        <v>668</v>
      </c>
      <c r="C185" s="32" t="s">
        <v>2884</v>
      </c>
      <c r="D185" s="32" t="s">
        <v>3457</v>
      </c>
    </row>
    <row r="186" spans="1:4">
      <c r="A186" s="52" t="s">
        <v>3072</v>
      </c>
      <c r="B186" s="48" t="s">
        <v>669</v>
      </c>
      <c r="C186" s="48" t="s">
        <v>62</v>
      </c>
      <c r="D186" s="48" t="s">
        <v>3457</v>
      </c>
    </row>
    <row r="187" spans="1:4">
      <c r="A187" s="50" t="s">
        <v>3073</v>
      </c>
      <c r="B187" s="32" t="s">
        <v>670</v>
      </c>
      <c r="C187" s="32" t="s">
        <v>62</v>
      </c>
      <c r="D187" s="32" t="s">
        <v>3457</v>
      </c>
    </row>
    <row r="188" spans="1:4">
      <c r="A188" s="52" t="s">
        <v>3074</v>
      </c>
      <c r="B188" s="48" t="s">
        <v>671</v>
      </c>
      <c r="C188" s="48" t="s">
        <v>62</v>
      </c>
      <c r="D188" s="48" t="s">
        <v>3457</v>
      </c>
    </row>
    <row r="189" spans="1:4">
      <c r="A189" s="50" t="s">
        <v>3075</v>
      </c>
      <c r="B189" s="32" t="s">
        <v>672</v>
      </c>
      <c r="C189" s="32" t="s">
        <v>62</v>
      </c>
      <c r="D189" s="32" t="s">
        <v>3457</v>
      </c>
    </row>
    <row r="190" spans="1:4">
      <c r="A190" s="52" t="s">
        <v>3076</v>
      </c>
      <c r="B190" s="48" t="s">
        <v>673</v>
      </c>
      <c r="C190" s="48" t="s">
        <v>62</v>
      </c>
      <c r="D190" s="48" t="s">
        <v>3457</v>
      </c>
    </row>
    <row r="191" spans="1:4">
      <c r="A191" s="50" t="s">
        <v>3077</v>
      </c>
      <c r="B191" s="32" t="s">
        <v>674</v>
      </c>
      <c r="C191" s="32" t="s">
        <v>62</v>
      </c>
      <c r="D191" s="32" t="s">
        <v>3457</v>
      </c>
    </row>
    <row r="192" spans="1:4">
      <c r="A192" s="52" t="s">
        <v>3078</v>
      </c>
      <c r="B192" s="48" t="s">
        <v>675</v>
      </c>
      <c r="C192" s="48" t="s">
        <v>62</v>
      </c>
      <c r="D192" s="48" t="s">
        <v>3457</v>
      </c>
    </row>
    <row r="193" spans="1:4">
      <c r="A193" s="50" t="s">
        <v>3079</v>
      </c>
      <c r="B193" s="32" t="s">
        <v>676</v>
      </c>
      <c r="C193" s="32" t="s">
        <v>62</v>
      </c>
      <c r="D193" s="32" t="s">
        <v>3457</v>
      </c>
    </row>
    <row r="194" spans="1:4">
      <c r="A194" s="52" t="s">
        <v>3080</v>
      </c>
      <c r="B194" s="48" t="s">
        <v>677</v>
      </c>
      <c r="C194" s="48" t="s">
        <v>62</v>
      </c>
      <c r="D194" s="48" t="s">
        <v>3457</v>
      </c>
    </row>
    <row r="195" spans="1:4">
      <c r="A195" s="50" t="s">
        <v>3081</v>
      </c>
      <c r="B195" s="32" t="s">
        <v>678</v>
      </c>
      <c r="C195" s="32" t="s">
        <v>62</v>
      </c>
      <c r="D195" s="32" t="s">
        <v>3457</v>
      </c>
    </row>
    <row r="196" spans="1:4">
      <c r="A196" s="52" t="s">
        <v>3082</v>
      </c>
      <c r="B196" s="48" t="s">
        <v>679</v>
      </c>
      <c r="C196" s="48" t="s">
        <v>62</v>
      </c>
      <c r="D196" s="48" t="s">
        <v>3457</v>
      </c>
    </row>
    <row r="197" spans="1:4">
      <c r="A197" s="50" t="s">
        <v>3083</v>
      </c>
      <c r="B197" s="32" t="s">
        <v>680</v>
      </c>
      <c r="C197" s="32" t="s">
        <v>62</v>
      </c>
      <c r="D197" s="32" t="s">
        <v>3457</v>
      </c>
    </row>
    <row r="198" spans="1:4">
      <c r="A198" s="52" t="s">
        <v>3084</v>
      </c>
      <c r="B198" s="48" t="s">
        <v>681</v>
      </c>
      <c r="C198" s="48" t="s">
        <v>62</v>
      </c>
      <c r="D198" s="48" t="s">
        <v>3457</v>
      </c>
    </row>
    <row r="199" spans="1:4">
      <c r="A199" s="50" t="s">
        <v>3085</v>
      </c>
      <c r="B199" s="32" t="s">
        <v>682</v>
      </c>
      <c r="C199" s="32" t="s">
        <v>62</v>
      </c>
      <c r="D199" s="32" t="s">
        <v>3457</v>
      </c>
    </row>
    <row r="200" spans="1:4">
      <c r="A200" s="52" t="s">
        <v>3086</v>
      </c>
      <c r="B200" s="48" t="s">
        <v>683</v>
      </c>
      <c r="C200" s="48" t="s">
        <v>62</v>
      </c>
      <c r="D200" s="48" t="s">
        <v>3458</v>
      </c>
    </row>
    <row r="201" spans="1:4">
      <c r="A201" s="50" t="s">
        <v>3087</v>
      </c>
      <c r="B201" s="32" t="s">
        <v>684</v>
      </c>
      <c r="C201" s="32" t="s">
        <v>2885</v>
      </c>
      <c r="D201" s="32" t="s">
        <v>3457</v>
      </c>
    </row>
    <row r="202" spans="1:4">
      <c r="A202" s="52" t="s">
        <v>3088</v>
      </c>
      <c r="B202" s="48" t="s">
        <v>685</v>
      </c>
      <c r="C202" s="48" t="s">
        <v>2884</v>
      </c>
      <c r="D202" s="48" t="s">
        <v>3457</v>
      </c>
    </row>
    <row r="203" spans="1:4">
      <c r="A203" s="50" t="s">
        <v>3089</v>
      </c>
      <c r="B203" s="32" t="s">
        <v>686</v>
      </c>
      <c r="C203" s="32" t="s">
        <v>62</v>
      </c>
      <c r="D203" s="32" t="s">
        <v>3457</v>
      </c>
    </row>
    <row r="204" spans="1:4">
      <c r="A204" s="52" t="s">
        <v>3090</v>
      </c>
      <c r="B204" s="48" t="s">
        <v>687</v>
      </c>
      <c r="C204" s="48" t="s">
        <v>62</v>
      </c>
      <c r="D204" s="48" t="s">
        <v>3457</v>
      </c>
    </row>
    <row r="205" spans="1:4">
      <c r="A205" s="50" t="s">
        <v>3091</v>
      </c>
      <c r="B205" s="32" t="s">
        <v>688</v>
      </c>
      <c r="C205" s="32" t="s">
        <v>62</v>
      </c>
      <c r="D205" s="32" t="s">
        <v>3458</v>
      </c>
    </row>
    <row r="206" spans="1:4">
      <c r="A206" s="52" t="s">
        <v>3092</v>
      </c>
      <c r="B206" s="48" t="s">
        <v>689</v>
      </c>
      <c r="C206" s="48" t="s">
        <v>62</v>
      </c>
      <c r="D206" s="48" t="s">
        <v>3457</v>
      </c>
    </row>
    <row r="207" spans="1:4">
      <c r="A207" s="50" t="s">
        <v>3093</v>
      </c>
      <c r="B207" s="32" t="s">
        <v>690</v>
      </c>
      <c r="C207" s="32" t="s">
        <v>62</v>
      </c>
      <c r="D207" s="32" t="s">
        <v>3457</v>
      </c>
    </row>
    <row r="208" spans="1:4">
      <c r="A208" s="52" t="s">
        <v>3094</v>
      </c>
      <c r="B208" s="48" t="s">
        <v>691</v>
      </c>
      <c r="C208" s="48" t="s">
        <v>62</v>
      </c>
      <c r="D208" s="48" t="s">
        <v>3457</v>
      </c>
    </row>
    <row r="209" spans="1:4">
      <c r="A209" s="50" t="s">
        <v>3095</v>
      </c>
      <c r="B209" s="32" t="s">
        <v>692</v>
      </c>
      <c r="C209" s="32" t="s">
        <v>2884</v>
      </c>
      <c r="D209" s="32" t="s">
        <v>3457</v>
      </c>
    </row>
    <row r="210" spans="1:4">
      <c r="A210" s="52" t="s">
        <v>3096</v>
      </c>
      <c r="B210" s="48" t="s">
        <v>693</v>
      </c>
      <c r="C210" s="48" t="s">
        <v>62</v>
      </c>
      <c r="D210" s="48" t="s">
        <v>3457</v>
      </c>
    </row>
    <row r="211" spans="1:4">
      <c r="A211" s="50" t="s">
        <v>3097</v>
      </c>
      <c r="B211" s="32" t="s">
        <v>694</v>
      </c>
      <c r="C211" s="32" t="s">
        <v>62</v>
      </c>
      <c r="D211" s="32" t="s">
        <v>3457</v>
      </c>
    </row>
    <row r="212" spans="1:4">
      <c r="A212" s="52" t="s">
        <v>3098</v>
      </c>
      <c r="B212" s="48" t="s">
        <v>695</v>
      </c>
      <c r="C212" s="48" t="s">
        <v>62</v>
      </c>
      <c r="D212" s="48" t="s">
        <v>3457</v>
      </c>
    </row>
    <row r="213" spans="1:4">
      <c r="A213" s="50" t="s">
        <v>3099</v>
      </c>
      <c r="B213" s="32" t="s">
        <v>696</v>
      </c>
      <c r="C213" s="32" t="s">
        <v>62</v>
      </c>
      <c r="D213" s="32" t="s">
        <v>3457</v>
      </c>
    </row>
    <row r="214" spans="1:4">
      <c r="A214" s="52" t="s">
        <v>3100</v>
      </c>
      <c r="B214" s="48" t="s">
        <v>697</v>
      </c>
      <c r="C214" s="48" t="s">
        <v>62</v>
      </c>
      <c r="D214" s="48" t="s">
        <v>3457</v>
      </c>
    </row>
    <row r="215" spans="1:4">
      <c r="A215" s="50" t="s">
        <v>3101</v>
      </c>
      <c r="B215" s="32" t="s">
        <v>698</v>
      </c>
      <c r="C215" s="32" t="s">
        <v>62</v>
      </c>
      <c r="D215" s="32" t="s">
        <v>3457</v>
      </c>
    </row>
    <row r="216" spans="1:4">
      <c r="A216" s="52" t="s">
        <v>3102</v>
      </c>
      <c r="B216" s="48" t="s">
        <v>699</v>
      </c>
      <c r="C216" s="48" t="s">
        <v>62</v>
      </c>
      <c r="D216" s="48" t="s">
        <v>3457</v>
      </c>
    </row>
    <row r="217" spans="1:4">
      <c r="A217" s="50" t="s">
        <v>3103</v>
      </c>
      <c r="B217" s="32" t="s">
        <v>700</v>
      </c>
      <c r="C217" s="32" t="s">
        <v>62</v>
      </c>
      <c r="D217" s="32" t="s">
        <v>3457</v>
      </c>
    </row>
    <row r="218" spans="1:4">
      <c r="A218" s="52" t="s">
        <v>3104</v>
      </c>
      <c r="B218" s="48" t="s">
        <v>701</v>
      </c>
      <c r="C218" s="48" t="s">
        <v>62</v>
      </c>
      <c r="D218" s="48" t="s">
        <v>3457</v>
      </c>
    </row>
    <row r="219" spans="1:4">
      <c r="A219" s="50" t="s">
        <v>3105</v>
      </c>
      <c r="B219" s="32" t="s">
        <v>702</v>
      </c>
      <c r="C219" s="32" t="s">
        <v>62</v>
      </c>
      <c r="D219" s="32" t="s">
        <v>3457</v>
      </c>
    </row>
    <row r="220" spans="1:4">
      <c r="A220" s="52" t="s">
        <v>3106</v>
      </c>
      <c r="B220" s="48" t="s">
        <v>703</v>
      </c>
      <c r="C220" s="48" t="s">
        <v>62</v>
      </c>
      <c r="D220" s="48" t="s">
        <v>3457</v>
      </c>
    </row>
    <row r="221" spans="1:4">
      <c r="A221" s="50" t="s">
        <v>3107</v>
      </c>
      <c r="B221" s="32" t="s">
        <v>704</v>
      </c>
      <c r="C221" s="32" t="s">
        <v>62</v>
      </c>
      <c r="D221" s="32" t="s">
        <v>3457</v>
      </c>
    </row>
    <row r="222" spans="1:4">
      <c r="A222" s="52" t="s">
        <v>3108</v>
      </c>
      <c r="B222" s="48" t="s">
        <v>705</v>
      </c>
      <c r="C222" s="48" t="s">
        <v>62</v>
      </c>
      <c r="D222" s="48" t="s">
        <v>3457</v>
      </c>
    </row>
    <row r="223" spans="1:4">
      <c r="A223" s="50" t="s">
        <v>3109</v>
      </c>
      <c r="B223" s="32" t="s">
        <v>706</v>
      </c>
      <c r="C223" s="32" t="s">
        <v>62</v>
      </c>
      <c r="D223" s="32" t="s">
        <v>3457</v>
      </c>
    </row>
    <row r="224" spans="1:4">
      <c r="A224" s="52" t="s">
        <v>3110</v>
      </c>
      <c r="B224" s="48" t="s">
        <v>707</v>
      </c>
      <c r="C224" s="48" t="s">
        <v>62</v>
      </c>
      <c r="D224" s="48" t="s">
        <v>3458</v>
      </c>
    </row>
    <row r="225" spans="1:4">
      <c r="A225" s="50" t="s">
        <v>3111</v>
      </c>
      <c r="B225" s="32" t="s">
        <v>708</v>
      </c>
      <c r="C225" s="32" t="s">
        <v>2885</v>
      </c>
      <c r="D225" s="32" t="s">
        <v>3457</v>
      </c>
    </row>
    <row r="226" spans="1:4">
      <c r="A226" s="52" t="s">
        <v>3112</v>
      </c>
      <c r="B226" s="48" t="s">
        <v>709</v>
      </c>
      <c r="C226" s="48" t="s">
        <v>2884</v>
      </c>
      <c r="D226" s="48" t="s">
        <v>3457</v>
      </c>
    </row>
    <row r="227" spans="1:4">
      <c r="A227" s="50" t="s">
        <v>3113</v>
      </c>
      <c r="B227" s="32" t="s">
        <v>710</v>
      </c>
      <c r="C227" s="32" t="s">
        <v>62</v>
      </c>
      <c r="D227" s="32" t="s">
        <v>3457</v>
      </c>
    </row>
    <row r="228" spans="1:4">
      <c r="A228" s="52" t="s">
        <v>3114</v>
      </c>
      <c r="B228" s="48" t="s">
        <v>711</v>
      </c>
      <c r="C228" s="48" t="s">
        <v>62</v>
      </c>
      <c r="D228" s="48" t="s">
        <v>3457</v>
      </c>
    </row>
    <row r="229" spans="1:4">
      <c r="A229" s="50" t="s">
        <v>3115</v>
      </c>
      <c r="B229" s="32" t="s">
        <v>712</v>
      </c>
      <c r="C229" s="32" t="s">
        <v>62</v>
      </c>
      <c r="D229" s="32" t="s">
        <v>3458</v>
      </c>
    </row>
    <row r="230" spans="1:4">
      <c r="A230" s="52" t="s">
        <v>3116</v>
      </c>
      <c r="B230" s="48" t="s">
        <v>713</v>
      </c>
      <c r="C230" s="48" t="s">
        <v>62</v>
      </c>
      <c r="D230" s="48" t="s">
        <v>3457</v>
      </c>
    </row>
    <row r="231" spans="1:4">
      <c r="A231" s="50" t="s">
        <v>3117</v>
      </c>
      <c r="B231" s="32" t="s">
        <v>714</v>
      </c>
      <c r="C231" s="32" t="s">
        <v>62</v>
      </c>
      <c r="D231" s="32" t="s">
        <v>3457</v>
      </c>
    </row>
    <row r="232" spans="1:4">
      <c r="A232" s="52" t="s">
        <v>3118</v>
      </c>
      <c r="B232" s="48" t="s">
        <v>715</v>
      </c>
      <c r="C232" s="48" t="s">
        <v>62</v>
      </c>
      <c r="D232" s="48" t="s">
        <v>3457</v>
      </c>
    </row>
    <row r="233" spans="1:4">
      <c r="A233" s="50" t="s">
        <v>3119</v>
      </c>
      <c r="B233" s="32" t="s">
        <v>716</v>
      </c>
      <c r="C233" s="32" t="s">
        <v>2884</v>
      </c>
      <c r="D233" s="32" t="s">
        <v>3457</v>
      </c>
    </row>
    <row r="234" spans="1:4">
      <c r="A234" s="52" t="s">
        <v>3120</v>
      </c>
      <c r="B234" s="48" t="s">
        <v>717</v>
      </c>
      <c r="C234" s="48" t="s">
        <v>62</v>
      </c>
      <c r="D234" s="48" t="s">
        <v>3457</v>
      </c>
    </row>
    <row r="235" spans="1:4">
      <c r="A235" s="50" t="s">
        <v>3121</v>
      </c>
      <c r="B235" s="32" t="s">
        <v>718</v>
      </c>
      <c r="C235" s="32" t="s">
        <v>62</v>
      </c>
      <c r="D235" s="32" t="s">
        <v>3457</v>
      </c>
    </row>
    <row r="236" spans="1:4">
      <c r="A236" s="52" t="s">
        <v>3122</v>
      </c>
      <c r="B236" s="48" t="s">
        <v>719</v>
      </c>
      <c r="C236" s="48" t="s">
        <v>62</v>
      </c>
      <c r="D236" s="48" t="s">
        <v>3457</v>
      </c>
    </row>
    <row r="237" spans="1:4">
      <c r="A237" s="50" t="s">
        <v>3123</v>
      </c>
      <c r="B237" s="32" t="s">
        <v>720</v>
      </c>
      <c r="C237" s="32" t="s">
        <v>62</v>
      </c>
      <c r="D237" s="32" t="s">
        <v>3457</v>
      </c>
    </row>
    <row r="238" spans="1:4">
      <c r="A238" s="52" t="s">
        <v>3124</v>
      </c>
      <c r="B238" s="48" t="s">
        <v>721</v>
      </c>
      <c r="C238" s="48" t="s">
        <v>62</v>
      </c>
      <c r="D238" s="48" t="s">
        <v>3457</v>
      </c>
    </row>
    <row r="239" spans="1:4">
      <c r="A239" s="50" t="s">
        <v>3125</v>
      </c>
      <c r="B239" s="32" t="s">
        <v>722</v>
      </c>
      <c r="C239" s="32" t="s">
        <v>62</v>
      </c>
      <c r="D239" s="32" t="s">
        <v>3457</v>
      </c>
    </row>
    <row r="240" spans="1:4">
      <c r="A240" s="52" t="s">
        <v>3126</v>
      </c>
      <c r="B240" s="48" t="s">
        <v>723</v>
      </c>
      <c r="C240" s="48" t="s">
        <v>62</v>
      </c>
      <c r="D240" s="48" t="s">
        <v>3457</v>
      </c>
    </row>
    <row r="241" spans="1:4">
      <c r="A241" s="50" t="s">
        <v>3127</v>
      </c>
      <c r="B241" s="32" t="s">
        <v>724</v>
      </c>
      <c r="C241" s="32" t="s">
        <v>62</v>
      </c>
      <c r="D241" s="32" t="s">
        <v>3457</v>
      </c>
    </row>
    <row r="242" spans="1:4">
      <c r="A242" s="52" t="s">
        <v>3128</v>
      </c>
      <c r="B242" s="48" t="s">
        <v>725</v>
      </c>
      <c r="C242" s="48" t="s">
        <v>62</v>
      </c>
      <c r="D242" s="48" t="s">
        <v>3457</v>
      </c>
    </row>
    <row r="243" spans="1:4">
      <c r="A243" s="50" t="s">
        <v>3129</v>
      </c>
      <c r="B243" s="32" t="s">
        <v>726</v>
      </c>
      <c r="C243" s="32" t="s">
        <v>62</v>
      </c>
      <c r="D243" s="32" t="s">
        <v>3457</v>
      </c>
    </row>
    <row r="244" spans="1:4">
      <c r="A244" s="52" t="s">
        <v>3130</v>
      </c>
      <c r="B244" s="48" t="s">
        <v>727</v>
      </c>
      <c r="C244" s="48" t="s">
        <v>62</v>
      </c>
      <c r="D244" s="48" t="s">
        <v>3457</v>
      </c>
    </row>
    <row r="245" spans="1:4">
      <c r="A245" s="50" t="s">
        <v>3131</v>
      </c>
      <c r="B245" s="32" t="s">
        <v>728</v>
      </c>
      <c r="C245" s="32" t="s">
        <v>62</v>
      </c>
      <c r="D245" s="32" t="s">
        <v>3457</v>
      </c>
    </row>
    <row r="246" spans="1:4">
      <c r="A246" s="52" t="s">
        <v>3132</v>
      </c>
      <c r="B246" s="48" t="s">
        <v>729</v>
      </c>
      <c r="C246" s="48" t="s">
        <v>62</v>
      </c>
      <c r="D246" s="48" t="s">
        <v>3457</v>
      </c>
    </row>
    <row r="247" spans="1:4">
      <c r="A247" s="50" t="s">
        <v>3133</v>
      </c>
      <c r="B247" s="32" t="s">
        <v>730</v>
      </c>
      <c r="C247" s="32" t="s">
        <v>62</v>
      </c>
      <c r="D247" s="32" t="s">
        <v>3457</v>
      </c>
    </row>
    <row r="248" spans="1:4">
      <c r="A248" s="52" t="s">
        <v>3134</v>
      </c>
      <c r="B248" s="48" t="s">
        <v>731</v>
      </c>
      <c r="C248" s="48" t="s">
        <v>62</v>
      </c>
      <c r="D248" s="48" t="s">
        <v>3458</v>
      </c>
    </row>
    <row r="249" spans="1:4">
      <c r="A249" s="50" t="s">
        <v>3135</v>
      </c>
      <c r="B249" s="32" t="s">
        <v>732</v>
      </c>
      <c r="C249" s="32" t="s">
        <v>2885</v>
      </c>
      <c r="D249" s="32" t="s">
        <v>3457</v>
      </c>
    </row>
    <row r="250" spans="1:4">
      <c r="A250" s="52" t="s">
        <v>3136</v>
      </c>
      <c r="B250" s="48" t="s">
        <v>733</v>
      </c>
      <c r="C250" s="48" t="s">
        <v>2884</v>
      </c>
      <c r="D250" s="48" t="s">
        <v>3457</v>
      </c>
    </row>
    <row r="251" spans="1:4">
      <c r="A251" s="50" t="s">
        <v>3137</v>
      </c>
      <c r="B251" s="32" t="s">
        <v>734</v>
      </c>
      <c r="C251" s="32" t="s">
        <v>62</v>
      </c>
      <c r="D251" s="32" t="s">
        <v>3457</v>
      </c>
    </row>
    <row r="252" spans="1:4">
      <c r="A252" s="52" t="s">
        <v>3138</v>
      </c>
      <c r="B252" s="48" t="s">
        <v>735</v>
      </c>
      <c r="C252" s="48" t="s">
        <v>62</v>
      </c>
      <c r="D252" s="48" t="s">
        <v>3457</v>
      </c>
    </row>
    <row r="253" spans="1:4">
      <c r="A253" s="50" t="s">
        <v>3139</v>
      </c>
      <c r="B253" s="32" t="s">
        <v>736</v>
      </c>
      <c r="C253" s="32" t="s">
        <v>62</v>
      </c>
      <c r="D253" s="32" t="s">
        <v>3458</v>
      </c>
    </row>
    <row r="254" spans="1:4">
      <c r="A254" s="52" t="s">
        <v>3140</v>
      </c>
      <c r="B254" s="48" t="s">
        <v>737</v>
      </c>
      <c r="C254" s="48" t="s">
        <v>62</v>
      </c>
      <c r="D254" s="48" t="s">
        <v>3457</v>
      </c>
    </row>
    <row r="255" spans="1:4">
      <c r="A255" s="50" t="s">
        <v>3141</v>
      </c>
      <c r="B255" s="32" t="s">
        <v>738</v>
      </c>
      <c r="C255" s="32" t="s">
        <v>62</v>
      </c>
      <c r="D255" s="32" t="s">
        <v>3457</v>
      </c>
    </row>
    <row r="256" spans="1:4">
      <c r="A256" s="52" t="s">
        <v>3142</v>
      </c>
      <c r="B256" s="48" t="s">
        <v>739</v>
      </c>
      <c r="C256" s="48" t="s">
        <v>62</v>
      </c>
      <c r="D256" s="48" t="s">
        <v>3457</v>
      </c>
    </row>
    <row r="257" spans="1:4">
      <c r="A257" s="50" t="s">
        <v>3143</v>
      </c>
      <c r="B257" s="32" t="s">
        <v>740</v>
      </c>
      <c r="C257" s="32" t="s">
        <v>2884</v>
      </c>
      <c r="D257" s="32" t="s">
        <v>3457</v>
      </c>
    </row>
    <row r="258" spans="1:4">
      <c r="A258" s="52" t="s">
        <v>3144</v>
      </c>
      <c r="B258" s="48" t="s">
        <v>741</v>
      </c>
      <c r="C258" s="48" t="s">
        <v>62</v>
      </c>
      <c r="D258" s="48" t="s">
        <v>3457</v>
      </c>
    </row>
    <row r="259" spans="1:4">
      <c r="A259" s="50" t="s">
        <v>3145</v>
      </c>
      <c r="B259" s="32" t="s">
        <v>742</v>
      </c>
      <c r="C259" s="32" t="s">
        <v>62</v>
      </c>
      <c r="D259" s="32" t="s">
        <v>3457</v>
      </c>
    </row>
    <row r="260" spans="1:4">
      <c r="A260" s="52" t="s">
        <v>3146</v>
      </c>
      <c r="B260" s="48" t="s">
        <v>743</v>
      </c>
      <c r="C260" s="48" t="s">
        <v>62</v>
      </c>
      <c r="D260" s="48" t="s">
        <v>3457</v>
      </c>
    </row>
    <row r="261" spans="1:4">
      <c r="A261" s="50" t="s">
        <v>3147</v>
      </c>
      <c r="B261" s="32" t="s">
        <v>744</v>
      </c>
      <c r="C261" s="32" t="s">
        <v>62</v>
      </c>
      <c r="D261" s="32" t="s">
        <v>3457</v>
      </c>
    </row>
    <row r="262" spans="1:4">
      <c r="A262" s="52" t="s">
        <v>3148</v>
      </c>
      <c r="B262" s="48" t="s">
        <v>745</v>
      </c>
      <c r="C262" s="48" t="s">
        <v>62</v>
      </c>
      <c r="D262" s="48" t="s">
        <v>3457</v>
      </c>
    </row>
    <row r="263" spans="1:4">
      <c r="A263" s="50" t="s">
        <v>3149</v>
      </c>
      <c r="B263" s="32" t="s">
        <v>746</v>
      </c>
      <c r="C263" s="32" t="s">
        <v>62</v>
      </c>
      <c r="D263" s="32" t="s">
        <v>3457</v>
      </c>
    </row>
    <row r="264" spans="1:4">
      <c r="A264" s="52" t="s">
        <v>3150</v>
      </c>
      <c r="B264" s="48" t="s">
        <v>747</v>
      </c>
      <c r="C264" s="48" t="s">
        <v>62</v>
      </c>
      <c r="D264" s="48" t="s">
        <v>3457</v>
      </c>
    </row>
    <row r="265" spans="1:4">
      <c r="A265" s="50" t="s">
        <v>3151</v>
      </c>
      <c r="B265" s="32" t="s">
        <v>748</v>
      </c>
      <c r="C265" s="32" t="s">
        <v>62</v>
      </c>
      <c r="D265" s="32" t="s">
        <v>3457</v>
      </c>
    </row>
    <row r="266" spans="1:4">
      <c r="A266" s="52" t="s">
        <v>3152</v>
      </c>
      <c r="B266" s="48" t="s">
        <v>749</v>
      </c>
      <c r="C266" s="48" t="s">
        <v>62</v>
      </c>
      <c r="D266" s="48" t="s">
        <v>3457</v>
      </c>
    </row>
    <row r="267" spans="1:4">
      <c r="A267" s="50" t="s">
        <v>3153</v>
      </c>
      <c r="B267" s="32" t="s">
        <v>750</v>
      </c>
      <c r="C267" s="32" t="s">
        <v>62</v>
      </c>
      <c r="D267" s="32" t="s">
        <v>3457</v>
      </c>
    </row>
    <row r="268" spans="1:4">
      <c r="A268" s="52" t="s">
        <v>3154</v>
      </c>
      <c r="B268" s="48" t="s">
        <v>751</v>
      </c>
      <c r="C268" s="48" t="s">
        <v>62</v>
      </c>
      <c r="D268" s="48" t="s">
        <v>3457</v>
      </c>
    </row>
    <row r="269" spans="1:4">
      <c r="A269" s="50" t="s">
        <v>3155</v>
      </c>
      <c r="B269" s="32" t="s">
        <v>752</v>
      </c>
      <c r="C269" s="32" t="s">
        <v>62</v>
      </c>
      <c r="D269" s="32" t="s">
        <v>3457</v>
      </c>
    </row>
    <row r="270" spans="1:4">
      <c r="A270" s="52" t="s">
        <v>3156</v>
      </c>
      <c r="B270" s="48" t="s">
        <v>753</v>
      </c>
      <c r="C270" s="48" t="s">
        <v>62</v>
      </c>
      <c r="D270" s="48" t="s">
        <v>3457</v>
      </c>
    </row>
    <row r="271" spans="1:4">
      <c r="A271" s="50" t="s">
        <v>3157</v>
      </c>
      <c r="B271" s="32" t="s">
        <v>754</v>
      </c>
      <c r="C271" s="32" t="s">
        <v>62</v>
      </c>
      <c r="D271" s="32" t="s">
        <v>3457</v>
      </c>
    </row>
    <row r="272" spans="1:4">
      <c r="A272" s="52" t="s">
        <v>3158</v>
      </c>
      <c r="B272" s="48" t="s">
        <v>755</v>
      </c>
      <c r="C272" s="48" t="s">
        <v>62</v>
      </c>
      <c r="D272" s="48" t="s">
        <v>3458</v>
      </c>
    </row>
    <row r="273" spans="1:4">
      <c r="A273" s="50" t="s">
        <v>3159</v>
      </c>
      <c r="B273" s="32" t="s">
        <v>756</v>
      </c>
      <c r="C273" s="32" t="s">
        <v>2885</v>
      </c>
      <c r="D273" s="32" t="s">
        <v>3457</v>
      </c>
    </row>
    <row r="274" spans="1:4">
      <c r="A274" s="52" t="s">
        <v>3160</v>
      </c>
      <c r="B274" s="48" t="s">
        <v>757</v>
      </c>
      <c r="C274" s="48" t="s">
        <v>2884</v>
      </c>
      <c r="D274" s="48" t="s">
        <v>3457</v>
      </c>
    </row>
    <row r="275" spans="1:4">
      <c r="A275" s="50" t="s">
        <v>3161</v>
      </c>
      <c r="B275" s="32" t="s">
        <v>758</v>
      </c>
      <c r="C275" s="32" t="s">
        <v>62</v>
      </c>
      <c r="D275" s="32" t="s">
        <v>3457</v>
      </c>
    </row>
    <row r="276" spans="1:4">
      <c r="A276" s="52" t="s">
        <v>3162</v>
      </c>
      <c r="B276" s="48" t="s">
        <v>759</v>
      </c>
      <c r="C276" s="48" t="s">
        <v>62</v>
      </c>
      <c r="D276" s="48" t="s">
        <v>3457</v>
      </c>
    </row>
    <row r="277" spans="1:4">
      <c r="A277" s="50" t="s">
        <v>3163</v>
      </c>
      <c r="B277" s="32" t="s">
        <v>760</v>
      </c>
      <c r="C277" s="32" t="s">
        <v>62</v>
      </c>
      <c r="D277" s="32" t="s">
        <v>3458</v>
      </c>
    </row>
    <row r="278" spans="1:4">
      <c r="A278" s="52" t="s">
        <v>3164</v>
      </c>
      <c r="B278" s="48" t="s">
        <v>761</v>
      </c>
      <c r="C278" s="48" t="s">
        <v>62</v>
      </c>
      <c r="D278" s="48" t="s">
        <v>3457</v>
      </c>
    </row>
    <row r="279" spans="1:4">
      <c r="A279" s="50" t="s">
        <v>3165</v>
      </c>
      <c r="B279" s="32" t="s">
        <v>762</v>
      </c>
      <c r="C279" s="32" t="s">
        <v>62</v>
      </c>
      <c r="D279" s="32" t="s">
        <v>3457</v>
      </c>
    </row>
    <row r="280" spans="1:4">
      <c r="A280" s="52" t="s">
        <v>3166</v>
      </c>
      <c r="B280" s="48" t="s">
        <v>763</v>
      </c>
      <c r="C280" s="48" t="s">
        <v>62</v>
      </c>
      <c r="D280" s="48" t="s">
        <v>3457</v>
      </c>
    </row>
    <row r="281" spans="1:4">
      <c r="A281" s="50" t="s">
        <v>3167</v>
      </c>
      <c r="B281" s="32" t="s">
        <v>764</v>
      </c>
      <c r="C281" s="32" t="s">
        <v>2884</v>
      </c>
      <c r="D281" s="32" t="s">
        <v>3457</v>
      </c>
    </row>
    <row r="282" spans="1:4">
      <c r="A282" s="52" t="s">
        <v>3168</v>
      </c>
      <c r="B282" s="48" t="s">
        <v>765</v>
      </c>
      <c r="C282" s="48" t="s">
        <v>62</v>
      </c>
      <c r="D282" s="48" t="s">
        <v>3457</v>
      </c>
    </row>
    <row r="283" spans="1:4">
      <c r="A283" s="50" t="s">
        <v>3169</v>
      </c>
      <c r="B283" s="32" t="s">
        <v>766</v>
      </c>
      <c r="C283" s="32" t="s">
        <v>62</v>
      </c>
      <c r="D283" s="32" t="s">
        <v>3457</v>
      </c>
    </row>
    <row r="284" spans="1:4">
      <c r="A284" s="52" t="s">
        <v>3170</v>
      </c>
      <c r="B284" s="48" t="s">
        <v>767</v>
      </c>
      <c r="C284" s="48" t="s">
        <v>62</v>
      </c>
      <c r="D284" s="48" t="s">
        <v>3457</v>
      </c>
    </row>
    <row r="285" spans="1:4">
      <c r="A285" s="50" t="s">
        <v>3171</v>
      </c>
      <c r="B285" s="32" t="s">
        <v>768</v>
      </c>
      <c r="C285" s="32" t="s">
        <v>62</v>
      </c>
      <c r="D285" s="32" t="s">
        <v>3457</v>
      </c>
    </row>
    <row r="286" spans="1:4">
      <c r="A286" s="52" t="s">
        <v>3172</v>
      </c>
      <c r="B286" s="48" t="s">
        <v>769</v>
      </c>
      <c r="C286" s="48" t="s">
        <v>62</v>
      </c>
      <c r="D286" s="48" t="s">
        <v>3457</v>
      </c>
    </row>
    <row r="287" spans="1:4">
      <c r="A287" s="50" t="s">
        <v>3173</v>
      </c>
      <c r="B287" s="32" t="s">
        <v>770</v>
      </c>
      <c r="C287" s="32" t="s">
        <v>62</v>
      </c>
      <c r="D287" s="32" t="s">
        <v>3457</v>
      </c>
    </row>
    <row r="288" spans="1:4">
      <c r="A288" s="52" t="s">
        <v>3174</v>
      </c>
      <c r="B288" s="48" t="s">
        <v>771</v>
      </c>
      <c r="C288" s="48" t="s">
        <v>62</v>
      </c>
      <c r="D288" s="48" t="s">
        <v>3457</v>
      </c>
    </row>
    <row r="289" spans="1:4">
      <c r="A289" s="50" t="s">
        <v>3175</v>
      </c>
      <c r="B289" s="32" t="s">
        <v>772</v>
      </c>
      <c r="C289" s="32" t="s">
        <v>62</v>
      </c>
      <c r="D289" s="32" t="s">
        <v>3457</v>
      </c>
    </row>
    <row r="290" spans="1:4">
      <c r="A290" s="52" t="s">
        <v>3176</v>
      </c>
      <c r="B290" s="48" t="s">
        <v>773</v>
      </c>
      <c r="C290" s="48" t="s">
        <v>62</v>
      </c>
      <c r="D290" s="48" t="s">
        <v>3457</v>
      </c>
    </row>
    <row r="291" spans="1:4">
      <c r="A291" s="50" t="s">
        <v>3177</v>
      </c>
      <c r="B291" s="32" t="s">
        <v>774</v>
      </c>
      <c r="C291" s="32" t="s">
        <v>62</v>
      </c>
      <c r="D291" s="32" t="s">
        <v>3457</v>
      </c>
    </row>
    <row r="292" spans="1:4">
      <c r="A292" s="52" t="s">
        <v>3178</v>
      </c>
      <c r="B292" s="48" t="s">
        <v>775</v>
      </c>
      <c r="C292" s="48" t="s">
        <v>62</v>
      </c>
      <c r="D292" s="48" t="s">
        <v>3457</v>
      </c>
    </row>
    <row r="293" spans="1:4">
      <c r="A293" s="50" t="s">
        <v>3179</v>
      </c>
      <c r="B293" s="32" t="s">
        <v>776</v>
      </c>
      <c r="C293" s="32" t="s">
        <v>62</v>
      </c>
      <c r="D293" s="32" t="s">
        <v>3457</v>
      </c>
    </row>
    <row r="294" spans="1:4">
      <c r="A294" s="52" t="s">
        <v>3180</v>
      </c>
      <c r="B294" s="48" t="s">
        <v>777</v>
      </c>
      <c r="C294" s="48" t="s">
        <v>62</v>
      </c>
      <c r="D294" s="48" t="s">
        <v>3457</v>
      </c>
    </row>
    <row r="295" spans="1:4">
      <c r="A295" s="50" t="s">
        <v>3181</v>
      </c>
      <c r="B295" s="32" t="s">
        <v>778</v>
      </c>
      <c r="C295" s="32" t="s">
        <v>62</v>
      </c>
      <c r="D295" s="32" t="s">
        <v>3457</v>
      </c>
    </row>
    <row r="296" spans="1:4">
      <c r="A296" s="52" t="s">
        <v>3182</v>
      </c>
      <c r="B296" s="48" t="s">
        <v>779</v>
      </c>
      <c r="C296" s="48" t="s">
        <v>62</v>
      </c>
      <c r="D296" s="48" t="s">
        <v>3458</v>
      </c>
    </row>
    <row r="297" spans="1:4">
      <c r="A297" s="50" t="s">
        <v>3183</v>
      </c>
      <c r="B297" s="32" t="s">
        <v>780</v>
      </c>
      <c r="C297" s="32" t="s">
        <v>2885</v>
      </c>
      <c r="D297" s="32" t="s">
        <v>3457</v>
      </c>
    </row>
    <row r="298" spans="1:4">
      <c r="A298" s="52" t="s">
        <v>3184</v>
      </c>
      <c r="B298" s="48" t="s">
        <v>781</v>
      </c>
      <c r="C298" s="48" t="s">
        <v>2884</v>
      </c>
      <c r="D298" s="48" t="s">
        <v>3457</v>
      </c>
    </row>
    <row r="299" spans="1:4">
      <c r="A299" s="50" t="s">
        <v>3185</v>
      </c>
      <c r="B299" s="32" t="s">
        <v>782</v>
      </c>
      <c r="C299" s="32" t="s">
        <v>62</v>
      </c>
      <c r="D299" s="32" t="s">
        <v>3457</v>
      </c>
    </row>
    <row r="300" spans="1:4">
      <c r="A300" s="52" t="s">
        <v>3186</v>
      </c>
      <c r="B300" s="48" t="s">
        <v>783</v>
      </c>
      <c r="C300" s="48" t="s">
        <v>62</v>
      </c>
      <c r="D300" s="48" t="s">
        <v>3457</v>
      </c>
    </row>
    <row r="301" spans="1:4">
      <c r="A301" s="50" t="s">
        <v>3187</v>
      </c>
      <c r="B301" s="32" t="s">
        <v>784</v>
      </c>
      <c r="C301" s="32" t="s">
        <v>62</v>
      </c>
      <c r="D301" s="32" t="s">
        <v>3458</v>
      </c>
    </row>
    <row r="302" spans="1:4">
      <c r="A302" s="52" t="s">
        <v>3188</v>
      </c>
      <c r="B302" s="48" t="s">
        <v>785</v>
      </c>
      <c r="C302" s="48" t="s">
        <v>62</v>
      </c>
      <c r="D302" s="48" t="s">
        <v>3457</v>
      </c>
    </row>
    <row r="303" spans="1:4">
      <c r="A303" s="50" t="s">
        <v>3189</v>
      </c>
      <c r="B303" s="32" t="s">
        <v>786</v>
      </c>
      <c r="C303" s="32" t="s">
        <v>62</v>
      </c>
      <c r="D303" s="32" t="s">
        <v>3457</v>
      </c>
    </row>
    <row r="304" spans="1:4">
      <c r="A304" s="52" t="s">
        <v>3190</v>
      </c>
      <c r="B304" s="48" t="s">
        <v>787</v>
      </c>
      <c r="C304" s="48" t="s">
        <v>62</v>
      </c>
      <c r="D304" s="48" t="s">
        <v>3457</v>
      </c>
    </row>
    <row r="305" spans="1:4">
      <c r="A305" s="50" t="s">
        <v>3191</v>
      </c>
      <c r="B305" s="32" t="s">
        <v>788</v>
      </c>
      <c r="C305" s="32" t="s">
        <v>2884</v>
      </c>
      <c r="D305" s="32" t="s">
        <v>3457</v>
      </c>
    </row>
    <row r="306" spans="1:4">
      <c r="A306" s="52" t="s">
        <v>3192</v>
      </c>
      <c r="B306" s="48" t="s">
        <v>789</v>
      </c>
      <c r="C306" s="48" t="s">
        <v>62</v>
      </c>
      <c r="D306" s="48" t="s">
        <v>3457</v>
      </c>
    </row>
    <row r="307" spans="1:4">
      <c r="A307" s="50" t="s">
        <v>3193</v>
      </c>
      <c r="B307" s="32" t="s">
        <v>790</v>
      </c>
      <c r="C307" s="32" t="s">
        <v>62</v>
      </c>
      <c r="D307" s="32" t="s">
        <v>3457</v>
      </c>
    </row>
    <row r="308" spans="1:4">
      <c r="A308" s="52" t="s">
        <v>3194</v>
      </c>
      <c r="B308" s="48" t="s">
        <v>791</v>
      </c>
      <c r="C308" s="48" t="s">
        <v>62</v>
      </c>
      <c r="D308" s="48" t="s">
        <v>3457</v>
      </c>
    </row>
    <row r="309" spans="1:4">
      <c r="A309" s="50" t="s">
        <v>3195</v>
      </c>
      <c r="B309" s="32" t="s">
        <v>792</v>
      </c>
      <c r="C309" s="32" t="s">
        <v>62</v>
      </c>
      <c r="D309" s="32" t="s">
        <v>3457</v>
      </c>
    </row>
    <row r="310" spans="1:4">
      <c r="A310" s="52" t="s">
        <v>3196</v>
      </c>
      <c r="B310" s="48" t="s">
        <v>793</v>
      </c>
      <c r="C310" s="48" t="s">
        <v>62</v>
      </c>
      <c r="D310" s="48" t="s">
        <v>3457</v>
      </c>
    </row>
    <row r="311" spans="1:4">
      <c r="A311" s="50" t="s">
        <v>3197</v>
      </c>
      <c r="B311" s="32" t="s">
        <v>794</v>
      </c>
      <c r="C311" s="32" t="s">
        <v>62</v>
      </c>
      <c r="D311" s="32" t="s">
        <v>3457</v>
      </c>
    </row>
    <row r="312" spans="1:4">
      <c r="A312" s="52" t="s">
        <v>3198</v>
      </c>
      <c r="B312" s="48" t="s">
        <v>795</v>
      </c>
      <c r="C312" s="48" t="s">
        <v>62</v>
      </c>
      <c r="D312" s="48" t="s">
        <v>3457</v>
      </c>
    </row>
    <row r="313" spans="1:4">
      <c r="A313" s="50" t="s">
        <v>3199</v>
      </c>
      <c r="B313" s="32" t="s">
        <v>796</v>
      </c>
      <c r="C313" s="32" t="s">
        <v>62</v>
      </c>
      <c r="D313" s="32" t="s">
        <v>3457</v>
      </c>
    </row>
    <row r="314" spans="1:4">
      <c r="A314" s="52" t="s">
        <v>3200</v>
      </c>
      <c r="B314" s="48" t="s">
        <v>797</v>
      </c>
      <c r="C314" s="48" t="s">
        <v>62</v>
      </c>
      <c r="D314" s="48" t="s">
        <v>3457</v>
      </c>
    </row>
    <row r="315" spans="1:4">
      <c r="A315" s="50" t="s">
        <v>3201</v>
      </c>
      <c r="B315" s="32" t="s">
        <v>798</v>
      </c>
      <c r="C315" s="32" t="s">
        <v>62</v>
      </c>
      <c r="D315" s="32" t="s">
        <v>3457</v>
      </c>
    </row>
    <row r="316" spans="1:4">
      <c r="A316" s="52" t="s">
        <v>3202</v>
      </c>
      <c r="B316" s="48" t="s">
        <v>799</v>
      </c>
      <c r="C316" s="48" t="s">
        <v>62</v>
      </c>
      <c r="D316" s="48" t="s">
        <v>3457</v>
      </c>
    </row>
    <row r="317" spans="1:4">
      <c r="A317" s="50" t="s">
        <v>3203</v>
      </c>
      <c r="B317" s="32" t="s">
        <v>800</v>
      </c>
      <c r="C317" s="32" t="s">
        <v>62</v>
      </c>
      <c r="D317" s="32" t="s">
        <v>3457</v>
      </c>
    </row>
    <row r="318" spans="1:4">
      <c r="A318" s="52" t="s">
        <v>3204</v>
      </c>
      <c r="B318" s="48" t="s">
        <v>801</v>
      </c>
      <c r="C318" s="48" t="s">
        <v>62</v>
      </c>
      <c r="D318" s="48" t="s">
        <v>3457</v>
      </c>
    </row>
    <row r="319" spans="1:4">
      <c r="A319" s="50" t="s">
        <v>3205</v>
      </c>
      <c r="B319" s="32" t="s">
        <v>802</v>
      </c>
      <c r="C319" s="32" t="s">
        <v>62</v>
      </c>
      <c r="D319" s="32" t="s">
        <v>3457</v>
      </c>
    </row>
    <row r="320" spans="1:4">
      <c r="A320" s="52" t="s">
        <v>3206</v>
      </c>
      <c r="B320" s="48" t="s">
        <v>803</v>
      </c>
      <c r="C320" s="48" t="s">
        <v>62</v>
      </c>
      <c r="D320" s="48" t="s">
        <v>3458</v>
      </c>
    </row>
    <row r="321" spans="1:4">
      <c r="A321" s="50" t="s">
        <v>3207</v>
      </c>
      <c r="B321" s="32" t="s">
        <v>804</v>
      </c>
      <c r="C321" s="32" t="s">
        <v>2885</v>
      </c>
      <c r="D321" s="32" t="s">
        <v>3457</v>
      </c>
    </row>
    <row r="322" spans="1:4">
      <c r="A322" s="52" t="s">
        <v>3208</v>
      </c>
      <c r="B322" s="48" t="s">
        <v>805</v>
      </c>
      <c r="C322" s="48" t="s">
        <v>2884</v>
      </c>
      <c r="D322" s="48" t="s">
        <v>3457</v>
      </c>
    </row>
    <row r="323" spans="1:4">
      <c r="A323" s="50" t="s">
        <v>3209</v>
      </c>
      <c r="B323" s="32" t="s">
        <v>806</v>
      </c>
      <c r="C323" s="32" t="s">
        <v>62</v>
      </c>
      <c r="D323" s="32" t="s">
        <v>3457</v>
      </c>
    </row>
    <row r="324" spans="1:4">
      <c r="A324" s="52" t="s">
        <v>3210</v>
      </c>
      <c r="B324" s="48" t="s">
        <v>807</v>
      </c>
      <c r="C324" s="48" t="s">
        <v>62</v>
      </c>
      <c r="D324" s="48" t="s">
        <v>3457</v>
      </c>
    </row>
    <row r="325" spans="1:4">
      <c r="A325" s="50" t="s">
        <v>3211</v>
      </c>
      <c r="B325" s="32" t="s">
        <v>808</v>
      </c>
      <c r="C325" s="32" t="s">
        <v>62</v>
      </c>
      <c r="D325" s="32" t="s">
        <v>3458</v>
      </c>
    </row>
    <row r="326" spans="1:4">
      <c r="A326" s="52" t="s">
        <v>3212</v>
      </c>
      <c r="B326" s="48" t="s">
        <v>809</v>
      </c>
      <c r="C326" s="48" t="s">
        <v>62</v>
      </c>
      <c r="D326" s="48" t="s">
        <v>3457</v>
      </c>
    </row>
    <row r="327" spans="1:4">
      <c r="A327" s="50" t="s">
        <v>3213</v>
      </c>
      <c r="B327" s="32" t="s">
        <v>810</v>
      </c>
      <c r="C327" s="32" t="s">
        <v>62</v>
      </c>
      <c r="D327" s="32" t="s">
        <v>3457</v>
      </c>
    </row>
    <row r="328" spans="1:4">
      <c r="A328" s="52" t="s">
        <v>3214</v>
      </c>
      <c r="B328" s="48" t="s">
        <v>811</v>
      </c>
      <c r="C328" s="48" t="s">
        <v>62</v>
      </c>
      <c r="D328" s="48" t="s">
        <v>3457</v>
      </c>
    </row>
    <row r="329" spans="1:4">
      <c r="A329" s="50" t="s">
        <v>3215</v>
      </c>
      <c r="B329" s="32" t="s">
        <v>812</v>
      </c>
      <c r="C329" s="32" t="s">
        <v>2884</v>
      </c>
      <c r="D329" s="32" t="s">
        <v>3457</v>
      </c>
    </row>
    <row r="330" spans="1:4">
      <c r="A330" s="52" t="s">
        <v>3216</v>
      </c>
      <c r="B330" s="48" t="s">
        <v>813</v>
      </c>
      <c r="C330" s="48" t="s">
        <v>62</v>
      </c>
      <c r="D330" s="48" t="s">
        <v>3457</v>
      </c>
    </row>
    <row r="331" spans="1:4">
      <c r="A331" s="50" t="s">
        <v>3217</v>
      </c>
      <c r="B331" s="32" t="s">
        <v>814</v>
      </c>
      <c r="C331" s="32" t="s">
        <v>62</v>
      </c>
      <c r="D331" s="32" t="s">
        <v>3457</v>
      </c>
    </row>
    <row r="332" spans="1:4">
      <c r="A332" s="52" t="s">
        <v>3218</v>
      </c>
      <c r="B332" s="48" t="s">
        <v>815</v>
      </c>
      <c r="C332" s="48" t="s">
        <v>62</v>
      </c>
      <c r="D332" s="48" t="s">
        <v>3457</v>
      </c>
    </row>
    <row r="333" spans="1:4">
      <c r="A333" s="50" t="s">
        <v>3219</v>
      </c>
      <c r="B333" s="32" t="s">
        <v>816</v>
      </c>
      <c r="C333" s="32" t="s">
        <v>62</v>
      </c>
      <c r="D333" s="32" t="s">
        <v>3457</v>
      </c>
    </row>
    <row r="334" spans="1:4">
      <c r="A334" s="52" t="s">
        <v>3220</v>
      </c>
      <c r="B334" s="48" t="s">
        <v>817</v>
      </c>
      <c r="C334" s="48" t="s">
        <v>62</v>
      </c>
      <c r="D334" s="48" t="s">
        <v>3457</v>
      </c>
    </row>
    <row r="335" spans="1:4">
      <c r="A335" s="50" t="s">
        <v>3221</v>
      </c>
      <c r="B335" s="32" t="s">
        <v>818</v>
      </c>
      <c r="C335" s="32" t="s">
        <v>62</v>
      </c>
      <c r="D335" s="32" t="s">
        <v>3457</v>
      </c>
    </row>
    <row r="336" spans="1:4">
      <c r="A336" s="52" t="s">
        <v>3222</v>
      </c>
      <c r="B336" s="48" t="s">
        <v>819</v>
      </c>
      <c r="C336" s="48" t="s">
        <v>62</v>
      </c>
      <c r="D336" s="48" t="s">
        <v>3457</v>
      </c>
    </row>
    <row r="337" spans="1:4">
      <c r="A337" s="50" t="s">
        <v>3223</v>
      </c>
      <c r="B337" s="32" t="s">
        <v>820</v>
      </c>
      <c r="C337" s="32" t="s">
        <v>62</v>
      </c>
      <c r="D337" s="32" t="s">
        <v>3457</v>
      </c>
    </row>
    <row r="338" spans="1:4">
      <c r="A338" s="52" t="s">
        <v>3224</v>
      </c>
      <c r="B338" s="48" t="s">
        <v>821</v>
      </c>
      <c r="C338" s="48" t="s">
        <v>62</v>
      </c>
      <c r="D338" s="48" t="s">
        <v>3457</v>
      </c>
    </row>
    <row r="339" spans="1:4">
      <c r="A339" s="50" t="s">
        <v>3225</v>
      </c>
      <c r="B339" s="32" t="s">
        <v>822</v>
      </c>
      <c r="C339" s="32" t="s">
        <v>62</v>
      </c>
      <c r="D339" s="32" t="s">
        <v>3457</v>
      </c>
    </row>
    <row r="340" spans="1:4">
      <c r="A340" s="52" t="s">
        <v>3226</v>
      </c>
      <c r="B340" s="48" t="s">
        <v>823</v>
      </c>
      <c r="C340" s="48" t="s">
        <v>62</v>
      </c>
      <c r="D340" s="48" t="s">
        <v>3457</v>
      </c>
    </row>
    <row r="341" spans="1:4">
      <c r="A341" s="50" t="s">
        <v>3227</v>
      </c>
      <c r="B341" s="32" t="s">
        <v>824</v>
      </c>
      <c r="C341" s="32" t="s">
        <v>62</v>
      </c>
      <c r="D341" s="32" t="s">
        <v>3457</v>
      </c>
    </row>
    <row r="342" spans="1:4">
      <c r="A342" s="52" t="s">
        <v>3228</v>
      </c>
      <c r="B342" s="48" t="s">
        <v>825</v>
      </c>
      <c r="C342" s="48" t="s">
        <v>62</v>
      </c>
      <c r="D342" s="48" t="s">
        <v>3457</v>
      </c>
    </row>
    <row r="343" spans="1:4">
      <c r="A343" s="50" t="s">
        <v>3229</v>
      </c>
      <c r="B343" s="32" t="s">
        <v>826</v>
      </c>
      <c r="C343" s="32" t="s">
        <v>62</v>
      </c>
      <c r="D343" s="32" t="s">
        <v>3457</v>
      </c>
    </row>
    <row r="344" spans="1:4">
      <c r="A344" s="52" t="s">
        <v>3230</v>
      </c>
      <c r="B344" s="48" t="s">
        <v>827</v>
      </c>
      <c r="C344" s="48" t="s">
        <v>62</v>
      </c>
      <c r="D344" s="48" t="s">
        <v>3458</v>
      </c>
    </row>
    <row r="345" spans="1:4">
      <c r="A345" s="50" t="s">
        <v>3231</v>
      </c>
      <c r="B345" s="32" t="s">
        <v>828</v>
      </c>
      <c r="C345" s="32" t="s">
        <v>2885</v>
      </c>
      <c r="D345" s="32" t="s">
        <v>3457</v>
      </c>
    </row>
    <row r="346" spans="1:4">
      <c r="A346" s="52" t="s">
        <v>3232</v>
      </c>
      <c r="B346" s="48" t="s">
        <v>829</v>
      </c>
      <c r="C346" s="48" t="s">
        <v>2884</v>
      </c>
      <c r="D346" s="48" t="s">
        <v>3457</v>
      </c>
    </row>
    <row r="347" spans="1:4">
      <c r="A347" s="50" t="s">
        <v>3233</v>
      </c>
      <c r="B347" s="32" t="s">
        <v>830</v>
      </c>
      <c r="C347" s="32" t="s">
        <v>62</v>
      </c>
      <c r="D347" s="32" t="s">
        <v>3457</v>
      </c>
    </row>
    <row r="348" spans="1:4">
      <c r="A348" s="52" t="s">
        <v>3234</v>
      </c>
      <c r="B348" s="48" t="s">
        <v>831</v>
      </c>
      <c r="C348" s="48" t="s">
        <v>62</v>
      </c>
      <c r="D348" s="48" t="s">
        <v>3457</v>
      </c>
    </row>
    <row r="349" spans="1:4">
      <c r="A349" s="50" t="s">
        <v>3235</v>
      </c>
      <c r="B349" s="32" t="s">
        <v>832</v>
      </c>
      <c r="C349" s="32" t="s">
        <v>62</v>
      </c>
      <c r="D349" s="32" t="s">
        <v>3458</v>
      </c>
    </row>
    <row r="350" spans="1:4">
      <c r="A350" s="52" t="s">
        <v>3236</v>
      </c>
      <c r="B350" s="48" t="s">
        <v>833</v>
      </c>
      <c r="C350" s="48" t="s">
        <v>62</v>
      </c>
      <c r="D350" s="48" t="s">
        <v>3457</v>
      </c>
    </row>
    <row r="351" spans="1:4">
      <c r="A351" s="50" t="s">
        <v>3237</v>
      </c>
      <c r="B351" s="32" t="s">
        <v>834</v>
      </c>
      <c r="C351" s="32" t="s">
        <v>62</v>
      </c>
      <c r="D351" s="32" t="s">
        <v>3457</v>
      </c>
    </row>
    <row r="352" spans="1:4">
      <c r="A352" s="52" t="s">
        <v>3238</v>
      </c>
      <c r="B352" s="48" t="s">
        <v>835</v>
      </c>
      <c r="C352" s="48" t="s">
        <v>62</v>
      </c>
      <c r="D352" s="48" t="s">
        <v>3457</v>
      </c>
    </row>
    <row r="353" spans="1:4">
      <c r="A353" s="50" t="s">
        <v>3239</v>
      </c>
      <c r="B353" s="32" t="s">
        <v>836</v>
      </c>
      <c r="C353" s="32" t="s">
        <v>2884</v>
      </c>
      <c r="D353" s="32" t="s">
        <v>3457</v>
      </c>
    </row>
    <row r="354" spans="1:4">
      <c r="A354" s="52" t="s">
        <v>3240</v>
      </c>
      <c r="B354" s="48" t="s">
        <v>837</v>
      </c>
      <c r="C354" s="48" t="s">
        <v>62</v>
      </c>
      <c r="D354" s="48" t="s">
        <v>3457</v>
      </c>
    </row>
    <row r="355" spans="1:4">
      <c r="A355" s="50" t="s">
        <v>3241</v>
      </c>
      <c r="B355" s="32" t="s">
        <v>838</v>
      </c>
      <c r="C355" s="32" t="s">
        <v>62</v>
      </c>
      <c r="D355" s="32" t="s">
        <v>3457</v>
      </c>
    </row>
    <row r="356" spans="1:4">
      <c r="A356" s="52" t="s">
        <v>3242</v>
      </c>
      <c r="B356" s="48" t="s">
        <v>839</v>
      </c>
      <c r="C356" s="48" t="s">
        <v>62</v>
      </c>
      <c r="D356" s="48" t="s">
        <v>3457</v>
      </c>
    </row>
    <row r="357" spans="1:4">
      <c r="A357" s="50" t="s">
        <v>3243</v>
      </c>
      <c r="B357" s="32" t="s">
        <v>840</v>
      </c>
      <c r="C357" s="32" t="s">
        <v>62</v>
      </c>
      <c r="D357" s="32" t="s">
        <v>3457</v>
      </c>
    </row>
    <row r="358" spans="1:4">
      <c r="A358" s="52" t="s">
        <v>3244</v>
      </c>
      <c r="B358" s="48" t="s">
        <v>841</v>
      </c>
      <c r="C358" s="48" t="s">
        <v>62</v>
      </c>
      <c r="D358" s="48" t="s">
        <v>3457</v>
      </c>
    </row>
    <row r="359" spans="1:4">
      <c r="A359" s="50" t="s">
        <v>3245</v>
      </c>
      <c r="B359" s="32" t="s">
        <v>842</v>
      </c>
      <c r="C359" s="32" t="s">
        <v>62</v>
      </c>
      <c r="D359" s="32" t="s">
        <v>3457</v>
      </c>
    </row>
    <row r="360" spans="1:4">
      <c r="A360" s="52" t="s">
        <v>3246</v>
      </c>
      <c r="B360" s="48" t="s">
        <v>843</v>
      </c>
      <c r="C360" s="48" t="s">
        <v>62</v>
      </c>
      <c r="D360" s="48" t="s">
        <v>3457</v>
      </c>
    </row>
    <row r="361" spans="1:4">
      <c r="A361" s="50" t="s">
        <v>3247</v>
      </c>
      <c r="B361" s="32" t="s">
        <v>844</v>
      </c>
      <c r="C361" s="32" t="s">
        <v>62</v>
      </c>
      <c r="D361" s="32" t="s">
        <v>3457</v>
      </c>
    </row>
    <row r="362" spans="1:4">
      <c r="A362" s="52" t="s">
        <v>3248</v>
      </c>
      <c r="B362" s="48" t="s">
        <v>845</v>
      </c>
      <c r="C362" s="48" t="s">
        <v>62</v>
      </c>
      <c r="D362" s="48" t="s">
        <v>3457</v>
      </c>
    </row>
    <row r="363" spans="1:4">
      <c r="A363" s="50" t="s">
        <v>3249</v>
      </c>
      <c r="B363" s="32" t="s">
        <v>846</v>
      </c>
      <c r="C363" s="32" t="s">
        <v>62</v>
      </c>
      <c r="D363" s="32" t="s">
        <v>3457</v>
      </c>
    </row>
    <row r="364" spans="1:4">
      <c r="A364" s="52" t="s">
        <v>3250</v>
      </c>
      <c r="B364" s="48" t="s">
        <v>847</v>
      </c>
      <c r="C364" s="48" t="s">
        <v>62</v>
      </c>
      <c r="D364" s="48" t="s">
        <v>3457</v>
      </c>
    </row>
    <row r="365" spans="1:4">
      <c r="A365" s="50" t="s">
        <v>3251</v>
      </c>
      <c r="B365" s="32" t="s">
        <v>848</v>
      </c>
      <c r="C365" s="32" t="s">
        <v>62</v>
      </c>
      <c r="D365" s="32" t="s">
        <v>3457</v>
      </c>
    </row>
    <row r="366" spans="1:4">
      <c r="A366" s="52" t="s">
        <v>3252</v>
      </c>
      <c r="B366" s="48" t="s">
        <v>849</v>
      </c>
      <c r="C366" s="48" t="s">
        <v>62</v>
      </c>
      <c r="D366" s="48" t="s">
        <v>3457</v>
      </c>
    </row>
    <row r="367" spans="1:4">
      <c r="A367" s="50" t="s">
        <v>3253</v>
      </c>
      <c r="B367" s="32" t="s">
        <v>850</v>
      </c>
      <c r="C367" s="32" t="s">
        <v>62</v>
      </c>
      <c r="D367" s="32" t="s">
        <v>3457</v>
      </c>
    </row>
    <row r="368" spans="1:4">
      <c r="A368" s="52" t="s">
        <v>3254</v>
      </c>
      <c r="B368" s="48" t="s">
        <v>851</v>
      </c>
      <c r="C368" s="48" t="s">
        <v>62</v>
      </c>
      <c r="D368" s="48" t="s">
        <v>3458</v>
      </c>
    </row>
    <row r="369" spans="1:4">
      <c r="A369" s="50" t="s">
        <v>3255</v>
      </c>
      <c r="B369" s="32" t="s">
        <v>852</v>
      </c>
      <c r="C369" s="32" t="s">
        <v>2885</v>
      </c>
      <c r="D369" s="32" t="s">
        <v>3457</v>
      </c>
    </row>
    <row r="370" spans="1:4">
      <c r="A370" s="52" t="s">
        <v>3256</v>
      </c>
      <c r="B370" s="48" t="s">
        <v>853</v>
      </c>
      <c r="C370" s="48" t="s">
        <v>2884</v>
      </c>
      <c r="D370" s="48" t="s">
        <v>3457</v>
      </c>
    </row>
    <row r="371" spans="1:4">
      <c r="A371" s="50" t="s">
        <v>3257</v>
      </c>
      <c r="B371" s="32" t="s">
        <v>854</v>
      </c>
      <c r="C371" s="32" t="s">
        <v>62</v>
      </c>
      <c r="D371" s="32" t="s">
        <v>3457</v>
      </c>
    </row>
    <row r="372" spans="1:4">
      <c r="A372" s="52" t="s">
        <v>3258</v>
      </c>
      <c r="B372" s="48" t="s">
        <v>855</v>
      </c>
      <c r="C372" s="48" t="s">
        <v>62</v>
      </c>
      <c r="D372" s="48" t="s">
        <v>3457</v>
      </c>
    </row>
    <row r="373" spans="1:4">
      <c r="A373" s="50" t="s">
        <v>3259</v>
      </c>
      <c r="B373" s="32" t="s">
        <v>856</v>
      </c>
      <c r="C373" s="32" t="s">
        <v>62</v>
      </c>
      <c r="D373" s="32" t="s">
        <v>3458</v>
      </c>
    </row>
    <row r="374" spans="1:4">
      <c r="A374" s="52" t="s">
        <v>3260</v>
      </c>
      <c r="B374" s="48" t="s">
        <v>857</v>
      </c>
      <c r="C374" s="48" t="s">
        <v>62</v>
      </c>
      <c r="D374" s="48" t="s">
        <v>3457</v>
      </c>
    </row>
    <row r="375" spans="1:4">
      <c r="A375" s="50" t="s">
        <v>3261</v>
      </c>
      <c r="B375" s="32" t="s">
        <v>858</v>
      </c>
      <c r="C375" s="32" t="s">
        <v>62</v>
      </c>
      <c r="D375" s="32" t="s">
        <v>3457</v>
      </c>
    </row>
    <row r="376" spans="1:4">
      <c r="A376" s="52" t="s">
        <v>3262</v>
      </c>
      <c r="B376" s="48" t="s">
        <v>859</v>
      </c>
      <c r="C376" s="48" t="s">
        <v>62</v>
      </c>
      <c r="D376" s="48" t="s">
        <v>3457</v>
      </c>
    </row>
    <row r="377" spans="1:4">
      <c r="A377" s="50" t="s">
        <v>3263</v>
      </c>
      <c r="B377" s="32" t="s">
        <v>860</v>
      </c>
      <c r="C377" s="32" t="s">
        <v>2884</v>
      </c>
      <c r="D377" s="32" t="s">
        <v>3457</v>
      </c>
    </row>
    <row r="378" spans="1:4">
      <c r="A378" s="52" t="s">
        <v>3264</v>
      </c>
      <c r="B378" s="48" t="s">
        <v>861</v>
      </c>
      <c r="C378" s="48" t="s">
        <v>62</v>
      </c>
      <c r="D378" s="48" t="s">
        <v>3457</v>
      </c>
    </row>
    <row r="379" spans="1:4">
      <c r="A379" s="50" t="s">
        <v>3265</v>
      </c>
      <c r="B379" s="32" t="s">
        <v>862</v>
      </c>
      <c r="C379" s="32" t="s">
        <v>62</v>
      </c>
      <c r="D379" s="32" t="s">
        <v>3457</v>
      </c>
    </row>
    <row r="380" spans="1:4">
      <c r="A380" s="52" t="s">
        <v>3266</v>
      </c>
      <c r="B380" s="48" t="s">
        <v>863</v>
      </c>
      <c r="C380" s="48" t="s">
        <v>62</v>
      </c>
      <c r="D380" s="48" t="s">
        <v>3457</v>
      </c>
    </row>
    <row r="381" spans="1:4">
      <c r="A381" s="50" t="s">
        <v>3267</v>
      </c>
      <c r="B381" s="32" t="s">
        <v>864</v>
      </c>
      <c r="C381" s="32" t="s">
        <v>62</v>
      </c>
      <c r="D381" s="32" t="s">
        <v>3457</v>
      </c>
    </row>
    <row r="382" spans="1:4">
      <c r="A382" s="52" t="s">
        <v>3268</v>
      </c>
      <c r="B382" s="48" t="s">
        <v>865</v>
      </c>
      <c r="C382" s="48" t="s">
        <v>62</v>
      </c>
      <c r="D382" s="48" t="s">
        <v>3457</v>
      </c>
    </row>
    <row r="383" spans="1:4">
      <c r="A383" s="50" t="s">
        <v>3269</v>
      </c>
      <c r="B383" s="32" t="s">
        <v>866</v>
      </c>
      <c r="C383" s="32" t="s">
        <v>62</v>
      </c>
      <c r="D383" s="32" t="s">
        <v>3457</v>
      </c>
    </row>
    <row r="384" spans="1:4">
      <c r="A384" s="52" t="s">
        <v>3270</v>
      </c>
      <c r="B384" s="48" t="s">
        <v>867</v>
      </c>
      <c r="C384" s="48" t="s">
        <v>62</v>
      </c>
      <c r="D384" s="48" t="s">
        <v>3457</v>
      </c>
    </row>
    <row r="385" spans="1:4">
      <c r="A385" s="50" t="s">
        <v>3271</v>
      </c>
      <c r="B385" s="32" t="s">
        <v>868</v>
      </c>
      <c r="C385" s="32" t="s">
        <v>62</v>
      </c>
      <c r="D385" s="32" t="s">
        <v>3457</v>
      </c>
    </row>
    <row r="386" spans="1:4">
      <c r="A386" s="52" t="s">
        <v>3272</v>
      </c>
      <c r="B386" s="48" t="s">
        <v>869</v>
      </c>
      <c r="C386" s="48" t="s">
        <v>62</v>
      </c>
      <c r="D386" s="48" t="s">
        <v>3457</v>
      </c>
    </row>
    <row r="387" spans="1:4">
      <c r="A387" s="50" t="s">
        <v>3273</v>
      </c>
      <c r="B387" s="32" t="s">
        <v>870</v>
      </c>
      <c r="C387" s="32" t="s">
        <v>62</v>
      </c>
      <c r="D387" s="32" t="s">
        <v>3457</v>
      </c>
    </row>
    <row r="388" spans="1:4">
      <c r="A388" s="52" t="s">
        <v>3274</v>
      </c>
      <c r="B388" s="48" t="s">
        <v>871</v>
      </c>
      <c r="C388" s="48" t="s">
        <v>62</v>
      </c>
      <c r="D388" s="48" t="s">
        <v>3457</v>
      </c>
    </row>
    <row r="389" spans="1:4">
      <c r="A389" s="50" t="s">
        <v>3275</v>
      </c>
      <c r="B389" s="32" t="s">
        <v>872</v>
      </c>
      <c r="C389" s="32" t="s">
        <v>62</v>
      </c>
      <c r="D389" s="32" t="s">
        <v>3457</v>
      </c>
    </row>
    <row r="390" spans="1:4">
      <c r="A390" s="52" t="s">
        <v>3276</v>
      </c>
      <c r="B390" s="48" t="s">
        <v>873</v>
      </c>
      <c r="C390" s="48" t="s">
        <v>62</v>
      </c>
      <c r="D390" s="48" t="s">
        <v>3457</v>
      </c>
    </row>
    <row r="391" spans="1:4">
      <c r="A391" s="50" t="s">
        <v>3277</v>
      </c>
      <c r="B391" s="32" t="s">
        <v>874</v>
      </c>
      <c r="C391" s="32" t="s">
        <v>62</v>
      </c>
      <c r="D391" s="32" t="s">
        <v>3457</v>
      </c>
    </row>
    <row r="392" spans="1:4">
      <c r="A392" s="52" t="s">
        <v>3278</v>
      </c>
      <c r="B392" s="48" t="s">
        <v>875</v>
      </c>
      <c r="C392" s="48" t="s">
        <v>62</v>
      </c>
      <c r="D392" s="48" t="s">
        <v>3458</v>
      </c>
    </row>
    <row r="393" spans="1:4">
      <c r="A393" s="50" t="s">
        <v>3279</v>
      </c>
      <c r="B393" s="32" t="s">
        <v>876</v>
      </c>
      <c r="C393" s="32" t="s">
        <v>2885</v>
      </c>
      <c r="D393" s="32" t="s">
        <v>3457</v>
      </c>
    </row>
    <row r="394" spans="1:4">
      <c r="A394" s="52" t="s">
        <v>3280</v>
      </c>
      <c r="B394" s="48" t="s">
        <v>877</v>
      </c>
      <c r="C394" s="48" t="s">
        <v>2884</v>
      </c>
      <c r="D394" s="48" t="s">
        <v>3457</v>
      </c>
    </row>
    <row r="395" spans="1:4">
      <c r="A395" s="50" t="s">
        <v>3281</v>
      </c>
      <c r="B395" s="32" t="s">
        <v>878</v>
      </c>
      <c r="C395" s="32" t="s">
        <v>62</v>
      </c>
      <c r="D395" s="32" t="s">
        <v>3457</v>
      </c>
    </row>
    <row r="396" spans="1:4">
      <c r="A396" s="52" t="s">
        <v>3282</v>
      </c>
      <c r="B396" s="48" t="s">
        <v>879</v>
      </c>
      <c r="C396" s="48" t="s">
        <v>62</v>
      </c>
      <c r="D396" s="48" t="s">
        <v>3457</v>
      </c>
    </row>
    <row r="397" spans="1:4">
      <c r="A397" s="50" t="s">
        <v>3283</v>
      </c>
      <c r="B397" s="32" t="s">
        <v>880</v>
      </c>
      <c r="C397" s="32" t="s">
        <v>62</v>
      </c>
      <c r="D397" s="32" t="s">
        <v>3458</v>
      </c>
    </row>
    <row r="398" spans="1:4">
      <c r="A398" s="52" t="s">
        <v>3284</v>
      </c>
      <c r="B398" s="48" t="s">
        <v>881</v>
      </c>
      <c r="C398" s="48" t="s">
        <v>62</v>
      </c>
      <c r="D398" s="48" t="s">
        <v>3457</v>
      </c>
    </row>
    <row r="399" spans="1:4">
      <c r="A399" s="50" t="s">
        <v>3285</v>
      </c>
      <c r="B399" s="32" t="s">
        <v>882</v>
      </c>
      <c r="C399" s="32" t="s">
        <v>62</v>
      </c>
      <c r="D399" s="32" t="s">
        <v>3457</v>
      </c>
    </row>
    <row r="400" spans="1:4">
      <c r="A400" s="52" t="s">
        <v>3286</v>
      </c>
      <c r="B400" s="48" t="s">
        <v>883</v>
      </c>
      <c r="C400" s="48" t="s">
        <v>62</v>
      </c>
      <c r="D400" s="48" t="s">
        <v>3457</v>
      </c>
    </row>
    <row r="401" spans="1:4">
      <c r="A401" s="50" t="s">
        <v>3287</v>
      </c>
      <c r="B401" s="32" t="s">
        <v>884</v>
      </c>
      <c r="C401" s="32" t="s">
        <v>2884</v>
      </c>
      <c r="D401" s="32" t="s">
        <v>3457</v>
      </c>
    </row>
    <row r="402" spans="1:4">
      <c r="A402" s="52" t="s">
        <v>3288</v>
      </c>
      <c r="B402" s="48" t="s">
        <v>885</v>
      </c>
      <c r="C402" s="48" t="s">
        <v>62</v>
      </c>
      <c r="D402" s="48" t="s">
        <v>3457</v>
      </c>
    </row>
    <row r="403" spans="1:4">
      <c r="A403" s="50" t="s">
        <v>3289</v>
      </c>
      <c r="B403" s="32" t="s">
        <v>886</v>
      </c>
      <c r="C403" s="32" t="s">
        <v>62</v>
      </c>
      <c r="D403" s="32" t="s">
        <v>3457</v>
      </c>
    </row>
    <row r="404" spans="1:4">
      <c r="A404" s="52" t="s">
        <v>3290</v>
      </c>
      <c r="B404" s="48" t="s">
        <v>887</v>
      </c>
      <c r="C404" s="48" t="s">
        <v>62</v>
      </c>
      <c r="D404" s="48" t="s">
        <v>3457</v>
      </c>
    </row>
    <row r="405" spans="1:4">
      <c r="A405" s="50" t="s">
        <v>3291</v>
      </c>
      <c r="B405" s="32" t="s">
        <v>888</v>
      </c>
      <c r="C405" s="32" t="s">
        <v>62</v>
      </c>
      <c r="D405" s="32" t="s">
        <v>3457</v>
      </c>
    </row>
    <row r="406" spans="1:4">
      <c r="A406" s="52" t="s">
        <v>3292</v>
      </c>
      <c r="B406" s="48" t="s">
        <v>889</v>
      </c>
      <c r="C406" s="48" t="s">
        <v>62</v>
      </c>
      <c r="D406" s="48" t="s">
        <v>3457</v>
      </c>
    </row>
    <row r="407" spans="1:4">
      <c r="A407" s="50" t="s">
        <v>3293</v>
      </c>
      <c r="B407" s="32" t="s">
        <v>890</v>
      </c>
      <c r="C407" s="32" t="s">
        <v>62</v>
      </c>
      <c r="D407" s="32" t="s">
        <v>3457</v>
      </c>
    </row>
    <row r="408" spans="1:4">
      <c r="A408" s="52" t="s">
        <v>3294</v>
      </c>
      <c r="B408" s="48" t="s">
        <v>891</v>
      </c>
      <c r="C408" s="48" t="s">
        <v>62</v>
      </c>
      <c r="D408" s="48" t="s">
        <v>3457</v>
      </c>
    </row>
    <row r="409" spans="1:4">
      <c r="A409" s="50" t="s">
        <v>3295</v>
      </c>
      <c r="B409" s="32" t="s">
        <v>892</v>
      </c>
      <c r="C409" s="32" t="s">
        <v>62</v>
      </c>
      <c r="D409" s="32" t="s">
        <v>3457</v>
      </c>
    </row>
    <row r="410" spans="1:4">
      <c r="A410" s="52" t="s">
        <v>3296</v>
      </c>
      <c r="B410" s="48" t="s">
        <v>893</v>
      </c>
      <c r="C410" s="48" t="s">
        <v>62</v>
      </c>
      <c r="D410" s="48" t="s">
        <v>3457</v>
      </c>
    </row>
    <row r="411" spans="1:4">
      <c r="A411" s="50" t="s">
        <v>3297</v>
      </c>
      <c r="B411" s="32" t="s">
        <v>894</v>
      </c>
      <c r="C411" s="32" t="s">
        <v>62</v>
      </c>
      <c r="D411" s="32" t="s">
        <v>3457</v>
      </c>
    </row>
    <row r="412" spans="1:4">
      <c r="A412" s="52" t="s">
        <v>3298</v>
      </c>
      <c r="B412" s="48" t="s">
        <v>895</v>
      </c>
      <c r="C412" s="48" t="s">
        <v>62</v>
      </c>
      <c r="D412" s="48" t="s">
        <v>3457</v>
      </c>
    </row>
    <row r="413" spans="1:4">
      <c r="A413" s="50" t="s">
        <v>3299</v>
      </c>
      <c r="B413" s="32" t="s">
        <v>896</v>
      </c>
      <c r="C413" s="32" t="s">
        <v>62</v>
      </c>
      <c r="D413" s="32" t="s">
        <v>3457</v>
      </c>
    </row>
    <row r="414" spans="1:4">
      <c r="A414" s="52" t="s">
        <v>3300</v>
      </c>
      <c r="B414" s="48" t="s">
        <v>897</v>
      </c>
      <c r="C414" s="48" t="s">
        <v>62</v>
      </c>
      <c r="D414" s="48" t="s">
        <v>3457</v>
      </c>
    </row>
    <row r="415" spans="1:4">
      <c r="A415" s="50" t="s">
        <v>3301</v>
      </c>
      <c r="B415" s="32" t="s">
        <v>898</v>
      </c>
      <c r="C415" s="32" t="s">
        <v>62</v>
      </c>
      <c r="D415" s="32" t="s">
        <v>3457</v>
      </c>
    </row>
    <row r="416" spans="1:4">
      <c r="A416" s="52" t="s">
        <v>3302</v>
      </c>
      <c r="B416" s="48" t="s">
        <v>899</v>
      </c>
      <c r="C416" s="48" t="s">
        <v>62</v>
      </c>
      <c r="D416" s="48" t="s">
        <v>3458</v>
      </c>
    </row>
    <row r="417" spans="1:4">
      <c r="A417" s="50" t="s">
        <v>3303</v>
      </c>
      <c r="B417" s="32" t="s">
        <v>900</v>
      </c>
      <c r="C417" s="32" t="s">
        <v>2885</v>
      </c>
      <c r="D417" s="32" t="s">
        <v>3457</v>
      </c>
    </row>
    <row r="418" spans="1:4">
      <c r="A418" s="52" t="s">
        <v>3304</v>
      </c>
      <c r="B418" s="48" t="s">
        <v>901</v>
      </c>
      <c r="C418" s="48" t="s">
        <v>2884</v>
      </c>
      <c r="D418" s="48" t="s">
        <v>3457</v>
      </c>
    </row>
    <row r="419" spans="1:4">
      <c r="A419" s="50" t="s">
        <v>3305</v>
      </c>
      <c r="B419" s="32" t="s">
        <v>902</v>
      </c>
      <c r="C419" s="32" t="s">
        <v>62</v>
      </c>
      <c r="D419" s="32" t="s">
        <v>3457</v>
      </c>
    </row>
    <row r="420" spans="1:4">
      <c r="A420" s="52" t="s">
        <v>3306</v>
      </c>
      <c r="B420" s="48" t="s">
        <v>903</v>
      </c>
      <c r="C420" s="48" t="s">
        <v>62</v>
      </c>
      <c r="D420" s="48" t="s">
        <v>3457</v>
      </c>
    </row>
    <row r="421" spans="1:4">
      <c r="A421" s="50" t="s">
        <v>3307</v>
      </c>
      <c r="B421" s="32" t="s">
        <v>904</v>
      </c>
      <c r="C421" s="32" t="s">
        <v>62</v>
      </c>
      <c r="D421" s="32" t="s">
        <v>3458</v>
      </c>
    </row>
    <row r="422" spans="1:4">
      <c r="A422" s="52" t="s">
        <v>3308</v>
      </c>
      <c r="B422" s="48" t="s">
        <v>905</v>
      </c>
      <c r="C422" s="48" t="s">
        <v>62</v>
      </c>
      <c r="D422" s="48" t="s">
        <v>3457</v>
      </c>
    </row>
    <row r="423" spans="1:4">
      <c r="A423" s="50" t="s">
        <v>3309</v>
      </c>
      <c r="B423" s="32" t="s">
        <v>906</v>
      </c>
      <c r="C423" s="32" t="s">
        <v>62</v>
      </c>
      <c r="D423" s="32" t="s">
        <v>3457</v>
      </c>
    </row>
    <row r="424" spans="1:4">
      <c r="A424" s="52" t="s">
        <v>3310</v>
      </c>
      <c r="B424" s="48" t="s">
        <v>907</v>
      </c>
      <c r="C424" s="48" t="s">
        <v>62</v>
      </c>
      <c r="D424" s="48" t="s">
        <v>3457</v>
      </c>
    </row>
    <row r="425" spans="1:4">
      <c r="A425" s="50" t="s">
        <v>3311</v>
      </c>
      <c r="B425" s="32" t="s">
        <v>908</v>
      </c>
      <c r="C425" s="32" t="s">
        <v>2884</v>
      </c>
      <c r="D425" s="32" t="s">
        <v>3457</v>
      </c>
    </row>
    <row r="426" spans="1:4">
      <c r="A426" s="52" t="s">
        <v>3312</v>
      </c>
      <c r="B426" s="48" t="s">
        <v>909</v>
      </c>
      <c r="C426" s="48" t="s">
        <v>62</v>
      </c>
      <c r="D426" s="48" t="s">
        <v>3457</v>
      </c>
    </row>
    <row r="427" spans="1:4">
      <c r="A427" s="50" t="s">
        <v>3313</v>
      </c>
      <c r="B427" s="32" t="s">
        <v>910</v>
      </c>
      <c r="C427" s="32" t="s">
        <v>62</v>
      </c>
      <c r="D427" s="32" t="s">
        <v>3457</v>
      </c>
    </row>
    <row r="428" spans="1:4">
      <c r="A428" s="52" t="s">
        <v>3314</v>
      </c>
      <c r="B428" s="48" t="s">
        <v>911</v>
      </c>
      <c r="C428" s="48" t="s">
        <v>62</v>
      </c>
      <c r="D428" s="48" t="s">
        <v>3457</v>
      </c>
    </row>
    <row r="429" spans="1:4">
      <c r="A429" s="50" t="s">
        <v>3315</v>
      </c>
      <c r="B429" s="32" t="s">
        <v>912</v>
      </c>
      <c r="C429" s="32" t="s">
        <v>62</v>
      </c>
      <c r="D429" s="32" t="s">
        <v>3457</v>
      </c>
    </row>
    <row r="430" spans="1:4">
      <c r="A430" s="52" t="s">
        <v>3316</v>
      </c>
      <c r="B430" s="48" t="s">
        <v>913</v>
      </c>
      <c r="C430" s="48" t="s">
        <v>62</v>
      </c>
      <c r="D430" s="48" t="s">
        <v>3457</v>
      </c>
    </row>
    <row r="431" spans="1:4">
      <c r="A431" s="50" t="s">
        <v>3317</v>
      </c>
      <c r="B431" s="32" t="s">
        <v>914</v>
      </c>
      <c r="C431" s="32" t="s">
        <v>62</v>
      </c>
      <c r="D431" s="32" t="s">
        <v>3457</v>
      </c>
    </row>
    <row r="432" spans="1:4">
      <c r="A432" s="52" t="s">
        <v>3318</v>
      </c>
      <c r="B432" s="48" t="s">
        <v>915</v>
      </c>
      <c r="C432" s="48" t="s">
        <v>62</v>
      </c>
      <c r="D432" s="48" t="s">
        <v>3457</v>
      </c>
    </row>
    <row r="433" spans="1:4">
      <c r="A433" s="50" t="s">
        <v>3319</v>
      </c>
      <c r="B433" s="32" t="s">
        <v>916</v>
      </c>
      <c r="C433" s="32" t="s">
        <v>62</v>
      </c>
      <c r="D433" s="32" t="s">
        <v>3457</v>
      </c>
    </row>
    <row r="434" spans="1:4">
      <c r="A434" s="52" t="s">
        <v>3320</v>
      </c>
      <c r="B434" s="48" t="s">
        <v>917</v>
      </c>
      <c r="C434" s="48" t="s">
        <v>62</v>
      </c>
      <c r="D434" s="48" t="s">
        <v>3457</v>
      </c>
    </row>
    <row r="435" spans="1:4">
      <c r="A435" s="50" t="s">
        <v>3321</v>
      </c>
      <c r="B435" s="32" t="s">
        <v>918</v>
      </c>
      <c r="C435" s="32" t="s">
        <v>62</v>
      </c>
      <c r="D435" s="32" t="s">
        <v>3457</v>
      </c>
    </row>
    <row r="436" spans="1:4">
      <c r="A436" s="52" t="s">
        <v>3322</v>
      </c>
      <c r="B436" s="48" t="s">
        <v>919</v>
      </c>
      <c r="C436" s="48" t="s">
        <v>62</v>
      </c>
      <c r="D436" s="48" t="s">
        <v>3457</v>
      </c>
    </row>
    <row r="437" spans="1:4">
      <c r="A437" s="50" t="s">
        <v>3323</v>
      </c>
      <c r="B437" s="32" t="s">
        <v>920</v>
      </c>
      <c r="C437" s="32" t="s">
        <v>62</v>
      </c>
      <c r="D437" s="32" t="s">
        <v>3457</v>
      </c>
    </row>
    <row r="438" spans="1:4">
      <c r="A438" s="52" t="s">
        <v>3324</v>
      </c>
      <c r="B438" s="48" t="s">
        <v>921</v>
      </c>
      <c r="C438" s="48" t="s">
        <v>62</v>
      </c>
      <c r="D438" s="48" t="s">
        <v>3457</v>
      </c>
    </row>
    <row r="439" spans="1:4">
      <c r="A439" s="50" t="s">
        <v>3325</v>
      </c>
      <c r="B439" s="32" t="s">
        <v>922</v>
      </c>
      <c r="C439" s="32" t="s">
        <v>62</v>
      </c>
      <c r="D439" s="32" t="s">
        <v>3457</v>
      </c>
    </row>
    <row r="440" spans="1:4">
      <c r="A440" s="52" t="s">
        <v>3326</v>
      </c>
      <c r="B440" s="48" t="s">
        <v>923</v>
      </c>
      <c r="C440" s="48" t="s">
        <v>62</v>
      </c>
      <c r="D440" s="48" t="s">
        <v>3458</v>
      </c>
    </row>
    <row r="441" spans="1:4">
      <c r="A441" s="50" t="s">
        <v>3327</v>
      </c>
      <c r="B441" s="32" t="s">
        <v>924</v>
      </c>
      <c r="C441" s="32" t="s">
        <v>2885</v>
      </c>
      <c r="D441" s="32" t="s">
        <v>3457</v>
      </c>
    </row>
    <row r="442" spans="1:4">
      <c r="A442" s="52" t="s">
        <v>3328</v>
      </c>
      <c r="B442" s="48" t="s">
        <v>925</v>
      </c>
      <c r="C442" s="48" t="s">
        <v>2884</v>
      </c>
      <c r="D442" s="48" t="s">
        <v>3457</v>
      </c>
    </row>
    <row r="443" spans="1:4">
      <c r="A443" s="50" t="s">
        <v>3329</v>
      </c>
      <c r="B443" s="32" t="s">
        <v>926</v>
      </c>
      <c r="C443" s="32" t="s">
        <v>62</v>
      </c>
      <c r="D443" s="32" t="s">
        <v>3457</v>
      </c>
    </row>
    <row r="444" spans="1:4">
      <c r="A444" s="52" t="s">
        <v>3330</v>
      </c>
      <c r="B444" s="48" t="s">
        <v>927</v>
      </c>
      <c r="C444" s="48" t="s">
        <v>62</v>
      </c>
      <c r="D444" s="48" t="s">
        <v>3457</v>
      </c>
    </row>
    <row r="445" spans="1:4">
      <c r="A445" s="50" t="s">
        <v>3331</v>
      </c>
      <c r="B445" s="32" t="s">
        <v>928</v>
      </c>
      <c r="C445" s="32" t="s">
        <v>62</v>
      </c>
      <c r="D445" s="32" t="s">
        <v>3458</v>
      </c>
    </row>
    <row r="446" spans="1:4">
      <c r="A446" s="52" t="s">
        <v>3332</v>
      </c>
      <c r="B446" s="48" t="s">
        <v>929</v>
      </c>
      <c r="C446" s="48" t="s">
        <v>62</v>
      </c>
      <c r="D446" s="48" t="s">
        <v>3457</v>
      </c>
    </row>
    <row r="447" spans="1:4">
      <c r="A447" s="50" t="s">
        <v>3333</v>
      </c>
      <c r="B447" s="32" t="s">
        <v>930</v>
      </c>
      <c r="C447" s="32" t="s">
        <v>62</v>
      </c>
      <c r="D447" s="32" t="s">
        <v>3457</v>
      </c>
    </row>
    <row r="448" spans="1:4">
      <c r="A448" s="52" t="s">
        <v>3334</v>
      </c>
      <c r="B448" s="48" t="s">
        <v>931</v>
      </c>
      <c r="C448" s="48" t="s">
        <v>62</v>
      </c>
      <c r="D448" s="48" t="s">
        <v>3457</v>
      </c>
    </row>
    <row r="449" spans="1:4">
      <c r="A449" s="50" t="s">
        <v>3335</v>
      </c>
      <c r="B449" s="32" t="s">
        <v>932</v>
      </c>
      <c r="C449" s="32" t="s">
        <v>2884</v>
      </c>
      <c r="D449" s="32" t="s">
        <v>3457</v>
      </c>
    </row>
    <row r="450" spans="1:4">
      <c r="A450" s="52" t="s">
        <v>3336</v>
      </c>
      <c r="B450" s="48" t="s">
        <v>933</v>
      </c>
      <c r="C450" s="48" t="s">
        <v>62</v>
      </c>
      <c r="D450" s="48" t="s">
        <v>3457</v>
      </c>
    </row>
    <row r="451" spans="1:4">
      <c r="A451" s="50" t="s">
        <v>3337</v>
      </c>
      <c r="B451" s="32" t="s">
        <v>934</v>
      </c>
      <c r="C451" s="32" t="s">
        <v>62</v>
      </c>
      <c r="D451" s="32" t="s">
        <v>3457</v>
      </c>
    </row>
    <row r="452" spans="1:4">
      <c r="A452" s="52" t="s">
        <v>3338</v>
      </c>
      <c r="B452" s="48" t="s">
        <v>935</v>
      </c>
      <c r="C452" s="48" t="s">
        <v>62</v>
      </c>
      <c r="D452" s="48" t="s">
        <v>3457</v>
      </c>
    </row>
    <row r="453" spans="1:4">
      <c r="A453" s="50" t="s">
        <v>3339</v>
      </c>
      <c r="B453" s="32" t="s">
        <v>936</v>
      </c>
      <c r="C453" s="32" t="s">
        <v>62</v>
      </c>
      <c r="D453" s="32" t="s">
        <v>3457</v>
      </c>
    </row>
    <row r="454" spans="1:4">
      <c r="A454" s="52" t="s">
        <v>3340</v>
      </c>
      <c r="B454" s="48" t="s">
        <v>937</v>
      </c>
      <c r="C454" s="48" t="s">
        <v>62</v>
      </c>
      <c r="D454" s="48" t="s">
        <v>3457</v>
      </c>
    </row>
    <row r="455" spans="1:4">
      <c r="A455" s="50" t="s">
        <v>3341</v>
      </c>
      <c r="B455" s="32" t="s">
        <v>938</v>
      </c>
      <c r="C455" s="32" t="s">
        <v>62</v>
      </c>
      <c r="D455" s="32" t="s">
        <v>3457</v>
      </c>
    </row>
    <row r="456" spans="1:4">
      <c r="A456" s="52" t="s">
        <v>3342</v>
      </c>
      <c r="B456" s="48" t="s">
        <v>939</v>
      </c>
      <c r="C456" s="48" t="s">
        <v>62</v>
      </c>
      <c r="D456" s="48" t="s">
        <v>3457</v>
      </c>
    </row>
    <row r="457" spans="1:4">
      <c r="A457" s="50" t="s">
        <v>3343</v>
      </c>
      <c r="B457" s="32" t="s">
        <v>940</v>
      </c>
      <c r="C457" s="32" t="s">
        <v>62</v>
      </c>
      <c r="D457" s="32" t="s">
        <v>3457</v>
      </c>
    </row>
    <row r="458" spans="1:4">
      <c r="A458" s="52" t="s">
        <v>3344</v>
      </c>
      <c r="B458" s="48" t="s">
        <v>941</v>
      </c>
      <c r="C458" s="48" t="s">
        <v>62</v>
      </c>
      <c r="D458" s="48" t="s">
        <v>3457</v>
      </c>
    </row>
    <row r="459" spans="1:4">
      <c r="A459" s="50" t="s">
        <v>3345</v>
      </c>
      <c r="B459" s="32" t="s">
        <v>942</v>
      </c>
      <c r="C459" s="32" t="s">
        <v>62</v>
      </c>
      <c r="D459" s="32" t="s">
        <v>3457</v>
      </c>
    </row>
    <row r="460" spans="1:4">
      <c r="A460" s="52" t="s">
        <v>3346</v>
      </c>
      <c r="B460" s="48" t="s">
        <v>943</v>
      </c>
      <c r="C460" s="48" t="s">
        <v>62</v>
      </c>
      <c r="D460" s="48" t="s">
        <v>3457</v>
      </c>
    </row>
    <row r="461" spans="1:4">
      <c r="A461" s="50" t="s">
        <v>3347</v>
      </c>
      <c r="B461" s="32" t="s">
        <v>944</v>
      </c>
      <c r="C461" s="32" t="s">
        <v>62</v>
      </c>
      <c r="D461" s="32" t="s">
        <v>3457</v>
      </c>
    </row>
    <row r="462" spans="1:4">
      <c r="A462" s="52" t="s">
        <v>3348</v>
      </c>
      <c r="B462" s="48" t="s">
        <v>945</v>
      </c>
      <c r="C462" s="48" t="s">
        <v>62</v>
      </c>
      <c r="D462" s="48" t="s">
        <v>3457</v>
      </c>
    </row>
    <row r="463" spans="1:4">
      <c r="A463" s="50" t="s">
        <v>3349</v>
      </c>
      <c r="B463" s="32" t="s">
        <v>946</v>
      </c>
      <c r="C463" s="32" t="s">
        <v>62</v>
      </c>
      <c r="D463" s="32" t="s">
        <v>3457</v>
      </c>
    </row>
    <row r="464" spans="1:4">
      <c r="A464" s="52" t="s">
        <v>3350</v>
      </c>
      <c r="B464" s="48" t="s">
        <v>947</v>
      </c>
      <c r="C464" s="48" t="s">
        <v>2885</v>
      </c>
      <c r="D464" s="48" t="s">
        <v>3457</v>
      </c>
    </row>
    <row r="465" spans="1:4">
      <c r="A465" s="50" t="s">
        <v>3351</v>
      </c>
      <c r="B465" s="32" t="s">
        <v>948</v>
      </c>
      <c r="C465" s="32" t="s">
        <v>2884</v>
      </c>
      <c r="D465" s="32" t="s">
        <v>3457</v>
      </c>
    </row>
    <row r="466" spans="1:4">
      <c r="A466" s="52" t="s">
        <v>3352</v>
      </c>
      <c r="B466" s="48" t="s">
        <v>949</v>
      </c>
      <c r="C466" s="48" t="s">
        <v>62</v>
      </c>
      <c r="D466" s="48" t="s">
        <v>3457</v>
      </c>
    </row>
    <row r="467" spans="1:4">
      <c r="A467" s="50" t="s">
        <v>3353</v>
      </c>
      <c r="B467" s="32" t="s">
        <v>950</v>
      </c>
      <c r="C467" s="32" t="s">
        <v>62</v>
      </c>
      <c r="D467" s="32" t="s">
        <v>3457</v>
      </c>
    </row>
    <row r="468" spans="1:4">
      <c r="A468" s="52" t="s">
        <v>3354</v>
      </c>
      <c r="B468" s="48" t="s">
        <v>951</v>
      </c>
      <c r="C468" s="48" t="s">
        <v>62</v>
      </c>
      <c r="D468" s="48" t="s">
        <v>3458</v>
      </c>
    </row>
    <row r="469" spans="1:4">
      <c r="A469" s="50" t="s">
        <v>3355</v>
      </c>
      <c r="B469" s="32" t="s">
        <v>952</v>
      </c>
      <c r="C469" s="32" t="s">
        <v>62</v>
      </c>
      <c r="D469" s="32" t="s">
        <v>3457</v>
      </c>
    </row>
    <row r="470" spans="1:4">
      <c r="A470" s="52" t="s">
        <v>3356</v>
      </c>
      <c r="B470" s="48" t="s">
        <v>953</v>
      </c>
      <c r="C470" s="48" t="s">
        <v>62</v>
      </c>
      <c r="D470" s="48" t="s">
        <v>3457</v>
      </c>
    </row>
    <row r="471" spans="1:4">
      <c r="A471" s="50" t="s">
        <v>3357</v>
      </c>
      <c r="B471" s="32" t="s">
        <v>954</v>
      </c>
      <c r="C471" s="32" t="s">
        <v>62</v>
      </c>
      <c r="D471" s="32" t="s">
        <v>3457</v>
      </c>
    </row>
    <row r="472" spans="1:4">
      <c r="A472" s="52" t="s">
        <v>3358</v>
      </c>
      <c r="B472" s="48" t="s">
        <v>955</v>
      </c>
      <c r="C472" s="48" t="s">
        <v>2884</v>
      </c>
      <c r="D472" s="48" t="s">
        <v>3457</v>
      </c>
    </row>
    <row r="473" spans="1:4">
      <c r="A473" s="50" t="s">
        <v>3359</v>
      </c>
      <c r="B473" s="32" t="s">
        <v>956</v>
      </c>
      <c r="C473" s="32" t="s">
        <v>62</v>
      </c>
      <c r="D473" s="32" t="s">
        <v>3457</v>
      </c>
    </row>
    <row r="474" spans="1:4">
      <c r="A474" s="52" t="s">
        <v>3360</v>
      </c>
      <c r="B474" s="48" t="s">
        <v>957</v>
      </c>
      <c r="C474" s="48" t="s">
        <v>62</v>
      </c>
      <c r="D474" s="48" t="s">
        <v>3457</v>
      </c>
    </row>
    <row r="475" spans="1:4">
      <c r="A475" s="50" t="s">
        <v>3361</v>
      </c>
      <c r="B475" s="32" t="s">
        <v>958</v>
      </c>
      <c r="C475" s="32" t="s">
        <v>62</v>
      </c>
      <c r="D475" s="32" t="s">
        <v>3457</v>
      </c>
    </row>
    <row r="476" spans="1:4">
      <c r="A476" s="52" t="s">
        <v>3362</v>
      </c>
      <c r="B476" s="48" t="s">
        <v>959</v>
      </c>
      <c r="C476" s="48" t="s">
        <v>62</v>
      </c>
      <c r="D476" s="48" t="s">
        <v>3457</v>
      </c>
    </row>
    <row r="477" spans="1:4">
      <c r="A477" s="50" t="s">
        <v>3363</v>
      </c>
      <c r="B477" s="32" t="s">
        <v>960</v>
      </c>
      <c r="C477" s="32" t="s">
        <v>62</v>
      </c>
      <c r="D477" s="32" t="s">
        <v>3457</v>
      </c>
    </row>
    <row r="478" spans="1:4">
      <c r="A478" s="52" t="s">
        <v>3364</v>
      </c>
      <c r="B478" s="48" t="s">
        <v>961</v>
      </c>
      <c r="C478" s="48" t="s">
        <v>62</v>
      </c>
      <c r="D478" s="48" t="s">
        <v>3457</v>
      </c>
    </row>
    <row r="479" spans="1:4">
      <c r="A479" s="50" t="s">
        <v>3365</v>
      </c>
      <c r="B479" s="32" t="s">
        <v>962</v>
      </c>
      <c r="C479" s="32" t="s">
        <v>62</v>
      </c>
      <c r="D479" s="32" t="s">
        <v>3457</v>
      </c>
    </row>
    <row r="480" spans="1:4">
      <c r="A480" s="52" t="s">
        <v>3366</v>
      </c>
      <c r="B480" s="48" t="s">
        <v>963</v>
      </c>
      <c r="C480" s="48" t="s">
        <v>62</v>
      </c>
      <c r="D480" s="48" t="s">
        <v>3457</v>
      </c>
    </row>
    <row r="481" spans="1:4">
      <c r="A481" s="50" t="s">
        <v>3367</v>
      </c>
      <c r="B481" s="32" t="s">
        <v>964</v>
      </c>
      <c r="C481" s="32" t="s">
        <v>62</v>
      </c>
      <c r="D481" s="32" t="s">
        <v>3457</v>
      </c>
    </row>
    <row r="482" spans="1:4">
      <c r="A482" s="52" t="s">
        <v>3368</v>
      </c>
      <c r="B482" s="48" t="s">
        <v>965</v>
      </c>
      <c r="C482" s="48" t="s">
        <v>62</v>
      </c>
      <c r="D482" s="48" t="s">
        <v>3457</v>
      </c>
    </row>
    <row r="483" spans="1:4">
      <c r="A483" s="50" t="s">
        <v>3369</v>
      </c>
      <c r="B483" s="32" t="s">
        <v>966</v>
      </c>
      <c r="C483" s="32" t="s">
        <v>62</v>
      </c>
      <c r="D483" s="32" t="s">
        <v>3457</v>
      </c>
    </row>
    <row r="484" spans="1:4">
      <c r="A484" s="52" t="s">
        <v>3370</v>
      </c>
      <c r="B484" s="48" t="s">
        <v>967</v>
      </c>
      <c r="C484" s="48" t="s">
        <v>62</v>
      </c>
      <c r="D484" s="48" t="s">
        <v>3457</v>
      </c>
    </row>
    <row r="485" spans="1:4">
      <c r="A485" s="50" t="s">
        <v>3371</v>
      </c>
      <c r="B485" s="32" t="s">
        <v>968</v>
      </c>
      <c r="C485" s="32" t="s">
        <v>62</v>
      </c>
      <c r="D485" s="32" t="s">
        <v>3457</v>
      </c>
    </row>
    <row r="486" spans="1:4">
      <c r="A486" s="52" t="s">
        <v>3372</v>
      </c>
      <c r="B486" s="48" t="s">
        <v>969</v>
      </c>
      <c r="C486" s="48" t="s">
        <v>62</v>
      </c>
      <c r="D486" s="48" t="s">
        <v>3457</v>
      </c>
    </row>
    <row r="487" spans="1:4">
      <c r="A487" s="50" t="s">
        <v>3373</v>
      </c>
      <c r="B487" s="32" t="s">
        <v>970</v>
      </c>
      <c r="C487" s="32" t="s">
        <v>62</v>
      </c>
      <c r="D487" s="32" t="s">
        <v>3458</v>
      </c>
    </row>
    <row r="488" spans="1:4">
      <c r="A488" s="52" t="s">
        <v>3374</v>
      </c>
      <c r="B488" s="48" t="s">
        <v>971</v>
      </c>
      <c r="C488" s="48" t="s">
        <v>2885</v>
      </c>
      <c r="D488" s="48" t="s">
        <v>3457</v>
      </c>
    </row>
    <row r="489" spans="1:4">
      <c r="A489" s="50" t="s">
        <v>3375</v>
      </c>
      <c r="B489" s="32" t="s">
        <v>972</v>
      </c>
      <c r="C489" s="32" t="s">
        <v>2884</v>
      </c>
      <c r="D489" s="32" t="s">
        <v>3457</v>
      </c>
    </row>
    <row r="490" spans="1:4">
      <c r="A490" s="52" t="s">
        <v>3376</v>
      </c>
      <c r="B490" s="48" t="s">
        <v>973</v>
      </c>
      <c r="C490" s="48" t="s">
        <v>62</v>
      </c>
      <c r="D490" s="48" t="s">
        <v>3457</v>
      </c>
    </row>
    <row r="491" spans="1:4">
      <c r="A491" s="50" t="s">
        <v>3377</v>
      </c>
      <c r="B491" s="32" t="s">
        <v>974</v>
      </c>
      <c r="C491" s="32" t="s">
        <v>62</v>
      </c>
      <c r="D491" s="32" t="s">
        <v>3457</v>
      </c>
    </row>
    <row r="492" spans="1:4">
      <c r="A492" s="52" t="s">
        <v>3378</v>
      </c>
      <c r="B492" s="48" t="s">
        <v>975</v>
      </c>
      <c r="C492" s="48" t="s">
        <v>62</v>
      </c>
      <c r="D492" s="48" t="s">
        <v>3458</v>
      </c>
    </row>
    <row r="493" spans="1:4">
      <c r="A493" s="50" t="s">
        <v>3379</v>
      </c>
      <c r="B493" s="32" t="s">
        <v>976</v>
      </c>
      <c r="C493" s="32" t="s">
        <v>62</v>
      </c>
      <c r="D493" s="32" t="s">
        <v>3457</v>
      </c>
    </row>
    <row r="494" spans="1:4">
      <c r="A494" s="52" t="s">
        <v>3380</v>
      </c>
      <c r="B494" s="48" t="s">
        <v>977</v>
      </c>
      <c r="C494" s="48" t="s">
        <v>62</v>
      </c>
      <c r="D494" s="48" t="s">
        <v>3457</v>
      </c>
    </row>
    <row r="495" spans="1:4">
      <c r="A495" s="50" t="s">
        <v>3381</v>
      </c>
      <c r="B495" s="32" t="s">
        <v>978</v>
      </c>
      <c r="C495" s="32" t="s">
        <v>62</v>
      </c>
      <c r="D495" s="32" t="s">
        <v>3457</v>
      </c>
    </row>
    <row r="496" spans="1:4">
      <c r="A496" s="52" t="s">
        <v>3382</v>
      </c>
      <c r="B496" s="48" t="s">
        <v>979</v>
      </c>
      <c r="C496" s="48" t="s">
        <v>2884</v>
      </c>
      <c r="D496" s="48" t="s">
        <v>3457</v>
      </c>
    </row>
    <row r="497" spans="1:4">
      <c r="A497" s="50" t="s">
        <v>3383</v>
      </c>
      <c r="B497" s="32" t="s">
        <v>980</v>
      </c>
      <c r="C497" s="32" t="s">
        <v>62</v>
      </c>
      <c r="D497" s="32" t="s">
        <v>3457</v>
      </c>
    </row>
    <row r="498" spans="1:4">
      <c r="A498" s="52" t="s">
        <v>3384</v>
      </c>
      <c r="B498" s="48" t="s">
        <v>981</v>
      </c>
      <c r="C498" s="48" t="s">
        <v>62</v>
      </c>
      <c r="D498" s="48" t="s">
        <v>3457</v>
      </c>
    </row>
    <row r="499" spans="1:4">
      <c r="A499" s="50" t="s">
        <v>3385</v>
      </c>
      <c r="B499" s="32" t="s">
        <v>982</v>
      </c>
      <c r="C499" s="32" t="s">
        <v>62</v>
      </c>
      <c r="D499" s="32" t="s">
        <v>3457</v>
      </c>
    </row>
    <row r="500" spans="1:4">
      <c r="A500" s="52" t="s">
        <v>3386</v>
      </c>
      <c r="B500" s="48" t="s">
        <v>983</v>
      </c>
      <c r="C500" s="48" t="s">
        <v>62</v>
      </c>
      <c r="D500" s="48" t="s">
        <v>3457</v>
      </c>
    </row>
    <row r="501" spans="1:4">
      <c r="A501" s="50" t="s">
        <v>3387</v>
      </c>
      <c r="B501" s="32" t="s">
        <v>984</v>
      </c>
      <c r="C501" s="32" t="s">
        <v>62</v>
      </c>
      <c r="D501" s="32" t="s">
        <v>3457</v>
      </c>
    </row>
    <row r="502" spans="1:4">
      <c r="A502" s="52" t="s">
        <v>3388</v>
      </c>
      <c r="B502" s="48" t="s">
        <v>985</v>
      </c>
      <c r="C502" s="48" t="s">
        <v>62</v>
      </c>
      <c r="D502" s="48" t="s">
        <v>3457</v>
      </c>
    </row>
    <row r="503" spans="1:4">
      <c r="A503" s="50" t="s">
        <v>3389</v>
      </c>
      <c r="B503" s="32" t="s">
        <v>986</v>
      </c>
      <c r="C503" s="32" t="s">
        <v>62</v>
      </c>
      <c r="D503" s="32" t="s">
        <v>3457</v>
      </c>
    </row>
    <row r="504" spans="1:4">
      <c r="A504" s="52" t="s">
        <v>3390</v>
      </c>
      <c r="B504" s="48" t="s">
        <v>987</v>
      </c>
      <c r="C504" s="48" t="s">
        <v>62</v>
      </c>
      <c r="D504" s="48" t="s">
        <v>3457</v>
      </c>
    </row>
    <row r="505" spans="1:4">
      <c r="A505" s="50" t="s">
        <v>3391</v>
      </c>
      <c r="B505" s="32" t="s">
        <v>988</v>
      </c>
      <c r="C505" s="32" t="s">
        <v>62</v>
      </c>
      <c r="D505" s="32" t="s">
        <v>3457</v>
      </c>
    </row>
    <row r="506" spans="1:4">
      <c r="A506" s="52" t="s">
        <v>3392</v>
      </c>
      <c r="B506" s="48" t="s">
        <v>989</v>
      </c>
      <c r="C506" s="48" t="s">
        <v>62</v>
      </c>
      <c r="D506" s="48" t="s">
        <v>3457</v>
      </c>
    </row>
    <row r="507" spans="1:4">
      <c r="A507" s="50" t="s">
        <v>3393</v>
      </c>
      <c r="B507" s="32" t="s">
        <v>990</v>
      </c>
      <c r="C507" s="32" t="s">
        <v>62</v>
      </c>
      <c r="D507" s="32" t="s">
        <v>3457</v>
      </c>
    </row>
    <row r="508" spans="1:4">
      <c r="A508" s="52" t="s">
        <v>3394</v>
      </c>
      <c r="B508" s="48" t="s">
        <v>991</v>
      </c>
      <c r="C508" s="48" t="s">
        <v>62</v>
      </c>
      <c r="D508" s="48" t="s">
        <v>3457</v>
      </c>
    </row>
    <row r="509" spans="1:4">
      <c r="A509" s="50" t="s">
        <v>3395</v>
      </c>
      <c r="B509" s="32" t="s">
        <v>992</v>
      </c>
      <c r="C509" s="32" t="s">
        <v>62</v>
      </c>
      <c r="D509" s="32" t="s">
        <v>3457</v>
      </c>
    </row>
    <row r="510" spans="1:4">
      <c r="A510" s="52" t="s">
        <v>3396</v>
      </c>
      <c r="B510" s="48" t="s">
        <v>993</v>
      </c>
      <c r="C510" s="48" t="s">
        <v>62</v>
      </c>
      <c r="D510" s="48" t="s">
        <v>3457</v>
      </c>
    </row>
    <row r="511" spans="1:4">
      <c r="A511" s="50" t="s">
        <v>3397</v>
      </c>
      <c r="B511" s="32" t="s">
        <v>994</v>
      </c>
      <c r="C511" s="32" t="s">
        <v>62</v>
      </c>
      <c r="D511" s="32" t="s">
        <v>3458</v>
      </c>
    </row>
    <row r="512" spans="1:4">
      <c r="A512" s="52" t="s">
        <v>3398</v>
      </c>
      <c r="B512" s="48" t="s">
        <v>995</v>
      </c>
      <c r="C512" s="48" t="s">
        <v>2885</v>
      </c>
      <c r="D512" s="48" t="s">
        <v>3457</v>
      </c>
    </row>
    <row r="513" spans="1:4">
      <c r="A513" s="50" t="s">
        <v>3399</v>
      </c>
      <c r="B513" s="32" t="s">
        <v>996</v>
      </c>
      <c r="C513" s="32" t="s">
        <v>62</v>
      </c>
      <c r="D513" s="32" t="s">
        <v>3457</v>
      </c>
    </row>
    <row r="514" spans="1:4">
      <c r="A514" s="52" t="s">
        <v>3400</v>
      </c>
      <c r="B514" s="48" t="s">
        <v>997</v>
      </c>
      <c r="C514" s="48" t="s">
        <v>62</v>
      </c>
      <c r="D514" s="48" t="s">
        <v>3457</v>
      </c>
    </row>
    <row r="515" spans="1:4">
      <c r="A515" s="50" t="s">
        <v>3401</v>
      </c>
      <c r="B515" s="32" t="s">
        <v>998</v>
      </c>
      <c r="C515" s="32" t="s">
        <v>62</v>
      </c>
      <c r="D515" s="32" t="s">
        <v>3458</v>
      </c>
    </row>
    <row r="516" spans="1:4">
      <c r="A516" s="52" t="s">
        <v>3402</v>
      </c>
      <c r="B516" s="48" t="s">
        <v>999</v>
      </c>
      <c r="C516" s="48" t="s">
        <v>62</v>
      </c>
      <c r="D516" s="48" t="s">
        <v>3457</v>
      </c>
    </row>
    <row r="517" spans="1:4">
      <c r="A517" s="50" t="s">
        <v>3403</v>
      </c>
      <c r="B517" s="32" t="s">
        <v>1000</v>
      </c>
      <c r="C517" s="32" t="s">
        <v>62</v>
      </c>
      <c r="D517" s="32" t="s">
        <v>3457</v>
      </c>
    </row>
    <row r="518" spans="1:4">
      <c r="A518" s="52" t="s">
        <v>3404</v>
      </c>
      <c r="B518" s="48" t="s">
        <v>1001</v>
      </c>
      <c r="C518" s="48" t="s">
        <v>62</v>
      </c>
      <c r="D518" s="48" t="s">
        <v>3457</v>
      </c>
    </row>
    <row r="519" spans="1:4">
      <c r="A519" s="50" t="s">
        <v>3405</v>
      </c>
      <c r="B519" s="32" t="s">
        <v>1002</v>
      </c>
      <c r="C519" s="32" t="s">
        <v>2884</v>
      </c>
      <c r="D519" s="32" t="s">
        <v>3457</v>
      </c>
    </row>
    <row r="520" spans="1:4">
      <c r="A520" s="52" t="s">
        <v>3406</v>
      </c>
      <c r="B520" s="48" t="s">
        <v>1003</v>
      </c>
      <c r="C520" s="48" t="s">
        <v>62</v>
      </c>
      <c r="D520" s="48" t="s">
        <v>3457</v>
      </c>
    </row>
    <row r="521" spans="1:4">
      <c r="A521" s="50" t="s">
        <v>3407</v>
      </c>
      <c r="B521" s="32" t="s">
        <v>1004</v>
      </c>
      <c r="C521" s="32" t="s">
        <v>62</v>
      </c>
      <c r="D521" s="32" t="s">
        <v>3457</v>
      </c>
    </row>
    <row r="522" spans="1:4">
      <c r="A522" s="52" t="s">
        <v>3408</v>
      </c>
      <c r="B522" s="48" t="s">
        <v>1005</v>
      </c>
      <c r="C522" s="48" t="s">
        <v>62</v>
      </c>
      <c r="D522" s="48" t="s">
        <v>3457</v>
      </c>
    </row>
    <row r="523" spans="1:4">
      <c r="A523" s="50" t="s">
        <v>3409</v>
      </c>
      <c r="B523" s="32" t="s">
        <v>1006</v>
      </c>
      <c r="C523" s="32" t="s">
        <v>62</v>
      </c>
      <c r="D523" s="32" t="s">
        <v>3457</v>
      </c>
    </row>
    <row r="524" spans="1:4">
      <c r="A524" s="52" t="s">
        <v>3410</v>
      </c>
      <c r="B524" s="48" t="s">
        <v>1007</v>
      </c>
      <c r="C524" s="48" t="s">
        <v>62</v>
      </c>
      <c r="D524" s="48" t="s">
        <v>3457</v>
      </c>
    </row>
    <row r="525" spans="1:4">
      <c r="A525" s="50" t="s">
        <v>3411</v>
      </c>
      <c r="B525" s="32" t="s">
        <v>1008</v>
      </c>
      <c r="C525" s="32" t="s">
        <v>62</v>
      </c>
      <c r="D525" s="32" t="s">
        <v>3457</v>
      </c>
    </row>
    <row r="526" spans="1:4">
      <c r="A526" s="52" t="s">
        <v>3412</v>
      </c>
      <c r="B526" s="48" t="s">
        <v>1009</v>
      </c>
      <c r="C526" s="48" t="s">
        <v>62</v>
      </c>
      <c r="D526" s="48" t="s">
        <v>3457</v>
      </c>
    </row>
    <row r="527" spans="1:4">
      <c r="A527" s="50" t="s">
        <v>3413</v>
      </c>
      <c r="B527" s="32" t="s">
        <v>1010</v>
      </c>
      <c r="C527" s="32" t="s">
        <v>62</v>
      </c>
      <c r="D527" s="32" t="s">
        <v>3457</v>
      </c>
    </row>
    <row r="528" spans="1:4">
      <c r="A528" s="52" t="s">
        <v>3414</v>
      </c>
      <c r="B528" s="48" t="s">
        <v>1011</v>
      </c>
      <c r="C528" s="48" t="s">
        <v>62</v>
      </c>
      <c r="D528" s="48" t="s">
        <v>3457</v>
      </c>
    </row>
    <row r="529" spans="1:4">
      <c r="A529" s="50" t="s">
        <v>3415</v>
      </c>
      <c r="B529" s="32" t="s">
        <v>1012</v>
      </c>
      <c r="C529" s="32" t="s">
        <v>62</v>
      </c>
      <c r="D529" s="32" t="s">
        <v>3457</v>
      </c>
    </row>
    <row r="530" spans="1:4">
      <c r="A530" s="52" t="s">
        <v>3416</v>
      </c>
      <c r="B530" s="48" t="s">
        <v>1013</v>
      </c>
      <c r="C530" s="48" t="s">
        <v>62</v>
      </c>
      <c r="D530" s="48" t="s">
        <v>3457</v>
      </c>
    </row>
    <row r="531" spans="1:4">
      <c r="A531" s="50" t="s">
        <v>3417</v>
      </c>
      <c r="B531" s="32" t="s">
        <v>1014</v>
      </c>
      <c r="C531" s="32" t="s">
        <v>62</v>
      </c>
      <c r="D531" s="32" t="s">
        <v>3457</v>
      </c>
    </row>
    <row r="532" spans="1:4">
      <c r="A532" s="52" t="s">
        <v>3418</v>
      </c>
      <c r="B532" s="48" t="s">
        <v>1015</v>
      </c>
      <c r="C532" s="48" t="s">
        <v>62</v>
      </c>
      <c r="D532" s="48" t="s">
        <v>3457</v>
      </c>
    </row>
    <row r="533" spans="1:4">
      <c r="A533" s="50" t="s">
        <v>3419</v>
      </c>
      <c r="B533" s="32" t="s">
        <v>1016</v>
      </c>
      <c r="C533" s="32" t="s">
        <v>62</v>
      </c>
      <c r="D533" s="32" t="s">
        <v>3457</v>
      </c>
    </row>
    <row r="534" spans="1:4">
      <c r="A534" s="52" t="s">
        <v>3420</v>
      </c>
      <c r="B534" s="48" t="s">
        <v>1017</v>
      </c>
      <c r="C534" s="48" t="s">
        <v>62</v>
      </c>
      <c r="D534" s="48" t="s">
        <v>3458</v>
      </c>
    </row>
    <row r="535" spans="1:4">
      <c r="A535" s="50" t="s">
        <v>3421</v>
      </c>
      <c r="B535" s="32" t="s">
        <v>1018</v>
      </c>
      <c r="C535" s="32" t="s">
        <v>2885</v>
      </c>
      <c r="D535" s="32" t="s">
        <v>3457</v>
      </c>
    </row>
    <row r="536" spans="1:4">
      <c r="A536" s="52" t="s">
        <v>3422</v>
      </c>
      <c r="B536" s="48" t="s">
        <v>1019</v>
      </c>
      <c r="C536" s="48" t="s">
        <v>2884</v>
      </c>
      <c r="D536" s="48" t="s">
        <v>3457</v>
      </c>
    </row>
    <row r="537" spans="1:4">
      <c r="A537" s="50" t="s">
        <v>3423</v>
      </c>
      <c r="B537" s="32" t="s">
        <v>1020</v>
      </c>
      <c r="C537" s="32" t="s">
        <v>62</v>
      </c>
      <c r="D537" s="32" t="s">
        <v>3457</v>
      </c>
    </row>
    <row r="538" spans="1:4">
      <c r="A538" s="52" t="s">
        <v>3424</v>
      </c>
      <c r="B538" s="48" t="s">
        <v>1021</v>
      </c>
      <c r="C538" s="48" t="s">
        <v>62</v>
      </c>
      <c r="D538" s="48" t="s">
        <v>3457</v>
      </c>
    </row>
    <row r="539" spans="1:4">
      <c r="A539" s="50" t="s">
        <v>3425</v>
      </c>
      <c r="B539" s="32" t="s">
        <v>1022</v>
      </c>
      <c r="C539" s="32" t="s">
        <v>62</v>
      </c>
      <c r="D539" s="32" t="s">
        <v>3458</v>
      </c>
    </row>
    <row r="540" spans="1:4">
      <c r="A540" s="52" t="s">
        <v>3426</v>
      </c>
      <c r="B540" s="48" t="s">
        <v>1023</v>
      </c>
      <c r="C540" s="48" t="s">
        <v>62</v>
      </c>
      <c r="D540" s="48" t="s">
        <v>3457</v>
      </c>
    </row>
    <row r="541" spans="1:4">
      <c r="A541" s="50" t="s">
        <v>3427</v>
      </c>
      <c r="B541" s="32" t="s">
        <v>1024</v>
      </c>
      <c r="C541" s="32" t="s">
        <v>62</v>
      </c>
      <c r="D541" s="32" t="s">
        <v>3457</v>
      </c>
    </row>
    <row r="542" spans="1:4">
      <c r="A542" s="52" t="s">
        <v>3428</v>
      </c>
      <c r="B542" s="48" t="s">
        <v>1025</v>
      </c>
      <c r="C542" s="48" t="s">
        <v>62</v>
      </c>
      <c r="D542" s="48" t="s">
        <v>3457</v>
      </c>
    </row>
    <row r="543" spans="1:4">
      <c r="A543" s="50" t="s">
        <v>3429</v>
      </c>
      <c r="B543" s="32" t="s">
        <v>1026</v>
      </c>
      <c r="C543" s="32" t="s">
        <v>2884</v>
      </c>
      <c r="D543" s="32" t="s">
        <v>3457</v>
      </c>
    </row>
    <row r="544" spans="1:4">
      <c r="A544" s="52" t="s">
        <v>3430</v>
      </c>
      <c r="B544" s="48" t="s">
        <v>1027</v>
      </c>
      <c r="C544" s="48" t="s">
        <v>62</v>
      </c>
      <c r="D544" s="48" t="s">
        <v>3457</v>
      </c>
    </row>
    <row r="545" spans="1:4">
      <c r="A545" s="50" t="s">
        <v>3431</v>
      </c>
      <c r="B545" s="32" t="s">
        <v>1028</v>
      </c>
      <c r="C545" s="32" t="s">
        <v>62</v>
      </c>
      <c r="D545" s="32" t="s">
        <v>3457</v>
      </c>
    </row>
    <row r="546" spans="1:4">
      <c r="A546" s="52" t="s">
        <v>3432</v>
      </c>
      <c r="B546" s="48" t="s">
        <v>1029</v>
      </c>
      <c r="C546" s="48" t="s">
        <v>62</v>
      </c>
      <c r="D546" s="48" t="s">
        <v>3457</v>
      </c>
    </row>
    <row r="547" spans="1:4">
      <c r="A547" s="50" t="s">
        <v>3433</v>
      </c>
      <c r="B547" s="32" t="s">
        <v>1030</v>
      </c>
      <c r="C547" s="32" t="s">
        <v>62</v>
      </c>
      <c r="D547" s="32" t="s">
        <v>3457</v>
      </c>
    </row>
    <row r="548" spans="1:4">
      <c r="A548" s="52" t="s">
        <v>3434</v>
      </c>
      <c r="B548" s="48" t="s">
        <v>1031</v>
      </c>
      <c r="C548" s="48" t="s">
        <v>62</v>
      </c>
      <c r="D548" s="48" t="s">
        <v>3457</v>
      </c>
    </row>
    <row r="549" spans="1:4">
      <c r="A549" s="50" t="s">
        <v>3435</v>
      </c>
      <c r="B549" s="32" t="s">
        <v>1032</v>
      </c>
      <c r="C549" s="32" t="s">
        <v>62</v>
      </c>
      <c r="D549" s="32" t="s">
        <v>3457</v>
      </c>
    </row>
    <row r="550" spans="1:4">
      <c r="A550" s="52" t="s">
        <v>3436</v>
      </c>
      <c r="B550" s="48" t="s">
        <v>1033</v>
      </c>
      <c r="C550" s="48" t="s">
        <v>62</v>
      </c>
      <c r="D550" s="48" t="s">
        <v>3457</v>
      </c>
    </row>
    <row r="551" spans="1:4">
      <c r="A551" s="50" t="s">
        <v>3437</v>
      </c>
      <c r="B551" s="32" t="s">
        <v>1034</v>
      </c>
      <c r="C551" s="32" t="s">
        <v>62</v>
      </c>
      <c r="D551" s="32" t="s">
        <v>3457</v>
      </c>
    </row>
    <row r="552" spans="1:4">
      <c r="A552" s="52" t="s">
        <v>3438</v>
      </c>
      <c r="B552" s="48" t="s">
        <v>1035</v>
      </c>
      <c r="C552" s="48" t="s">
        <v>62</v>
      </c>
      <c r="D552" s="48" t="s">
        <v>3457</v>
      </c>
    </row>
    <row r="553" spans="1:4">
      <c r="A553" s="50" t="s">
        <v>3439</v>
      </c>
      <c r="B553" s="32" t="s">
        <v>1036</v>
      </c>
      <c r="C553" s="32" t="s">
        <v>62</v>
      </c>
      <c r="D553" s="32" t="s">
        <v>3457</v>
      </c>
    </row>
    <row r="554" spans="1:4">
      <c r="A554" s="52" t="s">
        <v>3440</v>
      </c>
      <c r="B554" s="48" t="s">
        <v>1037</v>
      </c>
      <c r="C554" s="48" t="s">
        <v>62</v>
      </c>
      <c r="D554" s="48" t="s">
        <v>3457</v>
      </c>
    </row>
    <row r="555" spans="1:4">
      <c r="A555" s="50" t="s">
        <v>3441</v>
      </c>
      <c r="B555" s="32" t="s">
        <v>1038</v>
      </c>
      <c r="C555" s="32" t="s">
        <v>62</v>
      </c>
      <c r="D555" s="32" t="s">
        <v>3457</v>
      </c>
    </row>
    <row r="556" spans="1:4">
      <c r="A556" s="52" t="s">
        <v>3442</v>
      </c>
      <c r="B556" s="48" t="s">
        <v>1039</v>
      </c>
      <c r="C556" s="48" t="s">
        <v>62</v>
      </c>
      <c r="D556" s="48" t="s">
        <v>3457</v>
      </c>
    </row>
    <row r="557" spans="1:4">
      <c r="A557" s="50" t="s">
        <v>3443</v>
      </c>
      <c r="B557" s="32" t="s">
        <v>1040</v>
      </c>
      <c r="C557" s="32" t="s">
        <v>62</v>
      </c>
      <c r="D557" s="32" t="s">
        <v>3457</v>
      </c>
    </row>
    <row r="558" spans="1:4">
      <c r="A558" s="52" t="s">
        <v>3444</v>
      </c>
      <c r="B558" s="48" t="s">
        <v>1041</v>
      </c>
      <c r="C558" s="48" t="s">
        <v>62</v>
      </c>
      <c r="D558" s="48" t="s">
        <v>3458</v>
      </c>
    </row>
    <row r="559" spans="1:4">
      <c r="A559" s="50" t="s">
        <v>3445</v>
      </c>
      <c r="B559" s="32" t="s">
        <v>1042</v>
      </c>
      <c r="C559" s="32" t="s">
        <v>2885</v>
      </c>
      <c r="D559" s="32" t="s">
        <v>3457</v>
      </c>
    </row>
    <row r="560" spans="1:4">
      <c r="A560" s="52" t="s">
        <v>3446</v>
      </c>
      <c r="B560" s="48" t="s">
        <v>1043</v>
      </c>
      <c r="C560" s="48" t="s">
        <v>2884</v>
      </c>
      <c r="D560" s="48" t="s">
        <v>3457</v>
      </c>
    </row>
    <row r="561" spans="1:4">
      <c r="A561" s="50" t="s">
        <v>3447</v>
      </c>
      <c r="B561" s="32" t="s">
        <v>1044</v>
      </c>
      <c r="C561" s="32" t="s">
        <v>62</v>
      </c>
      <c r="D561" s="32" t="s">
        <v>3457</v>
      </c>
    </row>
    <row r="562" spans="1:4">
      <c r="A562" s="52" t="s">
        <v>3448</v>
      </c>
      <c r="B562" s="48" t="s">
        <v>1045</v>
      </c>
      <c r="C562" s="48" t="s">
        <v>62</v>
      </c>
      <c r="D562" s="48" t="s">
        <v>3457</v>
      </c>
    </row>
    <row r="563" spans="1:4">
      <c r="A563" s="50" t="s">
        <v>3449</v>
      </c>
      <c r="B563" s="32" t="s">
        <v>1046</v>
      </c>
      <c r="C563" s="32" t="s">
        <v>62</v>
      </c>
      <c r="D563" s="32" t="s">
        <v>3458</v>
      </c>
    </row>
    <row r="564" spans="1:4">
      <c r="A564" s="52" t="s">
        <v>3450</v>
      </c>
      <c r="B564" s="48" t="s">
        <v>1047</v>
      </c>
      <c r="C564" s="48" t="s">
        <v>62</v>
      </c>
      <c r="D564" s="48" t="s">
        <v>3457</v>
      </c>
    </row>
    <row r="565" spans="1:4">
      <c r="A565" s="50" t="s">
        <v>3451</v>
      </c>
      <c r="B565" s="32" t="s">
        <v>1048</v>
      </c>
      <c r="C565" s="32" t="s">
        <v>62</v>
      </c>
      <c r="D565" s="32" t="s">
        <v>3457</v>
      </c>
    </row>
    <row r="566" spans="1:4">
      <c r="A566" s="52" t="s">
        <v>3452</v>
      </c>
      <c r="B566" s="48" t="s">
        <v>1049</v>
      </c>
      <c r="C566" s="48" t="s">
        <v>62</v>
      </c>
      <c r="D566" s="48" t="s">
        <v>3457</v>
      </c>
    </row>
    <row r="567" spans="1:4">
      <c r="A567" s="50" t="s">
        <v>3453</v>
      </c>
      <c r="B567" s="32" t="s">
        <v>1050</v>
      </c>
      <c r="C567" s="32" t="s">
        <v>2884</v>
      </c>
      <c r="D567" s="32" t="s">
        <v>3457</v>
      </c>
    </row>
    <row r="568" spans="1:4">
      <c r="A568" s="52" t="s">
        <v>3454</v>
      </c>
      <c r="B568" s="48" t="s">
        <v>1051</v>
      </c>
      <c r="C568" s="48" t="s">
        <v>62</v>
      </c>
      <c r="D568" s="48" t="s">
        <v>3457</v>
      </c>
    </row>
    <row r="569" spans="1:4">
      <c r="A569" s="50" t="s">
        <v>3455</v>
      </c>
      <c r="B569" s="32" t="s">
        <v>1052</v>
      </c>
      <c r="C569" s="32" t="s">
        <v>62</v>
      </c>
      <c r="D569" s="32" t="s">
        <v>3457</v>
      </c>
    </row>
    <row r="570" spans="1:4">
      <c r="A570" s="52" t="s">
        <v>3456</v>
      </c>
      <c r="B570" s="48" t="s">
        <v>1053</v>
      </c>
      <c r="C570" s="48" t="s">
        <v>62</v>
      </c>
      <c r="D570" s="48" t="s">
        <v>3457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D2D2-E34C-497A-A0B5-2984A7CEDC28}">
  <sheetPr>
    <tabColor rgb="FFFFFF99"/>
  </sheetPr>
  <dimension ref="A1:B15"/>
  <sheetViews>
    <sheetView zoomScale="112" workbookViewId="0">
      <selection activeCell="G11" sqref="G11"/>
    </sheetView>
  </sheetViews>
  <sheetFormatPr defaultRowHeight="14.4"/>
  <cols>
    <col min="1" max="1" width="13.6640625" customWidth="1"/>
    <col min="2" max="2" width="12.44140625" bestFit="1" customWidth="1"/>
  </cols>
  <sheetData>
    <row r="1" spans="1:2">
      <c r="A1" s="46" t="s">
        <v>3469</v>
      </c>
      <c r="B1" s="47" t="s">
        <v>2284</v>
      </c>
    </row>
    <row r="2" spans="1:2">
      <c r="A2" s="48" t="s">
        <v>3470</v>
      </c>
      <c r="B2" s="49" t="str" cm="1">
        <f t="array" ref="B2:B15">_xlfn.UNIQUE('Demographics Symptoms'!C2:C889)</f>
        <v>Headache</v>
      </c>
    </row>
    <row r="3" spans="1:2">
      <c r="A3" s="32" t="s">
        <v>3471</v>
      </c>
      <c r="B3" s="31" t="str">
        <v>Memory Loss</v>
      </c>
    </row>
    <row r="4" spans="1:2">
      <c r="A4" s="48" t="s">
        <v>3472</v>
      </c>
      <c r="B4" s="49" t="str">
        <v>Cold</v>
      </c>
    </row>
    <row r="5" spans="1:2">
      <c r="A5" s="32" t="s">
        <v>3473</v>
      </c>
      <c r="B5" s="31" t="str">
        <v>Cough</v>
      </c>
    </row>
    <row r="6" spans="1:2">
      <c r="A6" s="48" t="s">
        <v>3474</v>
      </c>
      <c r="B6" s="49" t="str">
        <v>Body Pain</v>
      </c>
    </row>
    <row r="7" spans="1:2">
      <c r="A7" s="32" t="s">
        <v>3475</v>
      </c>
      <c r="B7" s="31" t="str">
        <v>Stomach Pain</v>
      </c>
    </row>
    <row r="8" spans="1:2">
      <c r="A8" s="48" t="s">
        <v>3476</v>
      </c>
      <c r="B8" s="49" t="str">
        <v>Weakness</v>
      </c>
    </row>
    <row r="9" spans="1:2">
      <c r="A9" s="32" t="s">
        <v>3477</v>
      </c>
      <c r="B9" s="31" t="str">
        <v>Sneez</v>
      </c>
    </row>
    <row r="10" spans="1:2">
      <c r="A10" s="48" t="s">
        <v>3478</v>
      </c>
      <c r="B10" s="49" t="str">
        <v>Eye Pain</v>
      </c>
    </row>
    <row r="11" spans="1:2">
      <c r="A11" s="32" t="s">
        <v>3479</v>
      </c>
      <c r="B11" s="31" t="str">
        <v>Loose Motion</v>
      </c>
    </row>
    <row r="12" spans="1:2">
      <c r="A12" s="48" t="s">
        <v>3480</v>
      </c>
      <c r="B12" s="49" t="str">
        <v>Normal</v>
      </c>
    </row>
    <row r="13" spans="1:2">
      <c r="A13" s="32" t="s">
        <v>3481</v>
      </c>
      <c r="B13" s="31" t="str">
        <v>Heart Pain</v>
      </c>
    </row>
    <row r="14" spans="1:2">
      <c r="A14" s="48" t="s">
        <v>3482</v>
      </c>
      <c r="B14" s="49" t="str">
        <v>No</v>
      </c>
    </row>
    <row r="15" spans="1:2">
      <c r="A15" s="22" t="s">
        <v>3483</v>
      </c>
      <c r="B15" s="3" t="str">
        <v>Very Less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2746-9F53-4F67-A1EB-4B3E72793E1B}">
  <sheetPr>
    <tabColor rgb="FFCCFFCC"/>
  </sheetPr>
  <dimension ref="A1:C889"/>
  <sheetViews>
    <sheetView workbookViewId="0">
      <selection activeCell="H13" sqref="H13"/>
    </sheetView>
  </sheetViews>
  <sheetFormatPr defaultRowHeight="14.4"/>
  <cols>
    <col min="1" max="1" width="9.88671875" bestFit="1" customWidth="1"/>
    <col min="2" max="2" width="13.6640625" customWidth="1"/>
    <col min="3" max="3" width="16.44140625" customWidth="1"/>
  </cols>
  <sheetData>
    <row r="1" spans="1:3">
      <c r="A1" s="23" t="s">
        <v>3459</v>
      </c>
      <c r="B1" s="26" t="s">
        <v>3469</v>
      </c>
      <c r="C1" s="27" t="s">
        <v>2284</v>
      </c>
    </row>
    <row r="2" spans="1:3">
      <c r="A2" s="21" t="s">
        <v>485</v>
      </c>
      <c r="B2" s="3" t="str" cm="1">
        <f t="array" ref="B2">_xlfn.XLOOKUP($C2,_xlfn.ANCHORARRAY(Symptoms!$B$2),Symptoms!$A$2:$A$15,"Not Found")</f>
        <v>S001</v>
      </c>
      <c r="C2" s="22" t="s">
        <v>3462</v>
      </c>
    </row>
    <row r="3" spans="1:3">
      <c r="A3" s="21" t="s">
        <v>485</v>
      </c>
      <c r="B3" s="3" t="str" cm="1">
        <f t="array" ref="B3">_xlfn.XLOOKUP($C3,_xlfn.ANCHORARRAY(Symptoms!$B$2),Symptoms!$A$2:$A$15,"Not Found")</f>
        <v>S002</v>
      </c>
      <c r="C3" s="22" t="s">
        <v>3466</v>
      </c>
    </row>
    <row r="4" spans="1:3">
      <c r="A4" s="21" t="s">
        <v>486</v>
      </c>
      <c r="B4" s="3" t="str" cm="1">
        <f t="array" ref="B4">_xlfn.XLOOKUP($C4,_xlfn.ANCHORARRAY(Symptoms!$B$2),Symptoms!$A$2:$A$15,"Not Found")</f>
        <v>S003</v>
      </c>
      <c r="C4" s="22" t="s">
        <v>2875</v>
      </c>
    </row>
    <row r="5" spans="1:3">
      <c r="A5" s="21" t="s">
        <v>486</v>
      </c>
      <c r="B5" s="3" t="str" cm="1">
        <f t="array" ref="B5">_xlfn.XLOOKUP($C5,_xlfn.ANCHORARRAY(Symptoms!$B$2),Symptoms!$A$2:$A$15,"Not Found")</f>
        <v>S004</v>
      </c>
      <c r="C5" s="22" t="s">
        <v>2876</v>
      </c>
    </row>
    <row r="6" spans="1:3">
      <c r="A6" s="21" t="s">
        <v>487</v>
      </c>
      <c r="B6" s="3" t="str" cm="1">
        <f t="array" ref="B6">_xlfn.XLOOKUP($C6,_xlfn.ANCHORARRAY(Symptoms!$B$2),Symptoms!$A$2:$A$15,"Not Found")</f>
        <v>S003</v>
      </c>
      <c r="C6" s="22" t="s">
        <v>2875</v>
      </c>
    </row>
    <row r="7" spans="1:3">
      <c r="A7" s="21" t="s">
        <v>488</v>
      </c>
      <c r="B7" s="3" t="str" cm="1">
        <f t="array" ref="B7">_xlfn.XLOOKUP($C7,_xlfn.ANCHORARRAY(Symptoms!$B$2),Symptoms!$A$2:$A$15,"Not Found")</f>
        <v>S001</v>
      </c>
      <c r="C7" s="22" t="s">
        <v>3462</v>
      </c>
    </row>
    <row r="8" spans="1:3">
      <c r="A8" s="21" t="s">
        <v>489</v>
      </c>
      <c r="B8" s="3" t="str" cm="1">
        <f t="array" ref="B8">_xlfn.XLOOKUP($C8,_xlfn.ANCHORARRAY(Symptoms!$B$2),Symptoms!$A$2:$A$15,"Not Found")</f>
        <v>S005</v>
      </c>
      <c r="C8" s="22" t="s">
        <v>3461</v>
      </c>
    </row>
    <row r="9" spans="1:3">
      <c r="A9" s="21" t="s">
        <v>490</v>
      </c>
      <c r="B9" s="3" t="str" cm="1">
        <f t="array" ref="B9">_xlfn.XLOOKUP($C9,_xlfn.ANCHORARRAY(Symptoms!$B$2),Symptoms!$A$2:$A$15,"Not Found")</f>
        <v>S006</v>
      </c>
      <c r="C9" s="22" t="s">
        <v>2280</v>
      </c>
    </row>
    <row r="10" spans="1:3">
      <c r="A10" s="21" t="s">
        <v>491</v>
      </c>
      <c r="B10" s="3" t="str" cm="1">
        <f t="array" ref="B10">_xlfn.XLOOKUP($C10,_xlfn.ANCHORARRAY(Symptoms!$B$2),Symptoms!$A$2:$A$15,"Not Found")</f>
        <v>S005</v>
      </c>
      <c r="C10" s="22" t="s">
        <v>3461</v>
      </c>
    </row>
    <row r="11" spans="1:3">
      <c r="A11" s="21" t="s">
        <v>491</v>
      </c>
      <c r="B11" s="3" t="str" cm="1">
        <f t="array" ref="B11">_xlfn.XLOOKUP($C11,_xlfn.ANCHORARRAY(Symptoms!$B$2),Symptoms!$A$2:$A$15,"Not Found")</f>
        <v>S007</v>
      </c>
      <c r="C11" s="22" t="s">
        <v>3463</v>
      </c>
    </row>
    <row r="12" spans="1:3">
      <c r="A12" s="21" t="s">
        <v>492</v>
      </c>
      <c r="B12" s="3" t="str" cm="1">
        <f t="array" ref="B12">_xlfn.XLOOKUP($C12,_xlfn.ANCHORARRAY(Symptoms!$B$2),Symptoms!$A$2:$A$15,"Not Found")</f>
        <v>S001</v>
      </c>
      <c r="C12" s="22" t="s">
        <v>3462</v>
      </c>
    </row>
    <row r="13" spans="1:3">
      <c r="A13" s="21" t="s">
        <v>493</v>
      </c>
      <c r="B13" s="3" t="str" cm="1">
        <f t="array" ref="B13">_xlfn.XLOOKUP($C13,_xlfn.ANCHORARRAY(Symptoms!$B$2),Symptoms!$A$2:$A$15,"Not Found")</f>
        <v>S004</v>
      </c>
      <c r="C13" s="22" t="s">
        <v>2876</v>
      </c>
    </row>
    <row r="14" spans="1:3">
      <c r="A14" s="21" t="s">
        <v>493</v>
      </c>
      <c r="B14" s="3" t="str" cm="1">
        <f t="array" ref="B14">_xlfn.XLOOKUP($C14,_xlfn.ANCHORARRAY(Symptoms!$B$2),Symptoms!$A$2:$A$15,"Not Found")</f>
        <v>S008</v>
      </c>
      <c r="C14" s="22" t="s">
        <v>3467</v>
      </c>
    </row>
    <row r="15" spans="1:3">
      <c r="A15" s="21" t="s">
        <v>493</v>
      </c>
      <c r="B15" s="3" t="str" cm="1">
        <f t="array" ref="B15">_xlfn.XLOOKUP($C15,_xlfn.ANCHORARRAY(Symptoms!$B$2),Symptoms!$A$2:$A$15,"Not Found")</f>
        <v>S007</v>
      </c>
      <c r="C15" s="22" t="s">
        <v>3463</v>
      </c>
    </row>
    <row r="16" spans="1:3">
      <c r="A16" s="21" t="s">
        <v>494</v>
      </c>
      <c r="B16" s="3" t="str" cm="1">
        <f t="array" ref="B16">_xlfn.XLOOKUP($C16,_xlfn.ANCHORARRAY(Symptoms!$B$2),Symptoms!$A$2:$A$15,"Not Found")</f>
        <v>S003</v>
      </c>
      <c r="C16" s="22" t="s">
        <v>2875</v>
      </c>
    </row>
    <row r="17" spans="1:3">
      <c r="A17" s="21" t="s">
        <v>494</v>
      </c>
      <c r="B17" s="3" t="str" cm="1">
        <f t="array" ref="B17">_xlfn.XLOOKUP($C17,_xlfn.ANCHORARRAY(Symptoms!$B$2),Symptoms!$A$2:$A$15,"Not Found")</f>
        <v>S004</v>
      </c>
      <c r="C17" s="22" t="s">
        <v>2876</v>
      </c>
    </row>
    <row r="18" spans="1:3">
      <c r="A18" s="21" t="s">
        <v>495</v>
      </c>
      <c r="B18" s="3" t="str" cm="1">
        <f t="array" ref="B18">_xlfn.XLOOKUP($C18,_xlfn.ANCHORARRAY(Symptoms!$B$2),Symptoms!$A$2:$A$15,"Not Found")</f>
        <v>S005</v>
      </c>
      <c r="C18" s="22" t="s">
        <v>3461</v>
      </c>
    </row>
    <row r="19" spans="1:3">
      <c r="A19" s="21" t="s">
        <v>495</v>
      </c>
      <c r="B19" s="3" t="str" cm="1">
        <f t="array" ref="B19">_xlfn.XLOOKUP($C19,_xlfn.ANCHORARRAY(Symptoms!$B$2),Symptoms!$A$2:$A$15,"Not Found")</f>
        <v>S001</v>
      </c>
      <c r="C19" s="22" t="s">
        <v>3462</v>
      </c>
    </row>
    <row r="20" spans="1:3">
      <c r="A20" s="21" t="s">
        <v>495</v>
      </c>
      <c r="B20" s="3" t="str" cm="1">
        <f t="array" ref="B20">_xlfn.XLOOKUP($C20,_xlfn.ANCHORARRAY(Symptoms!$B$2),Symptoms!$A$2:$A$15,"Not Found")</f>
        <v>S009</v>
      </c>
      <c r="C20" s="22" t="s">
        <v>3464</v>
      </c>
    </row>
    <row r="21" spans="1:3">
      <c r="A21" s="21" t="s">
        <v>496</v>
      </c>
      <c r="B21" s="3" t="str" cm="1">
        <f t="array" ref="B21">_xlfn.XLOOKUP($C21,_xlfn.ANCHORARRAY(Symptoms!$B$2),Symptoms!$A$2:$A$15,"Not Found")</f>
        <v>S007</v>
      </c>
      <c r="C21" s="22" t="s">
        <v>3463</v>
      </c>
    </row>
    <row r="22" spans="1:3">
      <c r="A22" s="21" t="s">
        <v>497</v>
      </c>
      <c r="B22" s="3" t="str" cm="1">
        <f t="array" ref="B22">_xlfn.XLOOKUP($C22,_xlfn.ANCHORARRAY(Symptoms!$B$2),Symptoms!$A$2:$A$15,"Not Found")</f>
        <v>S005</v>
      </c>
      <c r="C22" s="22" t="s">
        <v>3461</v>
      </c>
    </row>
    <row r="23" spans="1:3">
      <c r="A23" s="21" t="s">
        <v>498</v>
      </c>
      <c r="B23" s="3" t="str" cm="1">
        <f t="array" ref="B23">_xlfn.XLOOKUP($C23,_xlfn.ANCHORARRAY(Symptoms!$B$2),Symptoms!$A$2:$A$15,"Not Found")</f>
        <v>S007</v>
      </c>
      <c r="C23" s="22" t="s">
        <v>3463</v>
      </c>
    </row>
    <row r="24" spans="1:3">
      <c r="A24" s="21" t="s">
        <v>499</v>
      </c>
      <c r="B24" s="3" t="str" cm="1">
        <f t="array" ref="B24">_xlfn.XLOOKUP($C24,_xlfn.ANCHORARRAY(Symptoms!$B$2),Symptoms!$A$2:$A$15,"Not Found")</f>
        <v>S003</v>
      </c>
      <c r="C24" s="22" t="s">
        <v>2875</v>
      </c>
    </row>
    <row r="25" spans="1:3">
      <c r="A25" s="21" t="s">
        <v>499</v>
      </c>
      <c r="B25" s="3" t="str" cm="1">
        <f t="array" ref="B25">_xlfn.XLOOKUP($C25,_xlfn.ANCHORARRAY(Symptoms!$B$2),Symptoms!$A$2:$A$15,"Not Found")</f>
        <v>S004</v>
      </c>
      <c r="C25" s="22" t="s">
        <v>2876</v>
      </c>
    </row>
    <row r="26" spans="1:3">
      <c r="A26" s="21" t="s">
        <v>500</v>
      </c>
      <c r="B26" s="3" t="str" cm="1">
        <f t="array" ref="B26">_xlfn.XLOOKUP($C26,_xlfn.ANCHORARRAY(Symptoms!$B$2),Symptoms!$A$2:$A$15,"Not Found")</f>
        <v>S003</v>
      </c>
      <c r="C26" s="22" t="s">
        <v>2875</v>
      </c>
    </row>
    <row r="27" spans="1:3">
      <c r="A27" s="21" t="s">
        <v>501</v>
      </c>
      <c r="B27" s="3" t="str" cm="1">
        <f t="array" ref="B27">_xlfn.XLOOKUP($C27,_xlfn.ANCHORARRAY(Symptoms!$B$2),Symptoms!$A$2:$A$15,"Not Found")</f>
        <v>S001</v>
      </c>
      <c r="C27" s="22" t="s">
        <v>3462</v>
      </c>
    </row>
    <row r="28" spans="1:3">
      <c r="A28" s="21" t="s">
        <v>502</v>
      </c>
      <c r="B28" s="3" t="str" cm="1">
        <f t="array" ref="B28">_xlfn.XLOOKUP($C28,_xlfn.ANCHORARRAY(Symptoms!$B$2),Symptoms!$A$2:$A$15,"Not Found")</f>
        <v>S001</v>
      </c>
      <c r="C28" s="22" t="s">
        <v>3462</v>
      </c>
    </row>
    <row r="29" spans="1:3">
      <c r="A29" s="21" t="s">
        <v>502</v>
      </c>
      <c r="B29" s="3" t="str" cm="1">
        <f t="array" ref="B29">_xlfn.XLOOKUP($C29,_xlfn.ANCHORARRAY(Symptoms!$B$2),Symptoms!$A$2:$A$15,"Not Found")</f>
        <v>S004</v>
      </c>
      <c r="C29" s="22" t="s">
        <v>2876</v>
      </c>
    </row>
    <row r="30" spans="1:3">
      <c r="A30" s="21" t="s">
        <v>503</v>
      </c>
      <c r="B30" s="3" t="str" cm="1">
        <f t="array" ref="B30">_xlfn.XLOOKUP($C30,_xlfn.ANCHORARRAY(Symptoms!$B$2),Symptoms!$A$2:$A$15,"Not Found")</f>
        <v>S001</v>
      </c>
      <c r="C30" s="22" t="s">
        <v>3462</v>
      </c>
    </row>
    <row r="31" spans="1:3">
      <c r="A31" s="21" t="s">
        <v>504</v>
      </c>
      <c r="B31" s="3" t="str" cm="1">
        <f t="array" ref="B31">_xlfn.XLOOKUP($C31,_xlfn.ANCHORARRAY(Symptoms!$B$2),Symptoms!$A$2:$A$15,"Not Found")</f>
        <v>S005</v>
      </c>
      <c r="C31" s="22" t="s">
        <v>3461</v>
      </c>
    </row>
    <row r="32" spans="1:3">
      <c r="A32" s="21" t="s">
        <v>505</v>
      </c>
      <c r="B32" s="3" t="str" cm="1">
        <f t="array" ref="B32">_xlfn.XLOOKUP($C32,_xlfn.ANCHORARRAY(Symptoms!$B$2),Symptoms!$A$2:$A$15,"Not Found")</f>
        <v>S005</v>
      </c>
      <c r="C32" s="22" t="s">
        <v>3461</v>
      </c>
    </row>
    <row r="33" spans="1:3">
      <c r="A33" s="21" t="s">
        <v>506</v>
      </c>
      <c r="B33" s="3" t="str" cm="1">
        <f t="array" ref="B33">_xlfn.XLOOKUP($C33,_xlfn.ANCHORARRAY(Symptoms!$B$2),Symptoms!$A$2:$A$15,"Not Found")</f>
        <v>S009</v>
      </c>
      <c r="C33" s="22" t="s">
        <v>3464</v>
      </c>
    </row>
    <row r="34" spans="1:3">
      <c r="A34" s="21" t="s">
        <v>506</v>
      </c>
      <c r="B34" s="3" t="str" cm="1">
        <f t="array" ref="B34">_xlfn.XLOOKUP($C34,_xlfn.ANCHORARRAY(Symptoms!$B$2),Symptoms!$A$2:$A$15,"Not Found")</f>
        <v>S001</v>
      </c>
      <c r="C34" s="22" t="s">
        <v>3462</v>
      </c>
    </row>
    <row r="35" spans="1:3">
      <c r="A35" s="21" t="s">
        <v>506</v>
      </c>
      <c r="B35" s="3" t="str" cm="1">
        <f t="array" ref="B35">_xlfn.XLOOKUP($C35,_xlfn.ANCHORARRAY(Symptoms!$B$2),Symptoms!$A$2:$A$15,"Not Found")</f>
        <v>S007</v>
      </c>
      <c r="C35" s="22" t="s">
        <v>3463</v>
      </c>
    </row>
    <row r="36" spans="1:3">
      <c r="A36" s="21" t="s">
        <v>507</v>
      </c>
      <c r="B36" s="3" t="str" cm="1">
        <f t="array" ref="B36">_xlfn.XLOOKUP($C36,_xlfn.ANCHORARRAY(Symptoms!$B$2),Symptoms!$A$2:$A$15,"Not Found")</f>
        <v>S009</v>
      </c>
      <c r="C36" s="22" t="s">
        <v>3464</v>
      </c>
    </row>
    <row r="37" spans="1:3">
      <c r="A37" s="21" t="s">
        <v>507</v>
      </c>
      <c r="B37" s="3" t="str" cm="1">
        <f t="array" ref="B37">_xlfn.XLOOKUP($C37,_xlfn.ANCHORARRAY(Symptoms!$B$2),Symptoms!$A$2:$A$15,"Not Found")</f>
        <v>S005</v>
      </c>
      <c r="C37" s="22" t="s">
        <v>3461</v>
      </c>
    </row>
    <row r="38" spans="1:3">
      <c r="A38" s="21" t="s">
        <v>508</v>
      </c>
      <c r="B38" s="3" t="str" cm="1">
        <f t="array" ref="B38">_xlfn.XLOOKUP($C38,_xlfn.ANCHORARRAY(Symptoms!$B$2),Symptoms!$A$2:$A$15,"Not Found")</f>
        <v>S005</v>
      </c>
      <c r="C38" s="22" t="s">
        <v>3461</v>
      </c>
    </row>
    <row r="39" spans="1:3">
      <c r="A39" s="21" t="s">
        <v>509</v>
      </c>
      <c r="B39" s="3" t="str" cm="1">
        <f t="array" ref="B39">_xlfn.XLOOKUP($C39,_xlfn.ANCHORARRAY(Symptoms!$B$2),Symptoms!$A$2:$A$15,"Not Found")</f>
        <v>S003</v>
      </c>
      <c r="C39" s="22" t="s">
        <v>2875</v>
      </c>
    </row>
    <row r="40" spans="1:3">
      <c r="A40" s="21" t="s">
        <v>509</v>
      </c>
      <c r="B40" s="3" t="str" cm="1">
        <f t="array" ref="B40">_xlfn.XLOOKUP($C40,_xlfn.ANCHORARRAY(Symptoms!$B$2),Symptoms!$A$2:$A$15,"Not Found")</f>
        <v>S004</v>
      </c>
      <c r="C40" s="22" t="s">
        <v>2876</v>
      </c>
    </row>
    <row r="41" spans="1:3">
      <c r="A41" s="21" t="s">
        <v>510</v>
      </c>
      <c r="B41" s="3" t="str" cm="1">
        <f t="array" ref="B41">_xlfn.XLOOKUP($C41,_xlfn.ANCHORARRAY(Symptoms!$B$2),Symptoms!$A$2:$A$15,"Not Found")</f>
        <v>S003</v>
      </c>
      <c r="C41" s="22" t="s">
        <v>2875</v>
      </c>
    </row>
    <row r="42" spans="1:3">
      <c r="A42" s="21" t="s">
        <v>511</v>
      </c>
      <c r="B42" s="3" t="str" cm="1">
        <f t="array" ref="B42">_xlfn.XLOOKUP($C42,_xlfn.ANCHORARRAY(Symptoms!$B$2),Symptoms!$A$2:$A$15,"Not Found")</f>
        <v>S001</v>
      </c>
      <c r="C42" s="22" t="s">
        <v>3462</v>
      </c>
    </row>
    <row r="43" spans="1:3">
      <c r="A43" s="21" t="s">
        <v>512</v>
      </c>
      <c r="B43" s="3" t="str" cm="1">
        <f t="array" ref="B43">_xlfn.XLOOKUP($C43,_xlfn.ANCHORARRAY(Symptoms!$B$2),Symptoms!$A$2:$A$15,"Not Found")</f>
        <v>S001</v>
      </c>
      <c r="C43" s="22" t="s">
        <v>3462</v>
      </c>
    </row>
    <row r="44" spans="1:3">
      <c r="A44" s="21" t="s">
        <v>512</v>
      </c>
      <c r="B44" s="3" t="str" cm="1">
        <f t="array" ref="B44">_xlfn.XLOOKUP($C44,_xlfn.ANCHORARRAY(Symptoms!$B$2),Symptoms!$A$2:$A$15,"Not Found")</f>
        <v>S004</v>
      </c>
      <c r="C44" s="22" t="s">
        <v>2876</v>
      </c>
    </row>
    <row r="45" spans="1:3">
      <c r="A45" s="21" t="s">
        <v>513</v>
      </c>
      <c r="B45" s="3" t="str" cm="1">
        <f t="array" ref="B45">_xlfn.XLOOKUP($C45,_xlfn.ANCHORARRAY(Symptoms!$B$2),Symptoms!$A$2:$A$15,"Not Found")</f>
        <v>S001</v>
      </c>
      <c r="C45" s="22" t="s">
        <v>3462</v>
      </c>
    </row>
    <row r="46" spans="1:3">
      <c r="A46" s="21" t="s">
        <v>514</v>
      </c>
      <c r="B46" s="3" t="str" cm="1">
        <f t="array" ref="B46">_xlfn.XLOOKUP($C46,_xlfn.ANCHORARRAY(Symptoms!$B$2),Symptoms!$A$2:$A$15,"Not Found")</f>
        <v>S005</v>
      </c>
      <c r="C46" s="22" t="s">
        <v>3461</v>
      </c>
    </row>
    <row r="47" spans="1:3">
      <c r="A47" s="21" t="s">
        <v>515</v>
      </c>
      <c r="B47" s="3" t="str" cm="1">
        <f t="array" ref="B47">_xlfn.XLOOKUP($C47,_xlfn.ANCHORARRAY(Symptoms!$B$2),Symptoms!$A$2:$A$15,"Not Found")</f>
        <v>S010</v>
      </c>
      <c r="C47" s="22" t="s">
        <v>3465</v>
      </c>
    </row>
    <row r="48" spans="1:3">
      <c r="A48" s="21" t="s">
        <v>515</v>
      </c>
      <c r="B48" s="3" t="str" cm="1">
        <f t="array" ref="B48">_xlfn.XLOOKUP($C48,_xlfn.ANCHORARRAY(Symptoms!$B$2),Symptoms!$A$2:$A$15,"Not Found")</f>
        <v>S001</v>
      </c>
      <c r="C48" s="22" t="s">
        <v>3462</v>
      </c>
    </row>
    <row r="49" spans="1:3">
      <c r="A49" s="21" t="s">
        <v>515</v>
      </c>
      <c r="B49" s="3" t="str" cm="1">
        <f t="array" ref="B49">_xlfn.XLOOKUP($C49,_xlfn.ANCHORARRAY(Symptoms!$B$2),Symptoms!$A$2:$A$15,"Not Found")</f>
        <v>S001</v>
      </c>
      <c r="C49" s="22" t="s">
        <v>3462</v>
      </c>
    </row>
    <row r="50" spans="1:3">
      <c r="A50" s="21" t="s">
        <v>515</v>
      </c>
      <c r="B50" s="3" t="str" cm="1">
        <f t="array" ref="B50">_xlfn.XLOOKUP($C50,_xlfn.ANCHORARRAY(Symptoms!$B$2),Symptoms!$A$2:$A$15,"Not Found")</f>
        <v>S002</v>
      </c>
      <c r="C50" s="22" t="s">
        <v>3466</v>
      </c>
    </row>
    <row r="51" spans="1:3">
      <c r="A51" s="21" t="s">
        <v>516</v>
      </c>
      <c r="B51" s="3" t="str" cm="1">
        <f t="array" ref="B51">_xlfn.XLOOKUP($C51,_xlfn.ANCHORARRAY(Symptoms!$B$2),Symptoms!$A$2:$A$15,"Not Found")</f>
        <v>S003</v>
      </c>
      <c r="C51" s="22" t="s">
        <v>2875</v>
      </c>
    </row>
    <row r="52" spans="1:3">
      <c r="A52" s="21" t="s">
        <v>516</v>
      </c>
      <c r="B52" s="3" t="str" cm="1">
        <f t="array" ref="B52">_xlfn.XLOOKUP($C52,_xlfn.ANCHORARRAY(Symptoms!$B$2),Symptoms!$A$2:$A$15,"Not Found")</f>
        <v>S004</v>
      </c>
      <c r="C52" s="22" t="s">
        <v>2876</v>
      </c>
    </row>
    <row r="53" spans="1:3">
      <c r="A53" s="21" t="s">
        <v>517</v>
      </c>
      <c r="B53" s="3" t="str" cm="1">
        <f t="array" ref="B53">_xlfn.XLOOKUP($C53,_xlfn.ANCHORARRAY(Symptoms!$B$2),Symptoms!$A$2:$A$15,"Not Found")</f>
        <v>S003</v>
      </c>
      <c r="C53" s="22" t="s">
        <v>2875</v>
      </c>
    </row>
    <row r="54" spans="1:3">
      <c r="A54" s="21" t="s">
        <v>518</v>
      </c>
      <c r="B54" s="3" t="str" cm="1">
        <f t="array" ref="B54">_xlfn.XLOOKUP($C54,_xlfn.ANCHORARRAY(Symptoms!$B$2),Symptoms!$A$2:$A$15,"Not Found")</f>
        <v>S001</v>
      </c>
      <c r="C54" s="22" t="s">
        <v>3462</v>
      </c>
    </row>
    <row r="55" spans="1:3">
      <c r="A55" s="21" t="s">
        <v>519</v>
      </c>
      <c r="B55" s="3" t="str" cm="1">
        <f t="array" ref="B55">_xlfn.XLOOKUP($C55,_xlfn.ANCHORARRAY(Symptoms!$B$2),Symptoms!$A$2:$A$15,"Not Found")</f>
        <v>S005</v>
      </c>
      <c r="C55" s="22" t="s">
        <v>3461</v>
      </c>
    </row>
    <row r="56" spans="1:3">
      <c r="A56" s="21" t="s">
        <v>520</v>
      </c>
      <c r="B56" s="3" t="str" cm="1">
        <f t="array" ref="B56">_xlfn.XLOOKUP($C56,_xlfn.ANCHORARRAY(Symptoms!$B$2),Symptoms!$A$2:$A$15,"Not Found")</f>
        <v>S006</v>
      </c>
      <c r="C56" s="22" t="s">
        <v>2280</v>
      </c>
    </row>
    <row r="57" spans="1:3">
      <c r="A57" s="21" t="s">
        <v>521</v>
      </c>
      <c r="B57" s="3" t="str" cm="1">
        <f t="array" ref="B57">_xlfn.XLOOKUP($C57,_xlfn.ANCHORARRAY(Symptoms!$B$2),Symptoms!$A$2:$A$15,"Not Found")</f>
        <v>S005</v>
      </c>
      <c r="C57" s="22" t="s">
        <v>3461</v>
      </c>
    </row>
    <row r="58" spans="1:3">
      <c r="A58" s="21" t="s">
        <v>521</v>
      </c>
      <c r="B58" s="3" t="str" cm="1">
        <f t="array" ref="B58">_xlfn.XLOOKUP($C58,_xlfn.ANCHORARRAY(Symptoms!$B$2),Symptoms!$A$2:$A$15,"Not Found")</f>
        <v>S007</v>
      </c>
      <c r="C58" s="22" t="s">
        <v>3463</v>
      </c>
    </row>
    <row r="59" spans="1:3">
      <c r="A59" s="21" t="s">
        <v>522</v>
      </c>
      <c r="B59" s="3" t="str" cm="1">
        <f t="array" ref="B59">_xlfn.XLOOKUP($C59,_xlfn.ANCHORARRAY(Symptoms!$B$2),Symptoms!$A$2:$A$15,"Not Found")</f>
        <v>S001</v>
      </c>
      <c r="C59" s="22" t="s">
        <v>3462</v>
      </c>
    </row>
    <row r="60" spans="1:3">
      <c r="A60" s="21" t="s">
        <v>523</v>
      </c>
      <c r="B60" s="3" t="str" cm="1">
        <f t="array" ref="B60">_xlfn.XLOOKUP($C60,_xlfn.ANCHORARRAY(Symptoms!$B$2),Symptoms!$A$2:$A$15,"Not Found")</f>
        <v>S004</v>
      </c>
      <c r="C60" s="22" t="s">
        <v>2876</v>
      </c>
    </row>
    <row r="61" spans="1:3">
      <c r="A61" s="21" t="s">
        <v>523</v>
      </c>
      <c r="B61" s="3" t="str" cm="1">
        <f t="array" ref="B61">_xlfn.XLOOKUP($C61,_xlfn.ANCHORARRAY(Symptoms!$B$2),Symptoms!$A$2:$A$15,"Not Found")</f>
        <v>S008</v>
      </c>
      <c r="C61" s="22" t="s">
        <v>3467</v>
      </c>
    </row>
    <row r="62" spans="1:3">
      <c r="A62" s="21" t="s">
        <v>523</v>
      </c>
      <c r="B62" s="3" t="str" cm="1">
        <f t="array" ref="B62">_xlfn.XLOOKUP($C62,_xlfn.ANCHORARRAY(Symptoms!$B$2),Symptoms!$A$2:$A$15,"Not Found")</f>
        <v>S007</v>
      </c>
      <c r="C62" s="22" t="s">
        <v>3463</v>
      </c>
    </row>
    <row r="63" spans="1:3">
      <c r="A63" s="21" t="s">
        <v>524</v>
      </c>
      <c r="B63" s="3" t="str" cm="1">
        <f t="array" ref="B63">_xlfn.XLOOKUP($C63,_xlfn.ANCHORARRAY(Symptoms!$B$2),Symptoms!$A$2:$A$15,"Not Found")</f>
        <v>S003</v>
      </c>
      <c r="C63" s="22" t="s">
        <v>2875</v>
      </c>
    </row>
    <row r="64" spans="1:3">
      <c r="A64" s="21" t="s">
        <v>524</v>
      </c>
      <c r="B64" s="3" t="str" cm="1">
        <f t="array" ref="B64">_xlfn.XLOOKUP($C64,_xlfn.ANCHORARRAY(Symptoms!$B$2),Symptoms!$A$2:$A$15,"Not Found")</f>
        <v>S004</v>
      </c>
      <c r="C64" s="22" t="s">
        <v>2876</v>
      </c>
    </row>
    <row r="65" spans="1:3">
      <c r="A65" s="21" t="s">
        <v>525</v>
      </c>
      <c r="B65" s="3" t="str" cm="1">
        <f t="array" ref="B65">_xlfn.XLOOKUP($C65,_xlfn.ANCHORARRAY(Symptoms!$B$2),Symptoms!$A$2:$A$15,"Not Found")</f>
        <v>S005</v>
      </c>
      <c r="C65" s="22" t="s">
        <v>3461</v>
      </c>
    </row>
    <row r="66" spans="1:3">
      <c r="A66" s="21" t="s">
        <v>525</v>
      </c>
      <c r="B66" s="3" t="str" cm="1">
        <f t="array" ref="B66">_xlfn.XLOOKUP($C66,_xlfn.ANCHORARRAY(Symptoms!$B$2),Symptoms!$A$2:$A$15,"Not Found")</f>
        <v>S001</v>
      </c>
      <c r="C66" s="22" t="s">
        <v>3462</v>
      </c>
    </row>
    <row r="67" spans="1:3">
      <c r="A67" s="21" t="s">
        <v>525</v>
      </c>
      <c r="B67" s="3" t="str" cm="1">
        <f t="array" ref="B67">_xlfn.XLOOKUP($C67,_xlfn.ANCHORARRAY(Symptoms!$B$2),Symptoms!$A$2:$A$15,"Not Found")</f>
        <v>S009</v>
      </c>
      <c r="C67" s="22" t="s">
        <v>3464</v>
      </c>
    </row>
    <row r="68" spans="1:3">
      <c r="A68" s="21" t="s">
        <v>526</v>
      </c>
      <c r="B68" s="3" t="str" cm="1">
        <f t="array" ref="B68">_xlfn.XLOOKUP($C68,_xlfn.ANCHORARRAY(Symptoms!$B$2),Symptoms!$A$2:$A$15,"Not Found")</f>
        <v>S007</v>
      </c>
      <c r="C68" s="22" t="s">
        <v>3463</v>
      </c>
    </row>
    <row r="69" spans="1:3">
      <c r="A69" s="21" t="s">
        <v>527</v>
      </c>
      <c r="B69" s="3" t="str" cm="1">
        <f t="array" ref="B69">_xlfn.XLOOKUP($C69,_xlfn.ANCHORARRAY(Symptoms!$B$2),Symptoms!$A$2:$A$15,"Not Found")</f>
        <v>S005</v>
      </c>
      <c r="C69" s="22" t="s">
        <v>3461</v>
      </c>
    </row>
    <row r="70" spans="1:3">
      <c r="A70" s="21" t="s">
        <v>528</v>
      </c>
      <c r="B70" s="3" t="str" cm="1">
        <f t="array" ref="B70">_xlfn.XLOOKUP($C70,_xlfn.ANCHORARRAY(Symptoms!$B$2),Symptoms!$A$2:$A$15,"Not Found")</f>
        <v>S007</v>
      </c>
      <c r="C70" s="22" t="s">
        <v>3463</v>
      </c>
    </row>
    <row r="71" spans="1:3">
      <c r="A71" s="21" t="s">
        <v>529</v>
      </c>
      <c r="B71" s="3" t="str" cm="1">
        <f t="array" ref="B71">_xlfn.XLOOKUP($C71,_xlfn.ANCHORARRAY(Symptoms!$B$2),Symptoms!$A$2:$A$15,"Not Found")</f>
        <v>S005</v>
      </c>
      <c r="C71" s="22" t="s">
        <v>3461</v>
      </c>
    </row>
    <row r="72" spans="1:3">
      <c r="A72" s="21" t="s">
        <v>529</v>
      </c>
      <c r="B72" s="3" t="str" cm="1">
        <f t="array" ref="B72">_xlfn.XLOOKUP($C72,_xlfn.ANCHORARRAY(Symptoms!$B$2),Symptoms!$A$2:$A$15,"Not Found")</f>
        <v>S007</v>
      </c>
      <c r="C72" s="22" t="s">
        <v>3463</v>
      </c>
    </row>
    <row r="73" spans="1:3">
      <c r="A73" s="21" t="s">
        <v>530</v>
      </c>
      <c r="B73" s="3" t="str" cm="1">
        <f t="array" ref="B73">_xlfn.XLOOKUP($C73,_xlfn.ANCHORARRAY(Symptoms!$B$2),Symptoms!$A$2:$A$15,"Not Found")</f>
        <v>S005</v>
      </c>
      <c r="C73" s="22" t="s">
        <v>3461</v>
      </c>
    </row>
    <row r="74" spans="1:3">
      <c r="A74" s="21" t="s">
        <v>531</v>
      </c>
      <c r="B74" s="3" t="str" cm="1">
        <f t="array" ref="B74">_xlfn.XLOOKUP($C74,_xlfn.ANCHORARRAY(Symptoms!$B$2),Symptoms!$A$2:$A$15,"Not Found")</f>
        <v>S011</v>
      </c>
      <c r="C74" s="22" t="s">
        <v>436</v>
      </c>
    </row>
    <row r="75" spans="1:3">
      <c r="A75" s="21" t="s">
        <v>531</v>
      </c>
      <c r="B75" s="3" t="str" cm="1">
        <f t="array" ref="B75">_xlfn.XLOOKUP($C75,_xlfn.ANCHORARRAY(Symptoms!$B$2),Symptoms!$A$2:$A$15,"Not Found")</f>
        <v>S012</v>
      </c>
      <c r="C75" s="22" t="s">
        <v>3468</v>
      </c>
    </row>
    <row r="76" spans="1:3">
      <c r="A76" s="21" t="s">
        <v>531</v>
      </c>
      <c r="B76" s="3" t="str" cm="1">
        <f t="array" ref="B76">_xlfn.XLOOKUP($C76,_xlfn.ANCHORARRAY(Symptoms!$B$2),Symptoms!$A$2:$A$15,"Not Found")</f>
        <v>S005</v>
      </c>
      <c r="C76" s="22" t="s">
        <v>3461</v>
      </c>
    </row>
    <row r="77" spans="1:3">
      <c r="A77" s="21" t="s">
        <v>531</v>
      </c>
      <c r="B77" s="3" t="str" cm="1">
        <f t="array" ref="B77">_xlfn.XLOOKUP($C77,_xlfn.ANCHORARRAY(Symptoms!$B$2),Symptoms!$A$2:$A$15,"Not Found")</f>
        <v>S007</v>
      </c>
      <c r="C77" s="22" t="s">
        <v>3463</v>
      </c>
    </row>
    <row r="78" spans="1:3">
      <c r="A78" s="21" t="s">
        <v>532</v>
      </c>
      <c r="B78" s="3" t="str" cm="1">
        <f t="array" ref="B78">_xlfn.XLOOKUP($C78,_xlfn.ANCHORARRAY(Symptoms!$B$2),Symptoms!$A$2:$A$15,"Not Found")</f>
        <v>S013</v>
      </c>
      <c r="C78" s="22" t="s">
        <v>420</v>
      </c>
    </row>
    <row r="79" spans="1:3">
      <c r="A79" s="21" t="s">
        <v>533</v>
      </c>
      <c r="B79" s="3" t="str" cm="1">
        <f t="array" ref="B79">_xlfn.XLOOKUP($C79,_xlfn.ANCHORARRAY(Symptoms!$B$2),Symptoms!$A$2:$A$15,"Not Found")</f>
        <v>S007</v>
      </c>
      <c r="C79" s="22" t="s">
        <v>3463</v>
      </c>
    </row>
    <row r="80" spans="1:3">
      <c r="A80" s="21" t="s">
        <v>534</v>
      </c>
      <c r="B80" s="3" t="str" cm="1">
        <f t="array" ref="B80">_xlfn.XLOOKUP($C80,_xlfn.ANCHORARRAY(Symptoms!$B$2),Symptoms!$A$2:$A$15,"Not Found")</f>
        <v>S007</v>
      </c>
      <c r="C80" s="22" t="s">
        <v>3463</v>
      </c>
    </row>
    <row r="81" spans="1:3">
      <c r="A81" s="21" t="s">
        <v>535</v>
      </c>
      <c r="B81" s="3" t="str" cm="1">
        <f t="array" ref="B81">_xlfn.XLOOKUP($C81,_xlfn.ANCHORARRAY(Symptoms!$B$2),Symptoms!$A$2:$A$15,"Not Found")</f>
        <v>S006</v>
      </c>
      <c r="C81" s="22" t="s">
        <v>2280</v>
      </c>
    </row>
    <row r="82" spans="1:3">
      <c r="A82" s="21" t="s">
        <v>536</v>
      </c>
      <c r="B82" s="3" t="str" cm="1">
        <f t="array" ref="B82">_xlfn.XLOOKUP($C82,_xlfn.ANCHORARRAY(Symptoms!$B$2),Symptoms!$A$2:$A$15,"Not Found")</f>
        <v>S005</v>
      </c>
      <c r="C82" s="22" t="s">
        <v>3461</v>
      </c>
    </row>
    <row r="83" spans="1:3">
      <c r="A83" s="21" t="s">
        <v>536</v>
      </c>
      <c r="B83" s="3" t="str" cm="1">
        <f t="array" ref="B83">_xlfn.XLOOKUP($C83,_xlfn.ANCHORARRAY(Symptoms!$B$2),Symptoms!$A$2:$A$15,"Not Found")</f>
        <v>S007</v>
      </c>
      <c r="C83" s="22" t="s">
        <v>3463</v>
      </c>
    </row>
    <row r="84" spans="1:3">
      <c r="A84" s="21" t="s">
        <v>537</v>
      </c>
      <c r="B84" s="3" t="str" cm="1">
        <f t="array" ref="B84">_xlfn.XLOOKUP($C84,_xlfn.ANCHORARRAY(Symptoms!$B$2),Symptoms!$A$2:$A$15,"Not Found")</f>
        <v>S001</v>
      </c>
      <c r="C84" s="22" t="s">
        <v>3462</v>
      </c>
    </row>
    <row r="85" spans="1:3">
      <c r="A85" s="21" t="s">
        <v>538</v>
      </c>
      <c r="B85" s="3" t="str" cm="1">
        <f t="array" ref="B85">_xlfn.XLOOKUP($C85,_xlfn.ANCHORARRAY(Symptoms!$B$2),Symptoms!$A$2:$A$15,"Not Found")</f>
        <v>S004</v>
      </c>
      <c r="C85" s="22" t="s">
        <v>2876</v>
      </c>
    </row>
    <row r="86" spans="1:3">
      <c r="A86" s="21" t="s">
        <v>538</v>
      </c>
      <c r="B86" s="3" t="str" cm="1">
        <f t="array" ref="B86">_xlfn.XLOOKUP($C86,_xlfn.ANCHORARRAY(Symptoms!$B$2),Symptoms!$A$2:$A$15,"Not Found")</f>
        <v>S008</v>
      </c>
      <c r="C86" s="22" t="s">
        <v>3467</v>
      </c>
    </row>
    <row r="87" spans="1:3">
      <c r="A87" s="21" t="s">
        <v>538</v>
      </c>
      <c r="B87" s="3" t="str" cm="1">
        <f t="array" ref="B87">_xlfn.XLOOKUP($C87,_xlfn.ANCHORARRAY(Symptoms!$B$2),Symptoms!$A$2:$A$15,"Not Found")</f>
        <v>S007</v>
      </c>
      <c r="C87" s="22" t="s">
        <v>3463</v>
      </c>
    </row>
    <row r="88" spans="1:3">
      <c r="A88" s="21" t="s">
        <v>539</v>
      </c>
      <c r="B88" s="3" t="str" cm="1">
        <f t="array" ref="B88">_xlfn.XLOOKUP($C88,_xlfn.ANCHORARRAY(Symptoms!$B$2),Symptoms!$A$2:$A$15,"Not Found")</f>
        <v>S003</v>
      </c>
      <c r="C88" s="22" t="s">
        <v>2875</v>
      </c>
    </row>
    <row r="89" spans="1:3">
      <c r="A89" s="21" t="s">
        <v>539</v>
      </c>
      <c r="B89" s="3" t="str" cm="1">
        <f t="array" ref="B89">_xlfn.XLOOKUP($C89,_xlfn.ANCHORARRAY(Symptoms!$B$2),Symptoms!$A$2:$A$15,"Not Found")</f>
        <v>S004</v>
      </c>
      <c r="C89" s="22" t="s">
        <v>2876</v>
      </c>
    </row>
    <row r="90" spans="1:3">
      <c r="A90" s="21" t="s">
        <v>540</v>
      </c>
      <c r="B90" s="3" t="str" cm="1">
        <f t="array" ref="B90">_xlfn.XLOOKUP($C90,_xlfn.ANCHORARRAY(Symptoms!$B$2),Symptoms!$A$2:$A$15,"Not Found")</f>
        <v>S005</v>
      </c>
      <c r="C90" s="22" t="s">
        <v>3461</v>
      </c>
    </row>
    <row r="91" spans="1:3">
      <c r="A91" s="21" t="s">
        <v>541</v>
      </c>
      <c r="B91" s="3" t="str" cm="1">
        <f t="array" ref="B91">_xlfn.XLOOKUP($C91,_xlfn.ANCHORARRAY(Symptoms!$B$2),Symptoms!$A$2:$A$15,"Not Found")</f>
        <v>S007</v>
      </c>
      <c r="C91" s="22" t="s">
        <v>3463</v>
      </c>
    </row>
    <row r="92" spans="1:3">
      <c r="A92" s="21" t="s">
        <v>542</v>
      </c>
      <c r="B92" s="3" t="str" cm="1">
        <f t="array" ref="B92">_xlfn.XLOOKUP($C92,_xlfn.ANCHORARRAY(Symptoms!$B$2),Symptoms!$A$2:$A$15,"Not Found")</f>
        <v>S005</v>
      </c>
      <c r="C92" s="22" t="s">
        <v>3461</v>
      </c>
    </row>
    <row r="93" spans="1:3">
      <c r="A93" s="21" t="s">
        <v>542</v>
      </c>
      <c r="B93" s="3" t="str" cm="1">
        <f t="array" ref="B93">_xlfn.XLOOKUP($C93,_xlfn.ANCHORARRAY(Symptoms!$B$2),Symptoms!$A$2:$A$15,"Not Found")</f>
        <v>S001</v>
      </c>
      <c r="C93" s="22" t="s">
        <v>3462</v>
      </c>
    </row>
    <row r="94" spans="1:3">
      <c r="A94" s="21" t="s">
        <v>542</v>
      </c>
      <c r="B94" s="3" t="str" cm="1">
        <f t="array" ref="B94">_xlfn.XLOOKUP($C94,_xlfn.ANCHORARRAY(Symptoms!$B$2),Symptoms!$A$2:$A$15,"Not Found")</f>
        <v>S009</v>
      </c>
      <c r="C94" s="22" t="s">
        <v>3464</v>
      </c>
    </row>
    <row r="95" spans="1:3">
      <c r="A95" s="21" t="s">
        <v>543</v>
      </c>
      <c r="B95" s="3" t="str" cm="1">
        <f t="array" ref="B95">_xlfn.XLOOKUP($C95,_xlfn.ANCHORARRAY(Symptoms!$B$2),Symptoms!$A$2:$A$15,"Not Found")</f>
        <v>S005</v>
      </c>
      <c r="C95" s="22" t="s">
        <v>3461</v>
      </c>
    </row>
    <row r="96" spans="1:3">
      <c r="A96" s="21" t="s">
        <v>543</v>
      </c>
      <c r="B96" s="3" t="str" cm="1">
        <f t="array" ref="B96">_xlfn.XLOOKUP($C96,_xlfn.ANCHORARRAY(Symptoms!$B$2),Symptoms!$A$2:$A$15,"Not Found")</f>
        <v>S001</v>
      </c>
      <c r="C96" s="22" t="s">
        <v>3462</v>
      </c>
    </row>
    <row r="97" spans="1:3">
      <c r="A97" s="21" t="s">
        <v>543</v>
      </c>
      <c r="B97" s="3" t="str" cm="1">
        <f t="array" ref="B97">_xlfn.XLOOKUP($C97,_xlfn.ANCHORARRAY(Symptoms!$B$2),Symptoms!$A$2:$A$15,"Not Found")</f>
        <v>S009</v>
      </c>
      <c r="C97" s="22" t="s">
        <v>3464</v>
      </c>
    </row>
    <row r="98" spans="1:3">
      <c r="A98" s="21" t="s">
        <v>544</v>
      </c>
      <c r="B98" s="3" t="str" cm="1">
        <f t="array" ref="B98">_xlfn.XLOOKUP($C98,_xlfn.ANCHORARRAY(Symptoms!$B$2),Symptoms!$A$2:$A$15,"Not Found")</f>
        <v>S007</v>
      </c>
      <c r="C98" s="22" t="s">
        <v>3463</v>
      </c>
    </row>
    <row r="99" spans="1:3">
      <c r="A99" s="21" t="s">
        <v>545</v>
      </c>
      <c r="B99" s="3" t="str" cm="1">
        <f t="array" ref="B99">_xlfn.XLOOKUP($C99,_xlfn.ANCHORARRAY(Symptoms!$B$2),Symptoms!$A$2:$A$15,"Not Found")</f>
        <v>S005</v>
      </c>
      <c r="C99" s="22" t="s">
        <v>3461</v>
      </c>
    </row>
    <row r="100" spans="1:3">
      <c r="A100" s="21" t="s">
        <v>545</v>
      </c>
      <c r="B100" s="3" t="str" cm="1">
        <f t="array" ref="B100">_xlfn.XLOOKUP($C100,_xlfn.ANCHORARRAY(Symptoms!$B$2),Symptoms!$A$2:$A$15,"Not Found")</f>
        <v>S001</v>
      </c>
      <c r="C100" s="22" t="s">
        <v>3462</v>
      </c>
    </row>
    <row r="101" spans="1:3">
      <c r="A101" s="21" t="s">
        <v>545</v>
      </c>
      <c r="B101" s="3" t="str" cm="1">
        <f t="array" ref="B101">_xlfn.XLOOKUP($C101,_xlfn.ANCHORARRAY(Symptoms!$B$2),Symptoms!$A$2:$A$15,"Not Found")</f>
        <v>S009</v>
      </c>
      <c r="C101" s="22" t="s">
        <v>3464</v>
      </c>
    </row>
    <row r="102" spans="1:3">
      <c r="A102" s="21" t="s">
        <v>546</v>
      </c>
      <c r="B102" s="3" t="str" cm="1">
        <f t="array" ref="B102">_xlfn.XLOOKUP($C102,_xlfn.ANCHORARRAY(Symptoms!$B$2),Symptoms!$A$2:$A$15,"Not Found")</f>
        <v>S007</v>
      </c>
      <c r="C102" s="22" t="s">
        <v>3463</v>
      </c>
    </row>
    <row r="103" spans="1:3">
      <c r="A103" s="21" t="s">
        <v>547</v>
      </c>
      <c r="B103" s="3" t="str" cm="1">
        <f t="array" ref="B103">_xlfn.XLOOKUP($C103,_xlfn.ANCHORARRAY(Symptoms!$B$2),Symptoms!$A$2:$A$15,"Not Found")</f>
        <v>S005</v>
      </c>
      <c r="C103" s="22" t="s">
        <v>3461</v>
      </c>
    </row>
    <row r="104" spans="1:3">
      <c r="A104" s="21" t="s">
        <v>547</v>
      </c>
      <c r="B104" s="3" t="str" cm="1">
        <f t="array" ref="B104">_xlfn.XLOOKUP($C104,_xlfn.ANCHORARRAY(Symptoms!$B$2),Symptoms!$A$2:$A$15,"Not Found")</f>
        <v>S007</v>
      </c>
      <c r="C104" s="22" t="s">
        <v>3463</v>
      </c>
    </row>
    <row r="105" spans="1:3">
      <c r="A105" s="21" t="s">
        <v>548</v>
      </c>
      <c r="B105" s="3" t="str" cm="1">
        <f t="array" ref="B105">_xlfn.XLOOKUP($C105,_xlfn.ANCHORARRAY(Symptoms!$B$2),Symptoms!$A$2:$A$15,"Not Found")</f>
        <v>S013</v>
      </c>
      <c r="C105" s="22" t="s">
        <v>420</v>
      </c>
    </row>
    <row r="106" spans="1:3">
      <c r="A106" s="21" t="s">
        <v>549</v>
      </c>
      <c r="B106" s="3" t="str" cm="1">
        <f t="array" ref="B106">_xlfn.XLOOKUP($C106,_xlfn.ANCHORARRAY(Symptoms!$B$2),Symptoms!$A$2:$A$15,"Not Found")</f>
        <v>S005</v>
      </c>
      <c r="C106" s="22" t="s">
        <v>3461</v>
      </c>
    </row>
    <row r="107" spans="1:3">
      <c r="A107" s="21" t="s">
        <v>550</v>
      </c>
      <c r="B107" s="3" t="str" cm="1">
        <f t="array" ref="B107">_xlfn.XLOOKUP($C107,_xlfn.ANCHORARRAY(Symptoms!$B$2),Symptoms!$A$2:$A$15,"Not Found")</f>
        <v>S005</v>
      </c>
      <c r="C107" s="22" t="s">
        <v>3461</v>
      </c>
    </row>
    <row r="108" spans="1:3">
      <c r="A108" s="21" t="s">
        <v>551</v>
      </c>
      <c r="B108" s="3" t="str" cm="1">
        <f t="array" ref="B108">_xlfn.XLOOKUP($C108,_xlfn.ANCHORARRAY(Symptoms!$B$2),Symptoms!$A$2:$A$15,"Not Found")</f>
        <v>S007</v>
      </c>
      <c r="C108" s="22" t="s">
        <v>3463</v>
      </c>
    </row>
    <row r="109" spans="1:3">
      <c r="A109" s="21" t="s">
        <v>552</v>
      </c>
      <c r="B109" s="3" t="str" cm="1">
        <f t="array" ref="B109">_xlfn.XLOOKUP($C109,_xlfn.ANCHORARRAY(Symptoms!$B$2),Symptoms!$A$2:$A$15,"Not Found")</f>
        <v>S010</v>
      </c>
      <c r="C109" s="22" t="s">
        <v>3465</v>
      </c>
    </row>
    <row r="110" spans="1:3">
      <c r="A110" s="21" t="s">
        <v>552</v>
      </c>
      <c r="B110" s="3" t="str" cm="1">
        <f t="array" ref="B110">_xlfn.XLOOKUP($C110,_xlfn.ANCHORARRAY(Symptoms!$B$2),Symptoms!$A$2:$A$15,"Not Found")</f>
        <v>S001</v>
      </c>
      <c r="C110" s="22" t="s">
        <v>3462</v>
      </c>
    </row>
    <row r="111" spans="1:3">
      <c r="A111" s="21" t="s">
        <v>553</v>
      </c>
      <c r="B111" s="3" t="str" cm="1">
        <f t="array" ref="B111">_xlfn.XLOOKUP($C111,_xlfn.ANCHORARRAY(Symptoms!$B$2),Symptoms!$A$2:$A$15,"Not Found")</f>
        <v>S001</v>
      </c>
      <c r="C111" s="22" t="s">
        <v>3462</v>
      </c>
    </row>
    <row r="112" spans="1:3">
      <c r="A112" s="21" t="s">
        <v>553</v>
      </c>
      <c r="B112" s="3" t="str" cm="1">
        <f t="array" ref="B112">_xlfn.XLOOKUP($C112,_xlfn.ANCHORARRAY(Symptoms!$B$2),Symptoms!$A$2:$A$15,"Not Found")</f>
        <v>S002</v>
      </c>
      <c r="C112" s="22" t="s">
        <v>3466</v>
      </c>
    </row>
    <row r="113" spans="1:3">
      <c r="A113" s="21" t="s">
        <v>554</v>
      </c>
      <c r="B113" s="3" t="str" cm="1">
        <f t="array" ref="B113">_xlfn.XLOOKUP($C113,_xlfn.ANCHORARRAY(Symptoms!$B$2),Symptoms!$A$2:$A$15,"Not Found")</f>
        <v>S009</v>
      </c>
      <c r="C113" s="22" t="s">
        <v>3464</v>
      </c>
    </row>
    <row r="114" spans="1:3">
      <c r="A114" s="21" t="s">
        <v>554</v>
      </c>
      <c r="B114" s="3" t="str" cm="1">
        <f t="array" ref="B114">_xlfn.XLOOKUP($C114,_xlfn.ANCHORARRAY(Symptoms!$B$2),Symptoms!$A$2:$A$15,"Not Found")</f>
        <v>S001</v>
      </c>
      <c r="C114" s="22" t="s">
        <v>3462</v>
      </c>
    </row>
    <row r="115" spans="1:3">
      <c r="A115" s="21" t="s">
        <v>554</v>
      </c>
      <c r="B115" s="3" t="str" cm="1">
        <f t="array" ref="B115">_xlfn.XLOOKUP($C115,_xlfn.ANCHORARRAY(Symptoms!$B$2),Symptoms!$A$2:$A$15,"Not Found")</f>
        <v>S007</v>
      </c>
      <c r="C115" s="22" t="s">
        <v>3463</v>
      </c>
    </row>
    <row r="116" spans="1:3">
      <c r="A116" s="21" t="s">
        <v>555</v>
      </c>
      <c r="B116" s="3" t="str" cm="1">
        <f t="array" ref="B116">_xlfn.XLOOKUP($C116,_xlfn.ANCHORARRAY(Symptoms!$B$2),Symptoms!$A$2:$A$15,"Not Found")</f>
        <v>S009</v>
      </c>
      <c r="C116" s="22" t="s">
        <v>3464</v>
      </c>
    </row>
    <row r="117" spans="1:3">
      <c r="A117" s="21" t="s">
        <v>555</v>
      </c>
      <c r="B117" s="3" t="str" cm="1">
        <f t="array" ref="B117">_xlfn.XLOOKUP($C117,_xlfn.ANCHORARRAY(Symptoms!$B$2),Symptoms!$A$2:$A$15,"Not Found")</f>
        <v>S005</v>
      </c>
      <c r="C117" s="22" t="s">
        <v>3461</v>
      </c>
    </row>
    <row r="118" spans="1:3">
      <c r="A118" s="21" t="s">
        <v>556</v>
      </c>
      <c r="B118" s="3" t="str" cm="1">
        <f t="array" ref="B118">_xlfn.XLOOKUP($C118,_xlfn.ANCHORARRAY(Symptoms!$B$2),Symptoms!$A$2:$A$15,"Not Found")</f>
        <v>S005</v>
      </c>
      <c r="C118" s="22" t="s">
        <v>3461</v>
      </c>
    </row>
    <row r="119" spans="1:3">
      <c r="A119" s="21" t="s">
        <v>557</v>
      </c>
      <c r="B119" s="3" t="str" cm="1">
        <f t="array" ref="B119">_xlfn.XLOOKUP($C119,_xlfn.ANCHORARRAY(Symptoms!$B$2),Symptoms!$A$2:$A$15,"Not Found")</f>
        <v>S003</v>
      </c>
      <c r="C119" s="22" t="s">
        <v>2875</v>
      </c>
    </row>
    <row r="120" spans="1:3">
      <c r="A120" s="21" t="s">
        <v>557</v>
      </c>
      <c r="B120" s="3" t="str" cm="1">
        <f t="array" ref="B120">_xlfn.XLOOKUP($C120,_xlfn.ANCHORARRAY(Symptoms!$B$2),Symptoms!$A$2:$A$15,"Not Found")</f>
        <v>S004</v>
      </c>
      <c r="C120" s="22" t="s">
        <v>2876</v>
      </c>
    </row>
    <row r="121" spans="1:3">
      <c r="A121" s="21" t="s">
        <v>558</v>
      </c>
      <c r="B121" s="3" t="str" cm="1">
        <f t="array" ref="B121">_xlfn.XLOOKUP($C121,_xlfn.ANCHORARRAY(Symptoms!$B$2),Symptoms!$A$2:$A$15,"Not Found")</f>
        <v>S003</v>
      </c>
      <c r="C121" s="22" t="s">
        <v>2875</v>
      </c>
    </row>
    <row r="122" spans="1:3">
      <c r="A122" s="21" t="s">
        <v>559</v>
      </c>
      <c r="B122" s="3" t="str" cm="1">
        <f t="array" ref="B122">_xlfn.XLOOKUP($C122,_xlfn.ANCHORARRAY(Symptoms!$B$2),Symptoms!$A$2:$A$15,"Not Found")</f>
        <v>S001</v>
      </c>
      <c r="C122" s="22" t="s">
        <v>3462</v>
      </c>
    </row>
    <row r="123" spans="1:3">
      <c r="A123" s="21" t="s">
        <v>560</v>
      </c>
      <c r="B123" s="3" t="str" cm="1">
        <f t="array" ref="B123">_xlfn.XLOOKUP($C123,_xlfn.ANCHORARRAY(Symptoms!$B$2),Symptoms!$A$2:$A$15,"Not Found")</f>
        <v>S001</v>
      </c>
      <c r="C123" s="22" t="s">
        <v>3462</v>
      </c>
    </row>
    <row r="124" spans="1:3">
      <c r="A124" s="21" t="s">
        <v>560</v>
      </c>
      <c r="B124" s="3" t="str" cm="1">
        <f t="array" ref="B124">_xlfn.XLOOKUP($C124,_xlfn.ANCHORARRAY(Symptoms!$B$2),Symptoms!$A$2:$A$15,"Not Found")</f>
        <v>S004</v>
      </c>
      <c r="C124" s="22" t="s">
        <v>2876</v>
      </c>
    </row>
    <row r="125" spans="1:3">
      <c r="A125" s="21" t="s">
        <v>561</v>
      </c>
      <c r="B125" s="3" t="str" cm="1">
        <f t="array" ref="B125">_xlfn.XLOOKUP($C125,_xlfn.ANCHORARRAY(Symptoms!$B$2),Symptoms!$A$2:$A$15,"Not Found")</f>
        <v>S001</v>
      </c>
      <c r="C125" s="22" t="s">
        <v>3462</v>
      </c>
    </row>
    <row r="126" spans="1:3">
      <c r="A126" s="21" t="s">
        <v>562</v>
      </c>
      <c r="B126" s="3" t="str" cm="1">
        <f t="array" ref="B126">_xlfn.XLOOKUP($C126,_xlfn.ANCHORARRAY(Symptoms!$B$2),Symptoms!$A$2:$A$15,"Not Found")</f>
        <v>S005</v>
      </c>
      <c r="C126" s="22" t="s">
        <v>3461</v>
      </c>
    </row>
    <row r="127" spans="1:3">
      <c r="A127" s="21" t="s">
        <v>563</v>
      </c>
      <c r="B127" s="3" t="str" cm="1">
        <f t="array" ref="B127">_xlfn.XLOOKUP($C127,_xlfn.ANCHORARRAY(Symptoms!$B$2),Symptoms!$A$2:$A$15,"Not Found")</f>
        <v>S009</v>
      </c>
      <c r="C127" s="22" t="s">
        <v>3464</v>
      </c>
    </row>
    <row r="128" spans="1:3">
      <c r="A128" s="21" t="s">
        <v>563</v>
      </c>
      <c r="B128" s="3" t="str" cm="1">
        <f t="array" ref="B128">_xlfn.XLOOKUP($C128,_xlfn.ANCHORARRAY(Symptoms!$B$2),Symptoms!$A$2:$A$15,"Not Found")</f>
        <v>S001</v>
      </c>
      <c r="C128" s="22" t="s">
        <v>3462</v>
      </c>
    </row>
    <row r="129" spans="1:3">
      <c r="A129" s="21" t="s">
        <v>563</v>
      </c>
      <c r="B129" s="3" t="str" cm="1">
        <f t="array" ref="B129">_xlfn.XLOOKUP($C129,_xlfn.ANCHORARRAY(Symptoms!$B$2),Symptoms!$A$2:$A$15,"Not Found")</f>
        <v>S007</v>
      </c>
      <c r="C129" s="22" t="s">
        <v>3463</v>
      </c>
    </row>
    <row r="130" spans="1:3">
      <c r="A130" s="21" t="s">
        <v>564</v>
      </c>
      <c r="B130" s="3" t="str" cm="1">
        <f t="array" ref="B130">_xlfn.XLOOKUP($C130,_xlfn.ANCHORARRAY(Symptoms!$B$2),Symptoms!$A$2:$A$15,"Not Found")</f>
        <v>S009</v>
      </c>
      <c r="C130" s="22" t="s">
        <v>3464</v>
      </c>
    </row>
    <row r="131" spans="1:3">
      <c r="A131" s="21" t="s">
        <v>564</v>
      </c>
      <c r="B131" s="3" t="str" cm="1">
        <f t="array" ref="B131">_xlfn.XLOOKUP($C131,_xlfn.ANCHORARRAY(Symptoms!$B$2),Symptoms!$A$2:$A$15,"Not Found")</f>
        <v>S005</v>
      </c>
      <c r="C131" s="22" t="s">
        <v>3461</v>
      </c>
    </row>
    <row r="132" spans="1:3">
      <c r="A132" s="21" t="s">
        <v>565</v>
      </c>
      <c r="B132" s="3" t="str" cm="1">
        <f t="array" ref="B132">_xlfn.XLOOKUP($C132,_xlfn.ANCHORARRAY(Symptoms!$B$2),Symptoms!$A$2:$A$15,"Not Found")</f>
        <v>S005</v>
      </c>
      <c r="C132" s="22" t="s">
        <v>3461</v>
      </c>
    </row>
    <row r="133" spans="1:3">
      <c r="A133" s="21" t="s">
        <v>566</v>
      </c>
      <c r="B133" s="3" t="str" cm="1">
        <f t="array" ref="B133">_xlfn.XLOOKUP($C133,_xlfn.ANCHORARRAY(Symptoms!$B$2),Symptoms!$A$2:$A$15,"Not Found")</f>
        <v>S003</v>
      </c>
      <c r="C133" s="22" t="s">
        <v>2875</v>
      </c>
    </row>
    <row r="134" spans="1:3">
      <c r="A134" s="21" t="s">
        <v>566</v>
      </c>
      <c r="B134" s="3" t="str" cm="1">
        <f t="array" ref="B134">_xlfn.XLOOKUP($C134,_xlfn.ANCHORARRAY(Symptoms!$B$2),Symptoms!$A$2:$A$15,"Not Found")</f>
        <v>S004</v>
      </c>
      <c r="C134" s="22" t="s">
        <v>2876</v>
      </c>
    </row>
    <row r="135" spans="1:3">
      <c r="A135" s="21" t="s">
        <v>567</v>
      </c>
      <c r="B135" s="3" t="str" cm="1">
        <f t="array" ref="B135">_xlfn.XLOOKUP($C135,_xlfn.ANCHORARRAY(Symptoms!$B$2),Symptoms!$A$2:$A$15,"Not Found")</f>
        <v>S003</v>
      </c>
      <c r="C135" s="22" t="s">
        <v>2875</v>
      </c>
    </row>
    <row r="136" spans="1:3">
      <c r="A136" s="21" t="s">
        <v>568</v>
      </c>
      <c r="B136" s="3" t="str" cm="1">
        <f t="array" ref="B136">_xlfn.XLOOKUP($C136,_xlfn.ANCHORARRAY(Symptoms!$B$2),Symptoms!$A$2:$A$15,"Not Found")</f>
        <v>S001</v>
      </c>
      <c r="C136" s="22" t="s">
        <v>3462</v>
      </c>
    </row>
    <row r="137" spans="1:3">
      <c r="A137" s="21" t="s">
        <v>569</v>
      </c>
      <c r="B137" s="3" t="str" cm="1">
        <f t="array" ref="B137">_xlfn.XLOOKUP($C137,_xlfn.ANCHORARRAY(Symptoms!$B$2),Symptoms!$A$2:$A$15,"Not Found")</f>
        <v>S001</v>
      </c>
      <c r="C137" s="22" t="s">
        <v>3462</v>
      </c>
    </row>
    <row r="138" spans="1:3">
      <c r="A138" s="21" t="s">
        <v>569</v>
      </c>
      <c r="B138" s="3" t="str" cm="1">
        <f t="array" ref="B138">_xlfn.XLOOKUP($C138,_xlfn.ANCHORARRAY(Symptoms!$B$2),Symptoms!$A$2:$A$15,"Not Found")</f>
        <v>S004</v>
      </c>
      <c r="C138" s="22" t="s">
        <v>2876</v>
      </c>
    </row>
    <row r="139" spans="1:3">
      <c r="A139" s="21" t="s">
        <v>570</v>
      </c>
      <c r="B139" s="3" t="str" cm="1">
        <f t="array" ref="B139">_xlfn.XLOOKUP($C139,_xlfn.ANCHORARRAY(Symptoms!$B$2),Symptoms!$A$2:$A$15,"Not Found")</f>
        <v>S001</v>
      </c>
      <c r="C139" s="22" t="s">
        <v>3462</v>
      </c>
    </row>
    <row r="140" spans="1:3">
      <c r="A140" s="21" t="s">
        <v>571</v>
      </c>
      <c r="B140" s="3" t="str" cm="1">
        <f t="array" ref="B140">_xlfn.XLOOKUP($C140,_xlfn.ANCHORARRAY(Symptoms!$B$2),Symptoms!$A$2:$A$15,"Not Found")</f>
        <v>S005</v>
      </c>
      <c r="C140" s="22" t="s">
        <v>3461</v>
      </c>
    </row>
    <row r="141" spans="1:3">
      <c r="A141" s="21" t="s">
        <v>572</v>
      </c>
      <c r="B141" s="3" t="str" cm="1">
        <f t="array" ref="B141">_xlfn.XLOOKUP($C141,_xlfn.ANCHORARRAY(Symptoms!$B$2),Symptoms!$A$2:$A$15,"Not Found")</f>
        <v>S014</v>
      </c>
      <c r="C141" s="22" t="s">
        <v>1059</v>
      </c>
    </row>
    <row r="142" spans="1:3">
      <c r="A142" s="21" t="s">
        <v>573</v>
      </c>
      <c r="B142" s="3" t="str" cm="1">
        <f t="array" ref="B142">_xlfn.XLOOKUP($C142,_xlfn.ANCHORARRAY(Symptoms!$B$2),Symptoms!$A$2:$A$15,"Not Found")</f>
        <v>S014</v>
      </c>
      <c r="C142" s="22" t="s">
        <v>1059</v>
      </c>
    </row>
    <row r="143" spans="1:3">
      <c r="A143" s="21" t="s">
        <v>574</v>
      </c>
      <c r="B143" s="3" t="str" cm="1">
        <f t="array" ref="B143">_xlfn.XLOOKUP($C143,_xlfn.ANCHORARRAY(Symptoms!$B$2),Symptoms!$A$2:$A$15,"Not Found")</f>
        <v>S014</v>
      </c>
      <c r="C143" s="22" t="s">
        <v>1059</v>
      </c>
    </row>
    <row r="144" spans="1:3">
      <c r="A144" s="21" t="s">
        <v>575</v>
      </c>
      <c r="B144" s="3" t="str" cm="1">
        <f t="array" ref="B144">_xlfn.XLOOKUP($C144,_xlfn.ANCHORARRAY(Symptoms!$B$2),Symptoms!$A$2:$A$15,"Not Found")</f>
        <v>S014</v>
      </c>
      <c r="C144" s="22" t="s">
        <v>1059</v>
      </c>
    </row>
    <row r="145" spans="1:3">
      <c r="A145" s="21" t="s">
        <v>576</v>
      </c>
      <c r="B145" s="3" t="str" cm="1">
        <f t="array" ref="B145">_xlfn.XLOOKUP($C145,_xlfn.ANCHORARRAY(Symptoms!$B$2),Symptoms!$A$2:$A$15,"Not Found")</f>
        <v>S014</v>
      </c>
      <c r="C145" s="22" t="s">
        <v>1059</v>
      </c>
    </row>
    <row r="146" spans="1:3">
      <c r="A146" s="21" t="s">
        <v>577</v>
      </c>
      <c r="B146" s="3" t="str" cm="1">
        <f t="array" ref="B146">_xlfn.XLOOKUP($C146,_xlfn.ANCHORARRAY(Symptoms!$B$2),Symptoms!$A$2:$A$15,"Not Found")</f>
        <v>S014</v>
      </c>
      <c r="C146" s="22" t="s">
        <v>1059</v>
      </c>
    </row>
    <row r="147" spans="1:3">
      <c r="A147" s="21" t="s">
        <v>578</v>
      </c>
      <c r="B147" s="3" t="str" cm="1">
        <f t="array" ref="B147">_xlfn.XLOOKUP($C147,_xlfn.ANCHORARRAY(Symptoms!$B$2),Symptoms!$A$2:$A$15,"Not Found")</f>
        <v>S014</v>
      </c>
      <c r="C147" s="22" t="s">
        <v>1059</v>
      </c>
    </row>
    <row r="148" spans="1:3">
      <c r="A148" s="21" t="s">
        <v>579</v>
      </c>
      <c r="B148" s="3" t="str" cm="1">
        <f t="array" ref="B148">_xlfn.XLOOKUP($C148,_xlfn.ANCHORARRAY(Symptoms!$B$2),Symptoms!$A$2:$A$15,"Not Found")</f>
        <v>S014</v>
      </c>
      <c r="C148" s="22" t="s">
        <v>1059</v>
      </c>
    </row>
    <row r="149" spans="1:3">
      <c r="A149" s="21" t="s">
        <v>580</v>
      </c>
      <c r="B149" s="3" t="str" cm="1">
        <f t="array" ref="B149">_xlfn.XLOOKUP($C149,_xlfn.ANCHORARRAY(Symptoms!$B$2),Symptoms!$A$2:$A$15,"Not Found")</f>
        <v>S014</v>
      </c>
      <c r="C149" s="22" t="s">
        <v>1059</v>
      </c>
    </row>
    <row r="150" spans="1:3">
      <c r="A150" s="21" t="s">
        <v>581</v>
      </c>
      <c r="B150" s="3" t="str" cm="1">
        <f t="array" ref="B150">_xlfn.XLOOKUP($C150,_xlfn.ANCHORARRAY(Symptoms!$B$2),Symptoms!$A$2:$A$15,"Not Found")</f>
        <v>S014</v>
      </c>
      <c r="C150" s="22" t="s">
        <v>1059</v>
      </c>
    </row>
    <row r="151" spans="1:3">
      <c r="A151" s="21" t="s">
        <v>582</v>
      </c>
      <c r="B151" s="3" t="str" cm="1">
        <f t="array" ref="B151">_xlfn.XLOOKUP($C151,_xlfn.ANCHORARRAY(Symptoms!$B$2),Symptoms!$A$2:$A$15,"Not Found")</f>
        <v>S014</v>
      </c>
      <c r="C151" s="22" t="s">
        <v>1059</v>
      </c>
    </row>
    <row r="152" spans="1:3">
      <c r="A152" s="21" t="s">
        <v>583</v>
      </c>
      <c r="B152" s="3" t="str" cm="1">
        <f t="array" ref="B152">_xlfn.XLOOKUP($C152,_xlfn.ANCHORARRAY(Symptoms!$B$2),Symptoms!$A$2:$A$15,"Not Found")</f>
        <v>S005</v>
      </c>
      <c r="C152" s="22" t="s">
        <v>3461</v>
      </c>
    </row>
    <row r="153" spans="1:3">
      <c r="A153" s="21" t="s">
        <v>584</v>
      </c>
      <c r="B153" s="3" t="str" cm="1">
        <f t="array" ref="B153">_xlfn.XLOOKUP($C153,_xlfn.ANCHORARRAY(Symptoms!$B$2),Symptoms!$A$2:$A$15,"Not Found")</f>
        <v>S003</v>
      </c>
      <c r="C153" s="22" t="s">
        <v>2875</v>
      </c>
    </row>
    <row r="154" spans="1:3">
      <c r="A154" s="21" t="s">
        <v>584</v>
      </c>
      <c r="B154" s="3" t="str" cm="1">
        <f t="array" ref="B154">_xlfn.XLOOKUP($C154,_xlfn.ANCHORARRAY(Symptoms!$B$2),Symptoms!$A$2:$A$15,"Not Found")</f>
        <v>S004</v>
      </c>
      <c r="C154" s="22" t="s">
        <v>2876</v>
      </c>
    </row>
    <row r="155" spans="1:3">
      <c r="A155" s="21" t="s">
        <v>585</v>
      </c>
      <c r="B155" s="3" t="str" cm="1">
        <f t="array" ref="B155">_xlfn.XLOOKUP($C155,_xlfn.ANCHORARRAY(Symptoms!$B$2),Symptoms!$A$2:$A$15,"Not Found")</f>
        <v>S003</v>
      </c>
      <c r="C155" s="22" t="s">
        <v>2875</v>
      </c>
    </row>
    <row r="156" spans="1:3">
      <c r="A156" s="21" t="s">
        <v>586</v>
      </c>
      <c r="B156" s="3" t="str" cm="1">
        <f t="array" ref="B156">_xlfn.XLOOKUP($C156,_xlfn.ANCHORARRAY(Symptoms!$B$2),Symptoms!$A$2:$A$15,"Not Found")</f>
        <v>S001</v>
      </c>
      <c r="C156" s="22" t="s">
        <v>3462</v>
      </c>
    </row>
    <row r="157" spans="1:3">
      <c r="A157" s="21" t="s">
        <v>587</v>
      </c>
      <c r="B157" s="3" t="str" cm="1">
        <f t="array" ref="B157">_xlfn.XLOOKUP($C157,_xlfn.ANCHORARRAY(Symptoms!$B$2),Symptoms!$A$2:$A$15,"Not Found")</f>
        <v>S001</v>
      </c>
      <c r="C157" s="22" t="s">
        <v>3462</v>
      </c>
    </row>
    <row r="158" spans="1:3">
      <c r="A158" s="21" t="s">
        <v>587</v>
      </c>
      <c r="B158" s="3" t="str" cm="1">
        <f t="array" ref="B158">_xlfn.XLOOKUP($C158,_xlfn.ANCHORARRAY(Symptoms!$B$2),Symptoms!$A$2:$A$15,"Not Found")</f>
        <v>S004</v>
      </c>
      <c r="C158" s="22" t="s">
        <v>2876</v>
      </c>
    </row>
    <row r="159" spans="1:3">
      <c r="A159" s="21" t="s">
        <v>588</v>
      </c>
      <c r="B159" s="3" t="str" cm="1">
        <f t="array" ref="B159">_xlfn.XLOOKUP($C159,_xlfn.ANCHORARRAY(Symptoms!$B$2),Symptoms!$A$2:$A$15,"Not Found")</f>
        <v>S001</v>
      </c>
      <c r="C159" s="22" t="s">
        <v>3462</v>
      </c>
    </row>
    <row r="160" spans="1:3">
      <c r="A160" s="21" t="s">
        <v>589</v>
      </c>
      <c r="B160" s="3" t="str" cm="1">
        <f t="array" ref="B160">_xlfn.XLOOKUP($C160,_xlfn.ANCHORARRAY(Symptoms!$B$2),Symptoms!$A$2:$A$15,"Not Found")</f>
        <v>S005</v>
      </c>
      <c r="C160" s="22" t="s">
        <v>3461</v>
      </c>
    </row>
    <row r="161" spans="1:3">
      <c r="A161" s="21" t="s">
        <v>590</v>
      </c>
      <c r="B161" s="3" t="str" cm="1">
        <f t="array" ref="B161">_xlfn.XLOOKUP($C161,_xlfn.ANCHORARRAY(Symptoms!$B$2),Symptoms!$A$2:$A$15,"Not Found")</f>
        <v>S014</v>
      </c>
      <c r="C161" s="22" t="s">
        <v>1059</v>
      </c>
    </row>
    <row r="162" spans="1:3">
      <c r="A162" s="21" t="s">
        <v>591</v>
      </c>
      <c r="B162" s="3" t="str" cm="1">
        <f t="array" ref="B162">_xlfn.XLOOKUP($C162,_xlfn.ANCHORARRAY(Symptoms!$B$2),Symptoms!$A$2:$A$15,"Not Found")</f>
        <v>S014</v>
      </c>
      <c r="C162" s="22" t="s">
        <v>1059</v>
      </c>
    </row>
    <row r="163" spans="1:3">
      <c r="A163" s="21" t="s">
        <v>592</v>
      </c>
      <c r="B163" s="3" t="str" cm="1">
        <f t="array" ref="B163">_xlfn.XLOOKUP($C163,_xlfn.ANCHORARRAY(Symptoms!$B$2),Symptoms!$A$2:$A$15,"Not Found")</f>
        <v>S014</v>
      </c>
      <c r="C163" s="22" t="s">
        <v>1059</v>
      </c>
    </row>
    <row r="164" spans="1:3">
      <c r="A164" s="21" t="s">
        <v>593</v>
      </c>
      <c r="B164" s="3" t="str" cm="1">
        <f t="array" ref="B164">_xlfn.XLOOKUP($C164,_xlfn.ANCHORARRAY(Symptoms!$B$2),Symptoms!$A$2:$A$15,"Not Found")</f>
        <v>S005</v>
      </c>
      <c r="C164" s="22" t="s">
        <v>3461</v>
      </c>
    </row>
    <row r="165" spans="1:3">
      <c r="A165" s="21" t="s">
        <v>594</v>
      </c>
      <c r="B165" s="3" t="str" cm="1">
        <f t="array" ref="B165">_xlfn.XLOOKUP($C165,_xlfn.ANCHORARRAY(Symptoms!$B$2),Symptoms!$A$2:$A$15,"Not Found")</f>
        <v>S003</v>
      </c>
      <c r="C165" s="22" t="s">
        <v>2875</v>
      </c>
    </row>
    <row r="166" spans="1:3">
      <c r="A166" s="21" t="s">
        <v>594</v>
      </c>
      <c r="B166" s="3" t="str" cm="1">
        <f t="array" ref="B166">_xlfn.XLOOKUP($C166,_xlfn.ANCHORARRAY(Symptoms!$B$2),Symptoms!$A$2:$A$15,"Not Found")</f>
        <v>S004</v>
      </c>
      <c r="C166" s="22" t="s">
        <v>2876</v>
      </c>
    </row>
    <row r="167" spans="1:3">
      <c r="A167" s="21" t="s">
        <v>595</v>
      </c>
      <c r="B167" s="3" t="str" cm="1">
        <f t="array" ref="B167">_xlfn.XLOOKUP($C167,_xlfn.ANCHORARRAY(Symptoms!$B$2),Symptoms!$A$2:$A$15,"Not Found")</f>
        <v>S007</v>
      </c>
      <c r="C167" s="22" t="s">
        <v>3463</v>
      </c>
    </row>
    <row r="168" spans="1:3">
      <c r="A168" s="21" t="s">
        <v>596</v>
      </c>
      <c r="B168" s="3" t="str" cm="1">
        <f t="array" ref="B168">_xlfn.XLOOKUP($C168,_xlfn.ANCHORARRAY(Symptoms!$B$2),Symptoms!$A$2:$A$15,"Not Found")</f>
        <v>S005</v>
      </c>
      <c r="C168" s="22" t="s">
        <v>3461</v>
      </c>
    </row>
    <row r="169" spans="1:3">
      <c r="A169" s="21" t="s">
        <v>596</v>
      </c>
      <c r="B169" s="3" t="str" cm="1">
        <f t="array" ref="B169">_xlfn.XLOOKUP($C169,_xlfn.ANCHORARRAY(Symptoms!$B$2),Symptoms!$A$2:$A$15,"Not Found")</f>
        <v>S007</v>
      </c>
      <c r="C169" s="22" t="s">
        <v>3463</v>
      </c>
    </row>
    <row r="170" spans="1:3">
      <c r="A170" s="21" t="s">
        <v>597</v>
      </c>
      <c r="B170" s="3" t="str" cm="1">
        <f t="array" ref="B170">_xlfn.XLOOKUP($C170,_xlfn.ANCHORARRAY(Symptoms!$B$2),Symptoms!$A$2:$A$15,"Not Found")</f>
        <v>S007</v>
      </c>
      <c r="C170" s="22" t="s">
        <v>3463</v>
      </c>
    </row>
    <row r="171" spans="1:3">
      <c r="A171" s="21" t="s">
        <v>598</v>
      </c>
      <c r="B171" s="3" t="str" cm="1">
        <f t="array" ref="B171">_xlfn.XLOOKUP($C171,_xlfn.ANCHORARRAY(Symptoms!$B$2),Symptoms!$A$2:$A$15,"Not Found")</f>
        <v>S001</v>
      </c>
      <c r="C171" s="22" t="s">
        <v>3462</v>
      </c>
    </row>
    <row r="172" spans="1:3">
      <c r="A172" s="21" t="s">
        <v>598</v>
      </c>
      <c r="B172" s="3" t="str" cm="1">
        <f t="array" ref="B172">_xlfn.XLOOKUP($C172,_xlfn.ANCHORARRAY(Symptoms!$B$2),Symptoms!$A$2:$A$15,"Not Found")</f>
        <v>S002</v>
      </c>
      <c r="C172" s="22" t="s">
        <v>3466</v>
      </c>
    </row>
    <row r="173" spans="1:3">
      <c r="A173" s="21" t="s">
        <v>599</v>
      </c>
      <c r="B173" s="3" t="str" cm="1">
        <f t="array" ref="B173">_xlfn.XLOOKUP($C173,_xlfn.ANCHORARRAY(Symptoms!$B$2),Symptoms!$A$2:$A$15,"Not Found")</f>
        <v>S005</v>
      </c>
      <c r="C173" s="22" t="s">
        <v>3461</v>
      </c>
    </row>
    <row r="174" spans="1:3">
      <c r="A174" s="21" t="s">
        <v>600</v>
      </c>
      <c r="B174" s="3" t="str" cm="1">
        <f t="array" ref="B174">_xlfn.XLOOKUP($C174,_xlfn.ANCHORARRAY(Symptoms!$B$2),Symptoms!$A$2:$A$15,"Not Found")</f>
        <v>S005</v>
      </c>
      <c r="C174" s="22" t="s">
        <v>3461</v>
      </c>
    </row>
    <row r="175" spans="1:3">
      <c r="A175" s="21" t="s">
        <v>601</v>
      </c>
      <c r="B175" s="3" t="str" cm="1">
        <f t="array" ref="B175">_xlfn.XLOOKUP($C175,_xlfn.ANCHORARRAY(Symptoms!$B$2),Symptoms!$A$2:$A$15,"Not Found")</f>
        <v>S003</v>
      </c>
      <c r="C175" s="22" t="s">
        <v>2875</v>
      </c>
    </row>
    <row r="176" spans="1:3">
      <c r="A176" s="21" t="s">
        <v>601</v>
      </c>
      <c r="B176" s="3" t="str" cm="1">
        <f t="array" ref="B176">_xlfn.XLOOKUP($C176,_xlfn.ANCHORARRAY(Symptoms!$B$2),Symptoms!$A$2:$A$15,"Not Found")</f>
        <v>S004</v>
      </c>
      <c r="C176" s="22" t="s">
        <v>2876</v>
      </c>
    </row>
    <row r="177" spans="1:3">
      <c r="A177" s="21" t="s">
        <v>602</v>
      </c>
      <c r="B177" s="3" t="str" cm="1">
        <f t="array" ref="B177">_xlfn.XLOOKUP($C177,_xlfn.ANCHORARRAY(Symptoms!$B$2),Symptoms!$A$2:$A$15,"Not Found")</f>
        <v>S006</v>
      </c>
      <c r="C177" s="22" t="s">
        <v>2280</v>
      </c>
    </row>
    <row r="178" spans="1:3">
      <c r="A178" s="21" t="s">
        <v>603</v>
      </c>
      <c r="B178" s="3" t="str" cm="1">
        <f t="array" ref="B178">_xlfn.XLOOKUP($C178,_xlfn.ANCHORARRAY(Symptoms!$B$2),Symptoms!$A$2:$A$15,"Not Found")</f>
        <v>S007</v>
      </c>
      <c r="C178" s="22" t="s">
        <v>3463</v>
      </c>
    </row>
    <row r="179" spans="1:3">
      <c r="A179" s="21" t="s">
        <v>604</v>
      </c>
      <c r="B179" s="3" t="str" cm="1">
        <f t="array" ref="B179">_xlfn.XLOOKUP($C179,_xlfn.ANCHORARRAY(Symptoms!$B$2),Symptoms!$A$2:$A$15,"Not Found")</f>
        <v>S007</v>
      </c>
      <c r="C179" s="22" t="s">
        <v>3463</v>
      </c>
    </row>
    <row r="180" spans="1:3">
      <c r="A180" s="21" t="s">
        <v>605</v>
      </c>
      <c r="B180" s="3" t="str" cm="1">
        <f t="array" ref="B180">_xlfn.XLOOKUP($C180,_xlfn.ANCHORARRAY(Symptoms!$B$2),Symptoms!$A$2:$A$15,"Not Found")</f>
        <v>S007</v>
      </c>
      <c r="C180" s="22" t="s">
        <v>3463</v>
      </c>
    </row>
    <row r="181" spans="1:3">
      <c r="A181" s="21" t="s">
        <v>606</v>
      </c>
      <c r="B181" s="3" t="str" cm="1">
        <f t="array" ref="B181">_xlfn.XLOOKUP($C181,_xlfn.ANCHORARRAY(Symptoms!$B$2),Symptoms!$A$2:$A$15,"Not Found")</f>
        <v>S005</v>
      </c>
      <c r="C181" s="22" t="s">
        <v>3461</v>
      </c>
    </row>
    <row r="182" spans="1:3">
      <c r="A182" s="21" t="s">
        <v>606</v>
      </c>
      <c r="B182" s="3" t="str" cm="1">
        <f t="array" ref="B182">_xlfn.XLOOKUP($C182,_xlfn.ANCHORARRAY(Symptoms!$B$2),Symptoms!$A$2:$A$15,"Not Found")</f>
        <v>S007</v>
      </c>
      <c r="C182" s="22" t="s">
        <v>3463</v>
      </c>
    </row>
    <row r="183" spans="1:3">
      <c r="A183" s="21" t="s">
        <v>607</v>
      </c>
      <c r="B183" s="3" t="str" cm="1">
        <f t="array" ref="B183">_xlfn.XLOOKUP($C183,_xlfn.ANCHORARRAY(Symptoms!$B$2),Symptoms!$A$2:$A$15,"Not Found")</f>
        <v>S005</v>
      </c>
      <c r="C183" s="22" t="s">
        <v>3461</v>
      </c>
    </row>
    <row r="184" spans="1:3">
      <c r="A184" s="21" t="s">
        <v>607</v>
      </c>
      <c r="B184" s="3" t="str" cm="1">
        <f t="array" ref="B184">_xlfn.XLOOKUP($C184,_xlfn.ANCHORARRAY(Symptoms!$B$2),Symptoms!$A$2:$A$15,"Not Found")</f>
        <v>S001</v>
      </c>
      <c r="C184" s="22" t="s">
        <v>3462</v>
      </c>
    </row>
    <row r="185" spans="1:3">
      <c r="A185" s="21" t="s">
        <v>607</v>
      </c>
      <c r="B185" s="3" t="str" cm="1">
        <f t="array" ref="B185">_xlfn.XLOOKUP($C185,_xlfn.ANCHORARRAY(Symptoms!$B$2),Symptoms!$A$2:$A$15,"Not Found")</f>
        <v>S009</v>
      </c>
      <c r="C185" s="22" t="s">
        <v>3464</v>
      </c>
    </row>
    <row r="186" spans="1:3">
      <c r="A186" s="21" t="s">
        <v>608</v>
      </c>
      <c r="B186" s="3" t="str" cm="1">
        <f t="array" ref="B186">_xlfn.XLOOKUP($C186,_xlfn.ANCHORARRAY(Symptoms!$B$2),Symptoms!$A$2:$A$15,"Not Found")</f>
        <v>S010</v>
      </c>
      <c r="C186" s="22" t="s">
        <v>3465</v>
      </c>
    </row>
    <row r="187" spans="1:3">
      <c r="A187" s="21" t="s">
        <v>608</v>
      </c>
      <c r="B187" s="3" t="str" cm="1">
        <f t="array" ref="B187">_xlfn.XLOOKUP($C187,_xlfn.ANCHORARRAY(Symptoms!$B$2),Symptoms!$A$2:$A$15,"Not Found")</f>
        <v>S001</v>
      </c>
      <c r="C187" s="22" t="s">
        <v>3462</v>
      </c>
    </row>
    <row r="188" spans="1:3">
      <c r="A188" s="21" t="s">
        <v>609</v>
      </c>
      <c r="B188" s="3" t="str" cm="1">
        <f t="array" ref="B188">_xlfn.XLOOKUP($C188,_xlfn.ANCHORARRAY(Symptoms!$B$2),Symptoms!$A$2:$A$15,"Not Found")</f>
        <v>S005</v>
      </c>
      <c r="C188" s="22" t="s">
        <v>3461</v>
      </c>
    </row>
    <row r="189" spans="1:3">
      <c r="A189" s="21" t="s">
        <v>609</v>
      </c>
      <c r="B189" s="3" t="str" cm="1">
        <f t="array" ref="B189">_xlfn.XLOOKUP($C189,_xlfn.ANCHORARRAY(Symptoms!$B$2),Symptoms!$A$2:$A$15,"Not Found")</f>
        <v>S007</v>
      </c>
      <c r="C189" s="22" t="s">
        <v>3463</v>
      </c>
    </row>
    <row r="190" spans="1:3">
      <c r="A190" s="21" t="s">
        <v>610</v>
      </c>
      <c r="B190" s="3" t="str" cm="1">
        <f t="array" ref="B190">_xlfn.XLOOKUP($C190,_xlfn.ANCHORARRAY(Symptoms!$B$2),Symptoms!$A$2:$A$15,"Not Found")</f>
        <v>S001</v>
      </c>
      <c r="C190" s="22" t="s">
        <v>3462</v>
      </c>
    </row>
    <row r="191" spans="1:3">
      <c r="A191" s="21" t="s">
        <v>611</v>
      </c>
      <c r="B191" s="3" t="str" cm="1">
        <f t="array" ref="B191">_xlfn.XLOOKUP($C191,_xlfn.ANCHORARRAY(Symptoms!$B$2),Symptoms!$A$2:$A$15,"Not Found")</f>
        <v>S005</v>
      </c>
      <c r="C191" s="22" t="s">
        <v>3461</v>
      </c>
    </row>
    <row r="192" spans="1:3">
      <c r="A192" s="21" t="s">
        <v>612</v>
      </c>
      <c r="B192" s="3" t="str" cm="1">
        <f t="array" ref="B192">_xlfn.XLOOKUP($C192,_xlfn.ANCHORARRAY(Symptoms!$B$2),Symptoms!$A$2:$A$15,"Not Found")</f>
        <v>S013</v>
      </c>
      <c r="C192" s="22" t="s">
        <v>420</v>
      </c>
    </row>
    <row r="193" spans="1:3">
      <c r="A193" s="21" t="s">
        <v>613</v>
      </c>
      <c r="B193" s="3" t="str" cm="1">
        <f t="array" ref="B193">_xlfn.XLOOKUP($C193,_xlfn.ANCHORARRAY(Symptoms!$B$2),Symptoms!$A$2:$A$15,"Not Found")</f>
        <v>S004</v>
      </c>
      <c r="C193" s="22" t="s">
        <v>2876</v>
      </c>
    </row>
    <row r="194" spans="1:3">
      <c r="A194" s="21" t="s">
        <v>613</v>
      </c>
      <c r="B194" s="3" t="str" cm="1">
        <f t="array" ref="B194">_xlfn.XLOOKUP($C194,_xlfn.ANCHORARRAY(Symptoms!$B$2),Symptoms!$A$2:$A$15,"Not Found")</f>
        <v>S008</v>
      </c>
      <c r="C194" s="22" t="s">
        <v>3467</v>
      </c>
    </row>
    <row r="195" spans="1:3">
      <c r="A195" s="21" t="s">
        <v>613</v>
      </c>
      <c r="B195" s="3" t="str" cm="1">
        <f t="array" ref="B195">_xlfn.XLOOKUP($C195,_xlfn.ANCHORARRAY(Symptoms!$B$2),Symptoms!$A$2:$A$15,"Not Found")</f>
        <v>S007</v>
      </c>
      <c r="C195" s="22" t="s">
        <v>3463</v>
      </c>
    </row>
    <row r="196" spans="1:3">
      <c r="A196" s="21" t="s">
        <v>613</v>
      </c>
      <c r="B196" s="3" t="str" cm="1">
        <f t="array" ref="B196">_xlfn.XLOOKUP($C196,_xlfn.ANCHORARRAY(Symptoms!$B$2),Symptoms!$A$2:$A$15,"Not Found")</f>
        <v>S009</v>
      </c>
      <c r="C196" s="22" t="s">
        <v>3464</v>
      </c>
    </row>
    <row r="197" spans="1:3">
      <c r="A197" s="21" t="s">
        <v>613</v>
      </c>
      <c r="B197" s="3" t="str" cm="1">
        <f t="array" ref="B197">_xlfn.XLOOKUP($C197,_xlfn.ANCHORARRAY(Symptoms!$B$2),Symptoms!$A$2:$A$15,"Not Found")</f>
        <v>S001</v>
      </c>
      <c r="C197" s="22" t="s">
        <v>3462</v>
      </c>
    </row>
    <row r="198" spans="1:3">
      <c r="A198" s="21" t="s">
        <v>613</v>
      </c>
      <c r="B198" s="3" t="str" cm="1">
        <f t="array" ref="B198">_xlfn.XLOOKUP($C198,_xlfn.ANCHORARRAY(Symptoms!$B$2),Symptoms!$A$2:$A$15,"Not Found")</f>
        <v>S007</v>
      </c>
      <c r="C198" s="22" t="s">
        <v>3463</v>
      </c>
    </row>
    <row r="199" spans="1:3">
      <c r="A199" s="21" t="s">
        <v>614</v>
      </c>
      <c r="B199" s="3" t="str" cm="1">
        <f t="array" ref="B199">_xlfn.XLOOKUP($C199,_xlfn.ANCHORARRAY(Symptoms!$B$2),Symptoms!$A$2:$A$15,"Not Found")</f>
        <v>S013</v>
      </c>
      <c r="C199" s="22" t="s">
        <v>420</v>
      </c>
    </row>
    <row r="200" spans="1:3">
      <c r="A200" s="21" t="s">
        <v>615</v>
      </c>
      <c r="B200" s="3" t="str" cm="1">
        <f t="array" ref="B200">_xlfn.XLOOKUP($C200,_xlfn.ANCHORARRAY(Symptoms!$B$2),Symptoms!$A$2:$A$15,"Not Found")</f>
        <v>S009</v>
      </c>
      <c r="C200" s="22" t="s">
        <v>3464</v>
      </c>
    </row>
    <row r="201" spans="1:3">
      <c r="A201" s="21" t="s">
        <v>615</v>
      </c>
      <c r="B201" s="3" t="str" cm="1">
        <f t="array" ref="B201">_xlfn.XLOOKUP($C201,_xlfn.ANCHORARRAY(Symptoms!$B$2),Symptoms!$A$2:$A$15,"Not Found")</f>
        <v>S005</v>
      </c>
      <c r="C201" s="22" t="s">
        <v>3461</v>
      </c>
    </row>
    <row r="202" spans="1:3">
      <c r="A202" s="21" t="s">
        <v>616</v>
      </c>
      <c r="B202" s="3" t="str" cm="1">
        <f t="array" ref="B202">_xlfn.XLOOKUP($C202,_xlfn.ANCHORARRAY(Symptoms!$B$2),Symptoms!$A$2:$A$15,"Not Found")</f>
        <v>S005</v>
      </c>
      <c r="C202" s="22" t="s">
        <v>3461</v>
      </c>
    </row>
    <row r="203" spans="1:3">
      <c r="A203" s="21" t="s">
        <v>617</v>
      </c>
      <c r="B203" s="3" t="str" cm="1">
        <f t="array" ref="B203">_xlfn.XLOOKUP($C203,_xlfn.ANCHORARRAY(Symptoms!$B$2),Symptoms!$A$2:$A$15,"Not Found")</f>
        <v>S003</v>
      </c>
      <c r="C203" s="22" t="s">
        <v>2875</v>
      </c>
    </row>
    <row r="204" spans="1:3">
      <c r="A204" s="21" t="s">
        <v>617</v>
      </c>
      <c r="B204" s="3" t="str" cm="1">
        <f t="array" ref="B204">_xlfn.XLOOKUP($C204,_xlfn.ANCHORARRAY(Symptoms!$B$2),Symptoms!$A$2:$A$15,"Not Found")</f>
        <v>S004</v>
      </c>
      <c r="C204" s="22" t="s">
        <v>2876</v>
      </c>
    </row>
    <row r="205" spans="1:3">
      <c r="A205" s="21" t="s">
        <v>618</v>
      </c>
      <c r="B205" s="3" t="str" cm="1">
        <f t="array" ref="B205">_xlfn.XLOOKUP($C205,_xlfn.ANCHORARRAY(Symptoms!$B$2),Symptoms!$A$2:$A$15,"Not Found")</f>
        <v>S007</v>
      </c>
      <c r="C205" s="22" t="s">
        <v>3463</v>
      </c>
    </row>
    <row r="206" spans="1:3">
      <c r="A206" s="21" t="s">
        <v>619</v>
      </c>
      <c r="B206" s="3" t="str" cm="1">
        <f t="array" ref="B206">_xlfn.XLOOKUP($C206,_xlfn.ANCHORARRAY(Symptoms!$B$2),Symptoms!$A$2:$A$15,"Not Found")</f>
        <v>S005</v>
      </c>
      <c r="C206" s="22" t="s">
        <v>3461</v>
      </c>
    </row>
    <row r="207" spans="1:3">
      <c r="A207" s="21" t="s">
        <v>619</v>
      </c>
      <c r="B207" s="3" t="str" cm="1">
        <f t="array" ref="B207">_xlfn.XLOOKUP($C207,_xlfn.ANCHORARRAY(Symptoms!$B$2),Symptoms!$A$2:$A$15,"Not Found")</f>
        <v>S007</v>
      </c>
      <c r="C207" s="22" t="s">
        <v>3463</v>
      </c>
    </row>
    <row r="208" spans="1:3">
      <c r="A208" s="21" t="s">
        <v>620</v>
      </c>
      <c r="B208" s="3" t="str" cm="1">
        <f t="array" ref="B208">_xlfn.XLOOKUP($C208,_xlfn.ANCHORARRAY(Symptoms!$B$2),Symptoms!$A$2:$A$15,"Not Found")</f>
        <v>S007</v>
      </c>
      <c r="C208" s="22" t="s">
        <v>3463</v>
      </c>
    </row>
    <row r="209" spans="1:3">
      <c r="A209" s="21" t="s">
        <v>621</v>
      </c>
      <c r="B209" s="3" t="str" cm="1">
        <f t="array" ref="B209">_xlfn.XLOOKUP($C209,_xlfn.ANCHORARRAY(Symptoms!$B$2),Symptoms!$A$2:$A$15,"Not Found")</f>
        <v>S001</v>
      </c>
      <c r="C209" s="22" t="s">
        <v>3462</v>
      </c>
    </row>
    <row r="210" spans="1:3">
      <c r="A210" s="21" t="s">
        <v>621</v>
      </c>
      <c r="B210" s="3" t="str" cm="1">
        <f t="array" ref="B210">_xlfn.XLOOKUP($C210,_xlfn.ANCHORARRAY(Symptoms!$B$2),Symptoms!$A$2:$A$15,"Not Found")</f>
        <v>S002</v>
      </c>
      <c r="C210" s="22" t="s">
        <v>3466</v>
      </c>
    </row>
    <row r="211" spans="1:3">
      <c r="A211" s="21" t="s">
        <v>622</v>
      </c>
      <c r="B211" s="3" t="str" cm="1">
        <f t="array" ref="B211">_xlfn.XLOOKUP($C211,_xlfn.ANCHORARRAY(Symptoms!$B$2),Symptoms!$A$2:$A$15,"Not Found")</f>
        <v>S005</v>
      </c>
      <c r="C211" s="22" t="s">
        <v>3461</v>
      </c>
    </row>
    <row r="212" spans="1:3">
      <c r="A212" s="21" t="s">
        <v>623</v>
      </c>
      <c r="B212" s="3" t="str" cm="1">
        <f t="array" ref="B212">_xlfn.XLOOKUP($C212,_xlfn.ANCHORARRAY(Symptoms!$B$2),Symptoms!$A$2:$A$15,"Not Found")</f>
        <v>S005</v>
      </c>
      <c r="C212" s="22" t="s">
        <v>3461</v>
      </c>
    </row>
    <row r="213" spans="1:3">
      <c r="A213" s="21" t="s">
        <v>624</v>
      </c>
      <c r="B213" s="3" t="str" cm="1">
        <f t="array" ref="B213">_xlfn.XLOOKUP($C213,_xlfn.ANCHORARRAY(Symptoms!$B$2),Symptoms!$A$2:$A$15,"Not Found")</f>
        <v>S003</v>
      </c>
      <c r="C213" s="22" t="s">
        <v>2875</v>
      </c>
    </row>
    <row r="214" spans="1:3">
      <c r="A214" s="21" t="s">
        <v>624</v>
      </c>
      <c r="B214" s="3" t="str" cm="1">
        <f t="array" ref="B214">_xlfn.XLOOKUP($C214,_xlfn.ANCHORARRAY(Symptoms!$B$2),Symptoms!$A$2:$A$15,"Not Found")</f>
        <v>S004</v>
      </c>
      <c r="C214" s="22" t="s">
        <v>2876</v>
      </c>
    </row>
    <row r="215" spans="1:3">
      <c r="A215" s="21" t="s">
        <v>625</v>
      </c>
      <c r="B215" s="3" t="str" cm="1">
        <f t="array" ref="B215">_xlfn.XLOOKUP($C215,_xlfn.ANCHORARRAY(Symptoms!$B$2),Symptoms!$A$2:$A$15,"Not Found")</f>
        <v>S006</v>
      </c>
      <c r="C215" s="22" t="s">
        <v>2280</v>
      </c>
    </row>
    <row r="216" spans="1:3">
      <c r="A216" s="21" t="s">
        <v>626</v>
      </c>
      <c r="B216" s="3" t="str" cm="1">
        <f t="array" ref="B216">_xlfn.XLOOKUP($C216,_xlfn.ANCHORARRAY(Symptoms!$B$2),Symptoms!$A$2:$A$15,"Not Found")</f>
        <v>S007</v>
      </c>
      <c r="C216" s="22" t="s">
        <v>3463</v>
      </c>
    </row>
    <row r="217" spans="1:3">
      <c r="A217" s="21" t="s">
        <v>627</v>
      </c>
      <c r="B217" s="3" t="str" cm="1">
        <f t="array" ref="B217">_xlfn.XLOOKUP($C217,_xlfn.ANCHORARRAY(Symptoms!$B$2),Symptoms!$A$2:$A$15,"Not Found")</f>
        <v>S007</v>
      </c>
      <c r="C217" s="22" t="s">
        <v>3463</v>
      </c>
    </row>
    <row r="218" spans="1:3">
      <c r="A218" s="21" t="s">
        <v>628</v>
      </c>
      <c r="B218" s="3" t="str" cm="1">
        <f t="array" ref="B218">_xlfn.XLOOKUP($C218,_xlfn.ANCHORARRAY(Symptoms!$B$2),Symptoms!$A$2:$A$15,"Not Found")</f>
        <v>S007</v>
      </c>
      <c r="C218" s="22" t="s">
        <v>3463</v>
      </c>
    </row>
    <row r="219" spans="1:3">
      <c r="A219" s="21" t="s">
        <v>629</v>
      </c>
      <c r="B219" s="3" t="str" cm="1">
        <f t="array" ref="B219">_xlfn.XLOOKUP($C219,_xlfn.ANCHORARRAY(Symptoms!$B$2),Symptoms!$A$2:$A$15,"Not Found")</f>
        <v>S005</v>
      </c>
      <c r="C219" s="22" t="s">
        <v>3461</v>
      </c>
    </row>
    <row r="220" spans="1:3">
      <c r="A220" s="21" t="s">
        <v>629</v>
      </c>
      <c r="B220" s="3" t="str" cm="1">
        <f t="array" ref="B220">_xlfn.XLOOKUP($C220,_xlfn.ANCHORARRAY(Symptoms!$B$2),Symptoms!$A$2:$A$15,"Not Found")</f>
        <v>S007</v>
      </c>
      <c r="C220" s="22" t="s">
        <v>3463</v>
      </c>
    </row>
    <row r="221" spans="1:3">
      <c r="A221" s="21" t="s">
        <v>630</v>
      </c>
      <c r="B221" s="3" t="str" cm="1">
        <f t="array" ref="B221">_xlfn.XLOOKUP($C221,_xlfn.ANCHORARRAY(Symptoms!$B$2),Symptoms!$A$2:$A$15,"Not Found")</f>
        <v>S005</v>
      </c>
      <c r="C221" s="22" t="s">
        <v>3461</v>
      </c>
    </row>
    <row r="222" spans="1:3">
      <c r="A222" s="21" t="s">
        <v>630</v>
      </c>
      <c r="B222" s="3" t="str" cm="1">
        <f t="array" ref="B222">_xlfn.XLOOKUP($C222,_xlfn.ANCHORARRAY(Symptoms!$B$2),Symptoms!$A$2:$A$15,"Not Found")</f>
        <v>S001</v>
      </c>
      <c r="C222" s="22" t="s">
        <v>3462</v>
      </c>
    </row>
    <row r="223" spans="1:3">
      <c r="A223" s="21" t="s">
        <v>630</v>
      </c>
      <c r="B223" s="3" t="str" cm="1">
        <f t="array" ref="B223">_xlfn.XLOOKUP($C223,_xlfn.ANCHORARRAY(Symptoms!$B$2),Symptoms!$A$2:$A$15,"Not Found")</f>
        <v>S009</v>
      </c>
      <c r="C223" s="22" t="s">
        <v>3464</v>
      </c>
    </row>
    <row r="224" spans="1:3">
      <c r="A224" s="21" t="s">
        <v>631</v>
      </c>
      <c r="B224" s="3" t="str" cm="1">
        <f t="array" ref="B224">_xlfn.XLOOKUP($C224,_xlfn.ANCHORARRAY(Symptoms!$B$2),Symptoms!$A$2:$A$15,"Not Found")</f>
        <v>S010</v>
      </c>
      <c r="C224" s="22" t="s">
        <v>3465</v>
      </c>
    </row>
    <row r="225" spans="1:3">
      <c r="A225" s="21" t="s">
        <v>631</v>
      </c>
      <c r="B225" s="3" t="str" cm="1">
        <f t="array" ref="B225">_xlfn.XLOOKUP($C225,_xlfn.ANCHORARRAY(Symptoms!$B$2),Symptoms!$A$2:$A$15,"Not Found")</f>
        <v>S001</v>
      </c>
      <c r="C225" s="22" t="s">
        <v>3462</v>
      </c>
    </row>
    <row r="226" spans="1:3">
      <c r="A226" s="21" t="s">
        <v>632</v>
      </c>
      <c r="B226" s="3" t="str" cm="1">
        <f t="array" ref="B226">_xlfn.XLOOKUP($C226,_xlfn.ANCHORARRAY(Symptoms!$B$2),Symptoms!$A$2:$A$15,"Not Found")</f>
        <v>S005</v>
      </c>
      <c r="C226" s="22" t="s">
        <v>3461</v>
      </c>
    </row>
    <row r="227" spans="1:3">
      <c r="A227" s="21" t="s">
        <v>632</v>
      </c>
      <c r="B227" s="3" t="str" cm="1">
        <f t="array" ref="B227">_xlfn.XLOOKUP($C227,_xlfn.ANCHORARRAY(Symptoms!$B$2),Symptoms!$A$2:$A$15,"Not Found")</f>
        <v>S007</v>
      </c>
      <c r="C227" s="22" t="s">
        <v>3463</v>
      </c>
    </row>
    <row r="228" spans="1:3">
      <c r="A228" s="21" t="s">
        <v>633</v>
      </c>
      <c r="B228" s="3" t="str" cm="1">
        <f t="array" ref="B228">_xlfn.XLOOKUP($C228,_xlfn.ANCHORARRAY(Symptoms!$B$2),Symptoms!$A$2:$A$15,"Not Found")</f>
        <v>S001</v>
      </c>
      <c r="C228" s="22" t="s">
        <v>3462</v>
      </c>
    </row>
    <row r="229" spans="1:3">
      <c r="A229" s="21" t="s">
        <v>634</v>
      </c>
      <c r="B229" s="3" t="str" cm="1">
        <f t="array" ref="B229">_xlfn.XLOOKUP($C229,_xlfn.ANCHORARRAY(Symptoms!$B$2),Symptoms!$A$2:$A$15,"Not Found")</f>
        <v>S005</v>
      </c>
      <c r="C229" s="22" t="s">
        <v>3461</v>
      </c>
    </row>
    <row r="230" spans="1:3">
      <c r="A230" s="21" t="s">
        <v>635</v>
      </c>
      <c r="B230" s="3" t="str" cm="1">
        <f t="array" ref="B230">_xlfn.XLOOKUP($C230,_xlfn.ANCHORARRAY(Symptoms!$B$2),Symptoms!$A$2:$A$15,"Not Found")</f>
        <v>S013</v>
      </c>
      <c r="C230" s="22" t="s">
        <v>420</v>
      </c>
    </row>
    <row r="231" spans="1:3">
      <c r="A231" s="21" t="s">
        <v>636</v>
      </c>
      <c r="B231" s="3" t="str" cm="1">
        <f t="array" ref="B231">_xlfn.XLOOKUP($C231,_xlfn.ANCHORARRAY(Symptoms!$B$2),Symptoms!$A$2:$A$15,"Not Found")</f>
        <v>S004</v>
      </c>
      <c r="C231" s="22" t="s">
        <v>2876</v>
      </c>
    </row>
    <row r="232" spans="1:3">
      <c r="A232" s="21" t="s">
        <v>636</v>
      </c>
      <c r="B232" s="3" t="str" cm="1">
        <f t="array" ref="B232">_xlfn.XLOOKUP($C232,_xlfn.ANCHORARRAY(Symptoms!$B$2),Symptoms!$A$2:$A$15,"Not Found")</f>
        <v>S008</v>
      </c>
      <c r="C232" s="22" t="s">
        <v>3467</v>
      </c>
    </row>
    <row r="233" spans="1:3">
      <c r="A233" s="21" t="s">
        <v>636</v>
      </c>
      <c r="B233" s="3" t="str" cm="1">
        <f t="array" ref="B233">_xlfn.XLOOKUP($C233,_xlfn.ANCHORARRAY(Symptoms!$B$2),Symptoms!$A$2:$A$15,"Not Found")</f>
        <v>S007</v>
      </c>
      <c r="C233" s="22" t="s">
        <v>3463</v>
      </c>
    </row>
    <row r="234" spans="1:3">
      <c r="A234" s="21" t="s">
        <v>637</v>
      </c>
      <c r="B234" s="3" t="str" cm="1">
        <f t="array" ref="B234">_xlfn.XLOOKUP($C234,_xlfn.ANCHORARRAY(Symptoms!$B$2),Symptoms!$A$2:$A$15,"Not Found")</f>
        <v>S009</v>
      </c>
      <c r="C234" s="22" t="s">
        <v>3464</v>
      </c>
    </row>
    <row r="235" spans="1:3">
      <c r="A235" s="21" t="s">
        <v>637</v>
      </c>
      <c r="B235" s="3" t="str" cm="1">
        <f t="array" ref="B235">_xlfn.XLOOKUP($C235,_xlfn.ANCHORARRAY(Symptoms!$B$2),Symptoms!$A$2:$A$15,"Not Found")</f>
        <v>S001</v>
      </c>
      <c r="C235" s="22" t="s">
        <v>3462</v>
      </c>
    </row>
    <row r="236" spans="1:3">
      <c r="A236" s="21" t="s">
        <v>637</v>
      </c>
      <c r="B236" s="3" t="str" cm="1">
        <f t="array" ref="B236">_xlfn.XLOOKUP($C236,_xlfn.ANCHORARRAY(Symptoms!$B$2),Symptoms!$A$2:$A$15,"Not Found")</f>
        <v>S007</v>
      </c>
      <c r="C236" s="22" t="s">
        <v>3463</v>
      </c>
    </row>
    <row r="237" spans="1:3">
      <c r="A237" s="21" t="s">
        <v>637</v>
      </c>
      <c r="B237" s="3" t="str" cm="1">
        <f t="array" ref="B237">_xlfn.XLOOKUP($C237,_xlfn.ANCHORARRAY(Symptoms!$B$2),Symptoms!$A$2:$A$15,"Not Found")</f>
        <v>S013</v>
      </c>
      <c r="C237" s="22" t="s">
        <v>420</v>
      </c>
    </row>
    <row r="238" spans="1:3">
      <c r="A238" s="21" t="s">
        <v>638</v>
      </c>
      <c r="B238" s="3" t="str" cm="1">
        <f t="array" ref="B238">_xlfn.XLOOKUP($C238,_xlfn.ANCHORARRAY(Symptoms!$B$2),Symptoms!$A$2:$A$15,"Not Found")</f>
        <v>S009</v>
      </c>
      <c r="C238" s="22" t="s">
        <v>3464</v>
      </c>
    </row>
    <row r="239" spans="1:3">
      <c r="A239" s="21" t="s">
        <v>638</v>
      </c>
      <c r="B239" s="3" t="str" cm="1">
        <f t="array" ref="B239">_xlfn.XLOOKUP($C239,_xlfn.ANCHORARRAY(Symptoms!$B$2),Symptoms!$A$2:$A$15,"Not Found")</f>
        <v>S005</v>
      </c>
      <c r="C239" s="22" t="s">
        <v>3461</v>
      </c>
    </row>
    <row r="240" spans="1:3">
      <c r="A240" s="21" t="s">
        <v>639</v>
      </c>
      <c r="B240" s="3" t="str" cm="1">
        <f t="array" ref="B240">_xlfn.XLOOKUP($C240,_xlfn.ANCHORARRAY(Symptoms!$B$2),Symptoms!$A$2:$A$15,"Not Found")</f>
        <v>S005</v>
      </c>
      <c r="C240" s="22" t="s">
        <v>3461</v>
      </c>
    </row>
    <row r="241" spans="1:3">
      <c r="A241" s="21" t="s">
        <v>640</v>
      </c>
      <c r="B241" s="3" t="str" cm="1">
        <f t="array" ref="B241">_xlfn.XLOOKUP($C241,_xlfn.ANCHORARRAY(Symptoms!$B$2),Symptoms!$A$2:$A$15,"Not Found")</f>
        <v>S003</v>
      </c>
      <c r="C241" s="22" t="s">
        <v>2875</v>
      </c>
    </row>
    <row r="242" spans="1:3">
      <c r="A242" s="21" t="s">
        <v>640</v>
      </c>
      <c r="B242" s="3" t="str" cm="1">
        <f t="array" ref="B242">_xlfn.XLOOKUP($C242,_xlfn.ANCHORARRAY(Symptoms!$B$2),Symptoms!$A$2:$A$15,"Not Found")</f>
        <v>S004</v>
      </c>
      <c r="C242" s="22" t="s">
        <v>2876</v>
      </c>
    </row>
    <row r="243" spans="1:3">
      <c r="A243" s="21" t="s">
        <v>641</v>
      </c>
      <c r="B243" s="3" t="str" cm="1">
        <f t="array" ref="B243">_xlfn.XLOOKUP($C243,_xlfn.ANCHORARRAY(Symptoms!$B$2),Symptoms!$A$2:$A$15,"Not Found")</f>
        <v>S007</v>
      </c>
      <c r="C243" s="22" t="s">
        <v>3463</v>
      </c>
    </row>
    <row r="244" spans="1:3">
      <c r="A244" s="21" t="s">
        <v>642</v>
      </c>
      <c r="B244" s="3" t="str" cm="1">
        <f t="array" ref="B244">_xlfn.XLOOKUP($C244,_xlfn.ANCHORARRAY(Symptoms!$B$2),Symptoms!$A$2:$A$15,"Not Found")</f>
        <v>S005</v>
      </c>
      <c r="C244" s="22" t="s">
        <v>3461</v>
      </c>
    </row>
    <row r="245" spans="1:3">
      <c r="A245" s="21" t="s">
        <v>642</v>
      </c>
      <c r="B245" s="3" t="str" cm="1">
        <f t="array" ref="B245">_xlfn.XLOOKUP($C245,_xlfn.ANCHORARRAY(Symptoms!$B$2),Symptoms!$A$2:$A$15,"Not Found")</f>
        <v>S007</v>
      </c>
      <c r="C245" s="22" t="s">
        <v>3463</v>
      </c>
    </row>
    <row r="246" spans="1:3">
      <c r="A246" s="21" t="s">
        <v>643</v>
      </c>
      <c r="B246" s="3" t="str" cm="1">
        <f t="array" ref="B246">_xlfn.XLOOKUP($C246,_xlfn.ANCHORARRAY(Symptoms!$B$2),Symptoms!$A$2:$A$15,"Not Found")</f>
        <v>S007</v>
      </c>
      <c r="C246" s="22" t="s">
        <v>3463</v>
      </c>
    </row>
    <row r="247" spans="1:3">
      <c r="A247" s="21" t="s">
        <v>644</v>
      </c>
      <c r="B247" s="3" t="str" cm="1">
        <f t="array" ref="B247">_xlfn.XLOOKUP($C247,_xlfn.ANCHORARRAY(Symptoms!$B$2),Symptoms!$A$2:$A$15,"Not Found")</f>
        <v>S001</v>
      </c>
      <c r="C247" s="22" t="s">
        <v>3462</v>
      </c>
    </row>
    <row r="248" spans="1:3">
      <c r="A248" s="21" t="s">
        <v>644</v>
      </c>
      <c r="B248" s="3" t="str" cm="1">
        <f t="array" ref="B248">_xlfn.XLOOKUP($C248,_xlfn.ANCHORARRAY(Symptoms!$B$2),Symptoms!$A$2:$A$15,"Not Found")</f>
        <v>S002</v>
      </c>
      <c r="C248" s="22" t="s">
        <v>3466</v>
      </c>
    </row>
    <row r="249" spans="1:3">
      <c r="A249" s="21" t="s">
        <v>645</v>
      </c>
      <c r="B249" s="3" t="str" cm="1">
        <f t="array" ref="B249">_xlfn.XLOOKUP($C249,_xlfn.ANCHORARRAY(Symptoms!$B$2),Symptoms!$A$2:$A$15,"Not Found")</f>
        <v>S005</v>
      </c>
      <c r="C249" s="22" t="s">
        <v>3461</v>
      </c>
    </row>
    <row r="250" spans="1:3">
      <c r="A250" s="21" t="s">
        <v>646</v>
      </c>
      <c r="B250" s="3" t="str" cm="1">
        <f t="array" ref="B250">_xlfn.XLOOKUP($C250,_xlfn.ANCHORARRAY(Symptoms!$B$2),Symptoms!$A$2:$A$15,"Not Found")</f>
        <v>S005</v>
      </c>
      <c r="C250" s="22" t="s">
        <v>3461</v>
      </c>
    </row>
    <row r="251" spans="1:3">
      <c r="A251" s="21" t="s">
        <v>647</v>
      </c>
      <c r="B251" s="3" t="str" cm="1">
        <f t="array" ref="B251">_xlfn.XLOOKUP($C251,_xlfn.ANCHORARRAY(Symptoms!$B$2),Symptoms!$A$2:$A$15,"Not Found")</f>
        <v>S003</v>
      </c>
      <c r="C251" s="22" t="s">
        <v>2875</v>
      </c>
    </row>
    <row r="252" spans="1:3">
      <c r="A252" s="21" t="s">
        <v>647</v>
      </c>
      <c r="B252" s="3" t="str" cm="1">
        <f t="array" ref="B252">_xlfn.XLOOKUP($C252,_xlfn.ANCHORARRAY(Symptoms!$B$2),Symptoms!$A$2:$A$15,"Not Found")</f>
        <v>S004</v>
      </c>
      <c r="C252" s="22" t="s">
        <v>2876</v>
      </c>
    </row>
    <row r="253" spans="1:3">
      <c r="A253" s="21" t="s">
        <v>648</v>
      </c>
      <c r="B253" s="3" t="str" cm="1">
        <f t="array" ref="B253">_xlfn.XLOOKUP($C253,_xlfn.ANCHORARRAY(Symptoms!$B$2),Symptoms!$A$2:$A$15,"Not Found")</f>
        <v>S006</v>
      </c>
      <c r="C253" s="22" t="s">
        <v>2280</v>
      </c>
    </row>
    <row r="254" spans="1:3">
      <c r="A254" s="21" t="s">
        <v>649</v>
      </c>
      <c r="B254" s="3" t="str" cm="1">
        <f t="array" ref="B254">_xlfn.XLOOKUP($C254,_xlfn.ANCHORARRAY(Symptoms!$B$2),Symptoms!$A$2:$A$15,"Not Found")</f>
        <v>S007</v>
      </c>
      <c r="C254" s="22" t="s">
        <v>3463</v>
      </c>
    </row>
    <row r="255" spans="1:3">
      <c r="A255" s="21" t="s">
        <v>650</v>
      </c>
      <c r="B255" s="3" t="str" cm="1">
        <f t="array" ref="B255">_xlfn.XLOOKUP($C255,_xlfn.ANCHORARRAY(Symptoms!$B$2),Symptoms!$A$2:$A$15,"Not Found")</f>
        <v>S007</v>
      </c>
      <c r="C255" s="22" t="s">
        <v>3463</v>
      </c>
    </row>
    <row r="256" spans="1:3">
      <c r="A256" s="21" t="s">
        <v>651</v>
      </c>
      <c r="B256" s="3" t="str" cm="1">
        <f t="array" ref="B256">_xlfn.XLOOKUP($C256,_xlfn.ANCHORARRAY(Symptoms!$B$2),Symptoms!$A$2:$A$15,"Not Found")</f>
        <v>S007</v>
      </c>
      <c r="C256" s="22" t="s">
        <v>3463</v>
      </c>
    </row>
    <row r="257" spans="1:3">
      <c r="A257" s="21" t="s">
        <v>652</v>
      </c>
      <c r="B257" s="3" t="str" cm="1">
        <f t="array" ref="B257">_xlfn.XLOOKUP($C257,_xlfn.ANCHORARRAY(Symptoms!$B$2),Symptoms!$A$2:$A$15,"Not Found")</f>
        <v>S005</v>
      </c>
      <c r="C257" s="22" t="s">
        <v>3461</v>
      </c>
    </row>
    <row r="258" spans="1:3">
      <c r="A258" s="21" t="s">
        <v>652</v>
      </c>
      <c r="B258" s="3" t="str" cm="1">
        <f t="array" ref="B258">_xlfn.XLOOKUP($C258,_xlfn.ANCHORARRAY(Symptoms!$B$2),Symptoms!$A$2:$A$15,"Not Found")</f>
        <v>S007</v>
      </c>
      <c r="C258" s="22" t="s">
        <v>3463</v>
      </c>
    </row>
    <row r="259" spans="1:3">
      <c r="A259" s="21" t="s">
        <v>653</v>
      </c>
      <c r="B259" s="3" t="str" cm="1">
        <f t="array" ref="B259">_xlfn.XLOOKUP($C259,_xlfn.ANCHORARRAY(Symptoms!$B$2),Symptoms!$A$2:$A$15,"Not Found")</f>
        <v>S005</v>
      </c>
      <c r="C259" s="22" t="s">
        <v>3461</v>
      </c>
    </row>
    <row r="260" spans="1:3">
      <c r="A260" s="21" t="s">
        <v>653</v>
      </c>
      <c r="B260" s="3" t="str" cm="1">
        <f t="array" ref="B260">_xlfn.XLOOKUP($C260,_xlfn.ANCHORARRAY(Symptoms!$B$2),Symptoms!$A$2:$A$15,"Not Found")</f>
        <v>S001</v>
      </c>
      <c r="C260" s="22" t="s">
        <v>3462</v>
      </c>
    </row>
    <row r="261" spans="1:3">
      <c r="A261" s="21" t="s">
        <v>653</v>
      </c>
      <c r="B261" s="3" t="str" cm="1">
        <f t="array" ref="B261">_xlfn.XLOOKUP($C261,_xlfn.ANCHORARRAY(Symptoms!$B$2),Symptoms!$A$2:$A$15,"Not Found")</f>
        <v>S009</v>
      </c>
      <c r="C261" s="22" t="s">
        <v>3464</v>
      </c>
    </row>
    <row r="262" spans="1:3">
      <c r="A262" s="21" t="s">
        <v>654</v>
      </c>
      <c r="B262" s="3" t="str" cm="1">
        <f t="array" ref="B262">_xlfn.XLOOKUP($C262,_xlfn.ANCHORARRAY(Symptoms!$B$2),Symptoms!$A$2:$A$15,"Not Found")</f>
        <v>S010</v>
      </c>
      <c r="C262" s="22" t="s">
        <v>3465</v>
      </c>
    </row>
    <row r="263" spans="1:3">
      <c r="A263" s="21" t="s">
        <v>654</v>
      </c>
      <c r="B263" s="3" t="str" cm="1">
        <f t="array" ref="B263">_xlfn.XLOOKUP($C263,_xlfn.ANCHORARRAY(Symptoms!$B$2),Symptoms!$A$2:$A$15,"Not Found")</f>
        <v>S001</v>
      </c>
      <c r="C263" s="22" t="s">
        <v>3462</v>
      </c>
    </row>
    <row r="264" spans="1:3">
      <c r="A264" s="21" t="s">
        <v>655</v>
      </c>
      <c r="B264" s="3" t="str" cm="1">
        <f t="array" ref="B264">_xlfn.XLOOKUP($C264,_xlfn.ANCHORARRAY(Symptoms!$B$2),Symptoms!$A$2:$A$15,"Not Found")</f>
        <v>S005</v>
      </c>
      <c r="C264" s="22" t="s">
        <v>3461</v>
      </c>
    </row>
    <row r="265" spans="1:3">
      <c r="A265" s="21" t="s">
        <v>655</v>
      </c>
      <c r="B265" s="3" t="str" cm="1">
        <f t="array" ref="B265">_xlfn.XLOOKUP($C265,_xlfn.ANCHORARRAY(Symptoms!$B$2),Symptoms!$A$2:$A$15,"Not Found")</f>
        <v>S007</v>
      </c>
      <c r="C265" s="22" t="s">
        <v>3463</v>
      </c>
    </row>
    <row r="266" spans="1:3">
      <c r="A266" s="21" t="s">
        <v>656</v>
      </c>
      <c r="B266" s="3" t="str" cm="1">
        <f t="array" ref="B266">_xlfn.XLOOKUP($C266,_xlfn.ANCHORARRAY(Symptoms!$B$2),Symptoms!$A$2:$A$15,"Not Found")</f>
        <v>S001</v>
      </c>
      <c r="C266" s="22" t="s">
        <v>3462</v>
      </c>
    </row>
    <row r="267" spans="1:3">
      <c r="A267" s="21" t="s">
        <v>657</v>
      </c>
      <c r="B267" s="3" t="str" cm="1">
        <f t="array" ref="B267">_xlfn.XLOOKUP($C267,_xlfn.ANCHORARRAY(Symptoms!$B$2),Symptoms!$A$2:$A$15,"Not Found")</f>
        <v>S005</v>
      </c>
      <c r="C267" s="22" t="s">
        <v>3461</v>
      </c>
    </row>
    <row r="268" spans="1:3">
      <c r="A268" s="21" t="s">
        <v>658</v>
      </c>
      <c r="B268" s="3" t="str" cm="1">
        <f t="array" ref="B268">_xlfn.XLOOKUP($C268,_xlfn.ANCHORARRAY(Symptoms!$B$2),Symptoms!$A$2:$A$15,"Not Found")</f>
        <v>S013</v>
      </c>
      <c r="C268" s="22" t="s">
        <v>420</v>
      </c>
    </row>
    <row r="269" spans="1:3">
      <c r="A269" s="21" t="s">
        <v>659</v>
      </c>
      <c r="B269" s="3" t="str" cm="1">
        <f t="array" ref="B269">_xlfn.XLOOKUP($C269,_xlfn.ANCHORARRAY(Symptoms!$B$2),Symptoms!$A$2:$A$15,"Not Found")</f>
        <v>S004</v>
      </c>
      <c r="C269" s="22" t="s">
        <v>2876</v>
      </c>
    </row>
    <row r="270" spans="1:3">
      <c r="A270" s="21" t="s">
        <v>659</v>
      </c>
      <c r="B270" s="3" t="str" cm="1">
        <f t="array" ref="B270">_xlfn.XLOOKUP($C270,_xlfn.ANCHORARRAY(Symptoms!$B$2),Symptoms!$A$2:$A$15,"Not Found")</f>
        <v>S008</v>
      </c>
      <c r="C270" s="22" t="s">
        <v>3467</v>
      </c>
    </row>
    <row r="271" spans="1:3">
      <c r="A271" s="21" t="s">
        <v>659</v>
      </c>
      <c r="B271" s="3" t="str" cm="1">
        <f t="array" ref="B271">_xlfn.XLOOKUP($C271,_xlfn.ANCHORARRAY(Symptoms!$B$2),Symptoms!$A$2:$A$15,"Not Found")</f>
        <v>S007</v>
      </c>
      <c r="C271" s="22" t="s">
        <v>3463</v>
      </c>
    </row>
    <row r="272" spans="1:3">
      <c r="A272" s="21" t="s">
        <v>660</v>
      </c>
      <c r="B272" s="3" t="str" cm="1">
        <f t="array" ref="B272">_xlfn.XLOOKUP($C272,_xlfn.ANCHORARRAY(Symptoms!$B$2),Symptoms!$A$2:$A$15,"Not Found")</f>
        <v>S009</v>
      </c>
      <c r="C272" s="22" t="s">
        <v>3464</v>
      </c>
    </row>
    <row r="273" spans="1:3">
      <c r="A273" s="21" t="s">
        <v>660</v>
      </c>
      <c r="B273" s="3" t="str" cm="1">
        <f t="array" ref="B273">_xlfn.XLOOKUP($C273,_xlfn.ANCHORARRAY(Symptoms!$B$2),Symptoms!$A$2:$A$15,"Not Found")</f>
        <v>S001</v>
      </c>
      <c r="C273" s="22" t="s">
        <v>3462</v>
      </c>
    </row>
    <row r="274" spans="1:3">
      <c r="A274" s="21" t="s">
        <v>660</v>
      </c>
      <c r="B274" s="3" t="str" cm="1">
        <f t="array" ref="B274">_xlfn.XLOOKUP($C274,_xlfn.ANCHORARRAY(Symptoms!$B$2),Symptoms!$A$2:$A$15,"Not Found")</f>
        <v>S007</v>
      </c>
      <c r="C274" s="22" t="s">
        <v>3463</v>
      </c>
    </row>
    <row r="275" spans="1:3">
      <c r="A275" s="21" t="s">
        <v>661</v>
      </c>
      <c r="B275" s="3" t="str" cm="1">
        <f t="array" ref="B275">_xlfn.XLOOKUP($C275,_xlfn.ANCHORARRAY(Symptoms!$B$2),Symptoms!$A$2:$A$15,"Not Found")</f>
        <v>S013</v>
      </c>
      <c r="C275" s="22" t="s">
        <v>420</v>
      </c>
    </row>
    <row r="276" spans="1:3">
      <c r="A276" s="21" t="s">
        <v>661</v>
      </c>
      <c r="B276" s="3" t="str" cm="1">
        <f t="array" ref="B276">_xlfn.XLOOKUP($C276,_xlfn.ANCHORARRAY(Symptoms!$B$2),Symptoms!$A$2:$A$15,"Not Found")</f>
        <v>S009</v>
      </c>
      <c r="C276" s="22" t="s">
        <v>3464</v>
      </c>
    </row>
    <row r="277" spans="1:3">
      <c r="A277" s="21" t="s">
        <v>661</v>
      </c>
      <c r="B277" s="3" t="str" cm="1">
        <f t="array" ref="B277">_xlfn.XLOOKUP($C277,_xlfn.ANCHORARRAY(Symptoms!$B$2),Symptoms!$A$2:$A$15,"Not Found")</f>
        <v>S005</v>
      </c>
      <c r="C277" s="22" t="s">
        <v>3461</v>
      </c>
    </row>
    <row r="278" spans="1:3">
      <c r="A278" s="21" t="s">
        <v>662</v>
      </c>
      <c r="B278" s="3" t="str" cm="1">
        <f t="array" ref="B278">_xlfn.XLOOKUP($C278,_xlfn.ANCHORARRAY(Symptoms!$B$2),Symptoms!$A$2:$A$15,"Not Found")</f>
        <v>S005</v>
      </c>
      <c r="C278" s="22" t="s">
        <v>3461</v>
      </c>
    </row>
    <row r="279" spans="1:3">
      <c r="A279" s="21" t="s">
        <v>663</v>
      </c>
      <c r="B279" s="3" t="str" cm="1">
        <f t="array" ref="B279">_xlfn.XLOOKUP($C279,_xlfn.ANCHORARRAY(Symptoms!$B$2),Symptoms!$A$2:$A$15,"Not Found")</f>
        <v>S003</v>
      </c>
      <c r="C279" s="22" t="s">
        <v>2875</v>
      </c>
    </row>
    <row r="280" spans="1:3">
      <c r="A280" s="21" t="s">
        <v>663</v>
      </c>
      <c r="B280" s="3" t="str" cm="1">
        <f t="array" ref="B280">_xlfn.XLOOKUP($C280,_xlfn.ANCHORARRAY(Symptoms!$B$2),Symptoms!$A$2:$A$15,"Not Found")</f>
        <v>S004</v>
      </c>
      <c r="C280" s="22" t="s">
        <v>2876</v>
      </c>
    </row>
    <row r="281" spans="1:3">
      <c r="A281" s="21" t="s">
        <v>664</v>
      </c>
      <c r="B281" s="3" t="str" cm="1">
        <f t="array" ref="B281">_xlfn.XLOOKUP($C281,_xlfn.ANCHORARRAY(Symptoms!$B$2),Symptoms!$A$2:$A$15,"Not Found")</f>
        <v>S007</v>
      </c>
      <c r="C281" s="22" t="s">
        <v>3463</v>
      </c>
    </row>
    <row r="282" spans="1:3">
      <c r="A282" s="21" t="s">
        <v>665</v>
      </c>
      <c r="B282" s="3" t="str" cm="1">
        <f t="array" ref="B282">_xlfn.XLOOKUP($C282,_xlfn.ANCHORARRAY(Symptoms!$B$2),Symptoms!$A$2:$A$15,"Not Found")</f>
        <v>S005</v>
      </c>
      <c r="C282" s="22" t="s">
        <v>3461</v>
      </c>
    </row>
    <row r="283" spans="1:3">
      <c r="A283" s="21" t="s">
        <v>665</v>
      </c>
      <c r="B283" s="3" t="str" cm="1">
        <f t="array" ref="B283">_xlfn.XLOOKUP($C283,_xlfn.ANCHORARRAY(Symptoms!$B$2),Symptoms!$A$2:$A$15,"Not Found")</f>
        <v>S007</v>
      </c>
      <c r="C283" s="22" t="s">
        <v>3463</v>
      </c>
    </row>
    <row r="284" spans="1:3">
      <c r="A284" s="21" t="s">
        <v>666</v>
      </c>
      <c r="B284" s="3" t="str" cm="1">
        <f t="array" ref="B284">_xlfn.XLOOKUP($C284,_xlfn.ANCHORARRAY(Symptoms!$B$2),Symptoms!$A$2:$A$15,"Not Found")</f>
        <v>S007</v>
      </c>
      <c r="C284" s="22" t="s">
        <v>3463</v>
      </c>
    </row>
    <row r="285" spans="1:3">
      <c r="A285" s="21" t="s">
        <v>667</v>
      </c>
      <c r="B285" s="3" t="str" cm="1">
        <f t="array" ref="B285">_xlfn.XLOOKUP($C285,_xlfn.ANCHORARRAY(Symptoms!$B$2),Symptoms!$A$2:$A$15,"Not Found")</f>
        <v>S001</v>
      </c>
      <c r="C285" s="22" t="s">
        <v>3462</v>
      </c>
    </row>
    <row r="286" spans="1:3">
      <c r="A286" s="21" t="s">
        <v>667</v>
      </c>
      <c r="B286" s="3" t="str" cm="1">
        <f t="array" ref="B286">_xlfn.XLOOKUP($C286,_xlfn.ANCHORARRAY(Symptoms!$B$2),Symptoms!$A$2:$A$15,"Not Found")</f>
        <v>S002</v>
      </c>
      <c r="C286" s="22" t="s">
        <v>3466</v>
      </c>
    </row>
    <row r="287" spans="1:3">
      <c r="A287" s="21" t="s">
        <v>668</v>
      </c>
      <c r="B287" s="3" t="str" cm="1">
        <f t="array" ref="B287">_xlfn.XLOOKUP($C287,_xlfn.ANCHORARRAY(Symptoms!$B$2),Symptoms!$A$2:$A$15,"Not Found")</f>
        <v>S005</v>
      </c>
      <c r="C287" s="22" t="s">
        <v>3461</v>
      </c>
    </row>
    <row r="288" spans="1:3">
      <c r="A288" s="21" t="s">
        <v>669</v>
      </c>
      <c r="B288" s="3" t="str" cm="1">
        <f t="array" ref="B288">_xlfn.XLOOKUP($C288,_xlfn.ANCHORARRAY(Symptoms!$B$2),Symptoms!$A$2:$A$15,"Not Found")</f>
        <v>S005</v>
      </c>
      <c r="C288" s="22" t="s">
        <v>3461</v>
      </c>
    </row>
    <row r="289" spans="1:3">
      <c r="A289" s="21" t="s">
        <v>670</v>
      </c>
      <c r="B289" s="3" t="str" cm="1">
        <f t="array" ref="B289">_xlfn.XLOOKUP($C289,_xlfn.ANCHORARRAY(Symptoms!$B$2),Symptoms!$A$2:$A$15,"Not Found")</f>
        <v>S003</v>
      </c>
      <c r="C289" s="22" t="s">
        <v>2875</v>
      </c>
    </row>
    <row r="290" spans="1:3">
      <c r="A290" s="21" t="s">
        <v>670</v>
      </c>
      <c r="B290" s="3" t="str" cm="1">
        <f t="array" ref="B290">_xlfn.XLOOKUP($C290,_xlfn.ANCHORARRAY(Symptoms!$B$2),Symptoms!$A$2:$A$15,"Not Found")</f>
        <v>S004</v>
      </c>
      <c r="C290" s="22" t="s">
        <v>2876</v>
      </c>
    </row>
    <row r="291" spans="1:3">
      <c r="A291" s="21" t="s">
        <v>671</v>
      </c>
      <c r="B291" s="3" t="str" cm="1">
        <f t="array" ref="B291">_xlfn.XLOOKUP($C291,_xlfn.ANCHORARRAY(Symptoms!$B$2),Symptoms!$A$2:$A$15,"Not Found")</f>
        <v>S006</v>
      </c>
      <c r="C291" s="22" t="s">
        <v>2280</v>
      </c>
    </row>
    <row r="292" spans="1:3">
      <c r="A292" s="21" t="s">
        <v>672</v>
      </c>
      <c r="B292" s="3" t="str" cm="1">
        <f t="array" ref="B292">_xlfn.XLOOKUP($C292,_xlfn.ANCHORARRAY(Symptoms!$B$2),Symptoms!$A$2:$A$15,"Not Found")</f>
        <v>S007</v>
      </c>
      <c r="C292" s="22" t="s">
        <v>3463</v>
      </c>
    </row>
    <row r="293" spans="1:3">
      <c r="A293" s="21" t="s">
        <v>673</v>
      </c>
      <c r="B293" s="3" t="str" cm="1">
        <f t="array" ref="B293">_xlfn.XLOOKUP($C293,_xlfn.ANCHORARRAY(Symptoms!$B$2),Symptoms!$A$2:$A$15,"Not Found")</f>
        <v>S007</v>
      </c>
      <c r="C293" s="22" t="s">
        <v>3463</v>
      </c>
    </row>
    <row r="294" spans="1:3">
      <c r="A294" s="21" t="s">
        <v>674</v>
      </c>
      <c r="B294" s="3" t="str" cm="1">
        <f t="array" ref="B294">_xlfn.XLOOKUP($C294,_xlfn.ANCHORARRAY(Symptoms!$B$2),Symptoms!$A$2:$A$15,"Not Found")</f>
        <v>S007</v>
      </c>
      <c r="C294" s="22" t="s">
        <v>3463</v>
      </c>
    </row>
    <row r="295" spans="1:3">
      <c r="A295" s="21" t="s">
        <v>675</v>
      </c>
      <c r="B295" s="3" t="str" cm="1">
        <f t="array" ref="B295">_xlfn.XLOOKUP($C295,_xlfn.ANCHORARRAY(Symptoms!$B$2),Symptoms!$A$2:$A$15,"Not Found")</f>
        <v>S005</v>
      </c>
      <c r="C295" s="22" t="s">
        <v>3461</v>
      </c>
    </row>
    <row r="296" spans="1:3">
      <c r="A296" s="21" t="s">
        <v>675</v>
      </c>
      <c r="B296" s="3" t="str" cm="1">
        <f t="array" ref="B296">_xlfn.XLOOKUP($C296,_xlfn.ANCHORARRAY(Symptoms!$B$2),Symptoms!$A$2:$A$15,"Not Found")</f>
        <v>S007</v>
      </c>
      <c r="C296" s="22" t="s">
        <v>3463</v>
      </c>
    </row>
    <row r="297" spans="1:3">
      <c r="A297" s="21" t="s">
        <v>676</v>
      </c>
      <c r="B297" s="3" t="str" cm="1">
        <f t="array" ref="B297">_xlfn.XLOOKUP($C297,_xlfn.ANCHORARRAY(Symptoms!$B$2),Symptoms!$A$2:$A$15,"Not Found")</f>
        <v>S005</v>
      </c>
      <c r="C297" s="22" t="s">
        <v>3461</v>
      </c>
    </row>
    <row r="298" spans="1:3">
      <c r="A298" s="21" t="s">
        <v>676</v>
      </c>
      <c r="B298" s="3" t="str" cm="1">
        <f t="array" ref="B298">_xlfn.XLOOKUP($C298,_xlfn.ANCHORARRAY(Symptoms!$B$2),Symptoms!$A$2:$A$15,"Not Found")</f>
        <v>S001</v>
      </c>
      <c r="C298" s="22" t="s">
        <v>3462</v>
      </c>
    </row>
    <row r="299" spans="1:3">
      <c r="A299" s="21" t="s">
        <v>676</v>
      </c>
      <c r="B299" s="3" t="str" cm="1">
        <f t="array" ref="B299">_xlfn.XLOOKUP($C299,_xlfn.ANCHORARRAY(Symptoms!$B$2),Symptoms!$A$2:$A$15,"Not Found")</f>
        <v>S009</v>
      </c>
      <c r="C299" s="22" t="s">
        <v>3464</v>
      </c>
    </row>
    <row r="300" spans="1:3">
      <c r="A300" s="21" t="s">
        <v>677</v>
      </c>
      <c r="B300" s="3" t="str" cm="1">
        <f t="array" ref="B300">_xlfn.XLOOKUP($C300,_xlfn.ANCHORARRAY(Symptoms!$B$2),Symptoms!$A$2:$A$15,"Not Found")</f>
        <v>S010</v>
      </c>
      <c r="C300" s="22" t="s">
        <v>3465</v>
      </c>
    </row>
    <row r="301" spans="1:3">
      <c r="A301" s="21" t="s">
        <v>677</v>
      </c>
      <c r="B301" s="3" t="str" cm="1">
        <f t="array" ref="B301">_xlfn.XLOOKUP($C301,_xlfn.ANCHORARRAY(Symptoms!$B$2),Symptoms!$A$2:$A$15,"Not Found")</f>
        <v>S001</v>
      </c>
      <c r="C301" s="22" t="s">
        <v>3462</v>
      </c>
    </row>
    <row r="302" spans="1:3">
      <c r="A302" s="21" t="s">
        <v>678</v>
      </c>
      <c r="B302" s="3" t="str" cm="1">
        <f t="array" ref="B302">_xlfn.XLOOKUP($C302,_xlfn.ANCHORARRAY(Symptoms!$B$2),Symptoms!$A$2:$A$15,"Not Found")</f>
        <v>S005</v>
      </c>
      <c r="C302" s="22" t="s">
        <v>3461</v>
      </c>
    </row>
    <row r="303" spans="1:3">
      <c r="A303" s="21" t="s">
        <v>678</v>
      </c>
      <c r="B303" s="3" t="str" cm="1">
        <f t="array" ref="B303">_xlfn.XLOOKUP($C303,_xlfn.ANCHORARRAY(Symptoms!$B$2),Symptoms!$A$2:$A$15,"Not Found")</f>
        <v>S007</v>
      </c>
      <c r="C303" s="22" t="s">
        <v>3463</v>
      </c>
    </row>
    <row r="304" spans="1:3">
      <c r="A304" s="21" t="s">
        <v>679</v>
      </c>
      <c r="B304" s="3" t="str" cm="1">
        <f t="array" ref="B304">_xlfn.XLOOKUP($C304,_xlfn.ANCHORARRAY(Symptoms!$B$2),Symptoms!$A$2:$A$15,"Not Found")</f>
        <v>S001</v>
      </c>
      <c r="C304" s="22" t="s">
        <v>3462</v>
      </c>
    </row>
    <row r="305" spans="1:3">
      <c r="A305" s="21" t="s">
        <v>680</v>
      </c>
      <c r="B305" s="3" t="str" cm="1">
        <f t="array" ref="B305">_xlfn.XLOOKUP($C305,_xlfn.ANCHORARRAY(Symptoms!$B$2),Symptoms!$A$2:$A$15,"Not Found")</f>
        <v>S005</v>
      </c>
      <c r="C305" s="22" t="s">
        <v>3461</v>
      </c>
    </row>
    <row r="306" spans="1:3">
      <c r="A306" s="21" t="s">
        <v>681</v>
      </c>
      <c r="B306" s="3" t="str" cm="1">
        <f t="array" ref="B306">_xlfn.XLOOKUP($C306,_xlfn.ANCHORARRAY(Symptoms!$B$2),Symptoms!$A$2:$A$15,"Not Found")</f>
        <v>S013</v>
      </c>
      <c r="C306" s="22" t="s">
        <v>420</v>
      </c>
    </row>
    <row r="307" spans="1:3">
      <c r="A307" s="21" t="s">
        <v>682</v>
      </c>
      <c r="B307" s="3" t="str" cm="1">
        <f t="array" ref="B307">_xlfn.XLOOKUP($C307,_xlfn.ANCHORARRAY(Symptoms!$B$2),Symptoms!$A$2:$A$15,"Not Found")</f>
        <v>S004</v>
      </c>
      <c r="C307" s="22" t="s">
        <v>2876</v>
      </c>
    </row>
    <row r="308" spans="1:3">
      <c r="A308" s="21" t="s">
        <v>682</v>
      </c>
      <c r="B308" s="3" t="str" cm="1">
        <f t="array" ref="B308">_xlfn.XLOOKUP($C308,_xlfn.ANCHORARRAY(Symptoms!$B$2),Symptoms!$A$2:$A$15,"Not Found")</f>
        <v>S008</v>
      </c>
      <c r="C308" s="22" t="s">
        <v>3467</v>
      </c>
    </row>
    <row r="309" spans="1:3">
      <c r="A309" s="21" t="s">
        <v>682</v>
      </c>
      <c r="B309" s="3" t="str" cm="1">
        <f t="array" ref="B309">_xlfn.XLOOKUP($C309,_xlfn.ANCHORARRAY(Symptoms!$B$2),Symptoms!$A$2:$A$15,"Not Found")</f>
        <v>S007</v>
      </c>
      <c r="C309" s="22" t="s">
        <v>3463</v>
      </c>
    </row>
    <row r="310" spans="1:3">
      <c r="A310" s="21" t="s">
        <v>683</v>
      </c>
      <c r="B310" s="3" t="str" cm="1">
        <f t="array" ref="B310">_xlfn.XLOOKUP($C310,_xlfn.ANCHORARRAY(Symptoms!$B$2),Symptoms!$A$2:$A$15,"Not Found")</f>
        <v>S009</v>
      </c>
      <c r="C310" s="22" t="s">
        <v>3464</v>
      </c>
    </row>
    <row r="311" spans="1:3">
      <c r="A311" s="21" t="s">
        <v>683</v>
      </c>
      <c r="B311" s="3" t="str" cm="1">
        <f t="array" ref="B311">_xlfn.XLOOKUP($C311,_xlfn.ANCHORARRAY(Symptoms!$B$2),Symptoms!$A$2:$A$15,"Not Found")</f>
        <v>S001</v>
      </c>
      <c r="C311" s="22" t="s">
        <v>3462</v>
      </c>
    </row>
    <row r="312" spans="1:3">
      <c r="A312" s="21" t="s">
        <v>683</v>
      </c>
      <c r="B312" s="3" t="str" cm="1">
        <f t="array" ref="B312">_xlfn.XLOOKUP($C312,_xlfn.ANCHORARRAY(Symptoms!$B$2),Symptoms!$A$2:$A$15,"Not Found")</f>
        <v>S007</v>
      </c>
      <c r="C312" s="22" t="s">
        <v>3463</v>
      </c>
    </row>
    <row r="313" spans="1:3">
      <c r="A313" s="21" t="s">
        <v>684</v>
      </c>
      <c r="B313" s="3" t="str" cm="1">
        <f t="array" ref="B313">_xlfn.XLOOKUP($C313,_xlfn.ANCHORARRAY(Symptoms!$B$2),Symptoms!$A$2:$A$15,"Not Found")</f>
        <v>S013</v>
      </c>
      <c r="C313" s="22" t="s">
        <v>420</v>
      </c>
    </row>
    <row r="314" spans="1:3">
      <c r="A314" s="21" t="s">
        <v>685</v>
      </c>
      <c r="B314" s="3" t="str" cm="1">
        <f t="array" ref="B314">_xlfn.XLOOKUP($C314,_xlfn.ANCHORARRAY(Symptoms!$B$2),Symptoms!$A$2:$A$15,"Not Found")</f>
        <v>S009</v>
      </c>
      <c r="C314" s="22" t="s">
        <v>3464</v>
      </c>
    </row>
    <row r="315" spans="1:3">
      <c r="A315" s="21" t="s">
        <v>685</v>
      </c>
      <c r="B315" s="3" t="str" cm="1">
        <f t="array" ref="B315">_xlfn.XLOOKUP($C315,_xlfn.ANCHORARRAY(Symptoms!$B$2),Symptoms!$A$2:$A$15,"Not Found")</f>
        <v>S005</v>
      </c>
      <c r="C315" s="22" t="s">
        <v>3461</v>
      </c>
    </row>
    <row r="316" spans="1:3">
      <c r="A316" s="21" t="s">
        <v>685</v>
      </c>
      <c r="B316" s="3" t="str" cm="1">
        <f t="array" ref="B316">_xlfn.XLOOKUP($C316,_xlfn.ANCHORARRAY(Symptoms!$B$2),Symptoms!$A$2:$A$15,"Not Found")</f>
        <v>S005</v>
      </c>
      <c r="C316" s="22" t="s">
        <v>3461</v>
      </c>
    </row>
    <row r="317" spans="1:3">
      <c r="A317" s="21" t="s">
        <v>686</v>
      </c>
      <c r="B317" s="3" t="str" cm="1">
        <f t="array" ref="B317">_xlfn.XLOOKUP($C317,_xlfn.ANCHORARRAY(Symptoms!$B$2),Symptoms!$A$2:$A$15,"Not Found")</f>
        <v>S003</v>
      </c>
      <c r="C317" s="22" t="s">
        <v>2875</v>
      </c>
    </row>
    <row r="318" spans="1:3">
      <c r="A318" s="21" t="s">
        <v>686</v>
      </c>
      <c r="B318" s="3" t="str" cm="1">
        <f t="array" ref="B318">_xlfn.XLOOKUP($C318,_xlfn.ANCHORARRAY(Symptoms!$B$2),Symptoms!$A$2:$A$15,"Not Found")</f>
        <v>S004</v>
      </c>
      <c r="C318" s="22" t="s">
        <v>2876</v>
      </c>
    </row>
    <row r="319" spans="1:3">
      <c r="A319" s="21" t="s">
        <v>687</v>
      </c>
      <c r="B319" s="3" t="str" cm="1">
        <f t="array" ref="B319">_xlfn.XLOOKUP($C319,_xlfn.ANCHORARRAY(Symptoms!$B$2),Symptoms!$A$2:$A$15,"Not Found")</f>
        <v>S007</v>
      </c>
      <c r="C319" s="22" t="s">
        <v>3463</v>
      </c>
    </row>
    <row r="320" spans="1:3">
      <c r="A320" s="21" t="s">
        <v>688</v>
      </c>
      <c r="B320" s="3" t="str" cm="1">
        <f t="array" ref="B320">_xlfn.XLOOKUP($C320,_xlfn.ANCHORARRAY(Symptoms!$B$2),Symptoms!$A$2:$A$15,"Not Found")</f>
        <v>S005</v>
      </c>
      <c r="C320" s="22" t="s">
        <v>3461</v>
      </c>
    </row>
    <row r="321" spans="1:3">
      <c r="A321" s="21" t="s">
        <v>688</v>
      </c>
      <c r="B321" s="3" t="str" cm="1">
        <f t="array" ref="B321">_xlfn.XLOOKUP($C321,_xlfn.ANCHORARRAY(Symptoms!$B$2),Symptoms!$A$2:$A$15,"Not Found")</f>
        <v>S007</v>
      </c>
      <c r="C321" s="22" t="s">
        <v>3463</v>
      </c>
    </row>
    <row r="322" spans="1:3">
      <c r="A322" s="21" t="s">
        <v>689</v>
      </c>
      <c r="B322" s="3" t="str" cm="1">
        <f t="array" ref="B322">_xlfn.XLOOKUP($C322,_xlfn.ANCHORARRAY(Symptoms!$B$2),Symptoms!$A$2:$A$15,"Not Found")</f>
        <v>S007</v>
      </c>
      <c r="C322" s="22" t="s">
        <v>3463</v>
      </c>
    </row>
    <row r="323" spans="1:3">
      <c r="A323" s="21" t="s">
        <v>690</v>
      </c>
      <c r="B323" s="3" t="str" cm="1">
        <f t="array" ref="B323">_xlfn.XLOOKUP($C323,_xlfn.ANCHORARRAY(Symptoms!$B$2),Symptoms!$A$2:$A$15,"Not Found")</f>
        <v>S001</v>
      </c>
      <c r="C323" s="22" t="s">
        <v>3462</v>
      </c>
    </row>
    <row r="324" spans="1:3">
      <c r="A324" s="21" t="s">
        <v>690</v>
      </c>
      <c r="B324" s="3" t="str" cm="1">
        <f t="array" ref="B324">_xlfn.XLOOKUP($C324,_xlfn.ANCHORARRAY(Symptoms!$B$2),Symptoms!$A$2:$A$15,"Not Found")</f>
        <v>S002</v>
      </c>
      <c r="C324" s="22" t="s">
        <v>3466</v>
      </c>
    </row>
    <row r="325" spans="1:3">
      <c r="A325" s="21" t="s">
        <v>691</v>
      </c>
      <c r="B325" s="3" t="str" cm="1">
        <f t="array" ref="B325">_xlfn.XLOOKUP($C325,_xlfn.ANCHORARRAY(Symptoms!$B$2),Symptoms!$A$2:$A$15,"Not Found")</f>
        <v>S005</v>
      </c>
      <c r="C325" s="22" t="s">
        <v>3461</v>
      </c>
    </row>
    <row r="326" spans="1:3">
      <c r="A326" s="21" t="s">
        <v>692</v>
      </c>
      <c r="B326" s="3" t="str" cm="1">
        <f t="array" ref="B326">_xlfn.XLOOKUP($C326,_xlfn.ANCHORARRAY(Symptoms!$B$2),Symptoms!$A$2:$A$15,"Not Found")</f>
        <v>S005</v>
      </c>
      <c r="C326" s="22" t="s">
        <v>3461</v>
      </c>
    </row>
    <row r="327" spans="1:3">
      <c r="A327" s="21" t="s">
        <v>693</v>
      </c>
      <c r="B327" s="3" t="str" cm="1">
        <f t="array" ref="B327">_xlfn.XLOOKUP($C327,_xlfn.ANCHORARRAY(Symptoms!$B$2),Symptoms!$A$2:$A$15,"Not Found")</f>
        <v>S003</v>
      </c>
      <c r="C327" s="22" t="s">
        <v>2875</v>
      </c>
    </row>
    <row r="328" spans="1:3">
      <c r="A328" s="21" t="s">
        <v>693</v>
      </c>
      <c r="B328" s="3" t="str" cm="1">
        <f t="array" ref="B328">_xlfn.XLOOKUP($C328,_xlfn.ANCHORARRAY(Symptoms!$B$2),Symptoms!$A$2:$A$15,"Not Found")</f>
        <v>S004</v>
      </c>
      <c r="C328" s="22" t="s">
        <v>2876</v>
      </c>
    </row>
    <row r="329" spans="1:3">
      <c r="A329" s="21" t="s">
        <v>694</v>
      </c>
      <c r="B329" s="3" t="str" cm="1">
        <f t="array" ref="B329">_xlfn.XLOOKUP($C329,_xlfn.ANCHORARRAY(Symptoms!$B$2),Symptoms!$A$2:$A$15,"Not Found")</f>
        <v>S006</v>
      </c>
      <c r="C329" s="22" t="s">
        <v>2280</v>
      </c>
    </row>
    <row r="330" spans="1:3">
      <c r="A330" s="21" t="s">
        <v>695</v>
      </c>
      <c r="B330" s="3" t="str" cm="1">
        <f t="array" ref="B330">_xlfn.XLOOKUP($C330,_xlfn.ANCHORARRAY(Symptoms!$B$2),Symptoms!$A$2:$A$15,"Not Found")</f>
        <v>S007</v>
      </c>
      <c r="C330" s="22" t="s">
        <v>3463</v>
      </c>
    </row>
    <row r="331" spans="1:3">
      <c r="A331" s="21" t="s">
        <v>696</v>
      </c>
      <c r="B331" s="3" t="str" cm="1">
        <f t="array" ref="B331">_xlfn.XLOOKUP($C331,_xlfn.ANCHORARRAY(Symptoms!$B$2),Symptoms!$A$2:$A$15,"Not Found")</f>
        <v>S007</v>
      </c>
      <c r="C331" s="22" t="s">
        <v>3463</v>
      </c>
    </row>
    <row r="332" spans="1:3">
      <c r="A332" s="21" t="s">
        <v>697</v>
      </c>
      <c r="B332" s="3" t="str" cm="1">
        <f t="array" ref="B332">_xlfn.XLOOKUP($C332,_xlfn.ANCHORARRAY(Symptoms!$B$2),Symptoms!$A$2:$A$15,"Not Found")</f>
        <v>S007</v>
      </c>
      <c r="C332" s="22" t="s">
        <v>3463</v>
      </c>
    </row>
    <row r="333" spans="1:3">
      <c r="A333" s="21" t="s">
        <v>698</v>
      </c>
      <c r="B333" s="3" t="str" cm="1">
        <f t="array" ref="B333">_xlfn.XLOOKUP($C333,_xlfn.ANCHORARRAY(Symptoms!$B$2),Symptoms!$A$2:$A$15,"Not Found")</f>
        <v>S005</v>
      </c>
      <c r="C333" s="22" t="s">
        <v>3461</v>
      </c>
    </row>
    <row r="334" spans="1:3">
      <c r="A334" s="21" t="s">
        <v>698</v>
      </c>
      <c r="B334" s="3" t="str" cm="1">
        <f t="array" ref="B334">_xlfn.XLOOKUP($C334,_xlfn.ANCHORARRAY(Symptoms!$B$2),Symptoms!$A$2:$A$15,"Not Found")</f>
        <v>S007</v>
      </c>
      <c r="C334" s="22" t="s">
        <v>3463</v>
      </c>
    </row>
    <row r="335" spans="1:3">
      <c r="A335" s="21" t="s">
        <v>699</v>
      </c>
      <c r="B335" s="3" t="str" cm="1">
        <f t="array" ref="B335">_xlfn.XLOOKUP($C335,_xlfn.ANCHORARRAY(Symptoms!$B$2),Symptoms!$A$2:$A$15,"Not Found")</f>
        <v>S005</v>
      </c>
      <c r="C335" s="22" t="s">
        <v>3461</v>
      </c>
    </row>
    <row r="336" spans="1:3">
      <c r="A336" s="21" t="s">
        <v>699</v>
      </c>
      <c r="B336" s="3" t="str" cm="1">
        <f t="array" ref="B336">_xlfn.XLOOKUP($C336,_xlfn.ANCHORARRAY(Symptoms!$B$2),Symptoms!$A$2:$A$15,"Not Found")</f>
        <v>S001</v>
      </c>
      <c r="C336" s="22" t="s">
        <v>3462</v>
      </c>
    </row>
    <row r="337" spans="1:3">
      <c r="A337" s="21" t="s">
        <v>699</v>
      </c>
      <c r="B337" s="3" t="str" cm="1">
        <f t="array" ref="B337">_xlfn.XLOOKUP($C337,_xlfn.ANCHORARRAY(Symptoms!$B$2),Symptoms!$A$2:$A$15,"Not Found")</f>
        <v>S009</v>
      </c>
      <c r="C337" s="22" t="s">
        <v>3464</v>
      </c>
    </row>
    <row r="338" spans="1:3">
      <c r="A338" s="21" t="s">
        <v>700</v>
      </c>
      <c r="B338" s="3" t="str" cm="1">
        <f t="array" ref="B338">_xlfn.XLOOKUP($C338,_xlfn.ANCHORARRAY(Symptoms!$B$2),Symptoms!$A$2:$A$15,"Not Found")</f>
        <v>S010</v>
      </c>
      <c r="C338" s="22" t="s">
        <v>3465</v>
      </c>
    </row>
    <row r="339" spans="1:3">
      <c r="A339" s="21" t="s">
        <v>700</v>
      </c>
      <c r="B339" s="3" t="str" cm="1">
        <f t="array" ref="B339">_xlfn.XLOOKUP($C339,_xlfn.ANCHORARRAY(Symptoms!$B$2),Symptoms!$A$2:$A$15,"Not Found")</f>
        <v>S001</v>
      </c>
      <c r="C339" s="22" t="s">
        <v>3462</v>
      </c>
    </row>
    <row r="340" spans="1:3">
      <c r="A340" s="21" t="s">
        <v>701</v>
      </c>
      <c r="B340" s="3" t="str" cm="1">
        <f t="array" ref="B340">_xlfn.XLOOKUP($C340,_xlfn.ANCHORARRAY(Symptoms!$B$2),Symptoms!$A$2:$A$15,"Not Found")</f>
        <v>S005</v>
      </c>
      <c r="C340" s="22" t="s">
        <v>3461</v>
      </c>
    </row>
    <row r="341" spans="1:3">
      <c r="A341" s="21" t="s">
        <v>701</v>
      </c>
      <c r="B341" s="3" t="str" cm="1">
        <f t="array" ref="B341">_xlfn.XLOOKUP($C341,_xlfn.ANCHORARRAY(Symptoms!$B$2),Symptoms!$A$2:$A$15,"Not Found")</f>
        <v>S007</v>
      </c>
      <c r="C341" s="22" t="s">
        <v>3463</v>
      </c>
    </row>
    <row r="342" spans="1:3">
      <c r="A342" s="21" t="s">
        <v>702</v>
      </c>
      <c r="B342" s="3" t="str" cm="1">
        <f t="array" ref="B342">_xlfn.XLOOKUP($C342,_xlfn.ANCHORARRAY(Symptoms!$B$2),Symptoms!$A$2:$A$15,"Not Found")</f>
        <v>S001</v>
      </c>
      <c r="C342" s="22" t="s">
        <v>3462</v>
      </c>
    </row>
    <row r="343" spans="1:3">
      <c r="A343" s="21" t="s">
        <v>703</v>
      </c>
      <c r="B343" s="3" t="str" cm="1">
        <f t="array" ref="B343">_xlfn.XLOOKUP($C343,_xlfn.ANCHORARRAY(Symptoms!$B$2),Symptoms!$A$2:$A$15,"Not Found")</f>
        <v>S005</v>
      </c>
      <c r="C343" s="22" t="s">
        <v>3461</v>
      </c>
    </row>
    <row r="344" spans="1:3">
      <c r="A344" s="21" t="s">
        <v>704</v>
      </c>
      <c r="B344" s="3" t="str" cm="1">
        <f t="array" ref="B344">_xlfn.XLOOKUP($C344,_xlfn.ANCHORARRAY(Symptoms!$B$2),Symptoms!$A$2:$A$15,"Not Found")</f>
        <v>S013</v>
      </c>
      <c r="C344" s="22" t="s">
        <v>420</v>
      </c>
    </row>
    <row r="345" spans="1:3">
      <c r="A345" s="21" t="s">
        <v>705</v>
      </c>
      <c r="B345" s="3" t="str" cm="1">
        <f t="array" ref="B345">_xlfn.XLOOKUP($C345,_xlfn.ANCHORARRAY(Symptoms!$B$2),Symptoms!$A$2:$A$15,"Not Found")</f>
        <v>S004</v>
      </c>
      <c r="C345" s="22" t="s">
        <v>2876</v>
      </c>
    </row>
    <row r="346" spans="1:3">
      <c r="A346" s="21" t="s">
        <v>705</v>
      </c>
      <c r="B346" s="3" t="str" cm="1">
        <f t="array" ref="B346">_xlfn.XLOOKUP($C346,_xlfn.ANCHORARRAY(Symptoms!$B$2),Symptoms!$A$2:$A$15,"Not Found")</f>
        <v>S008</v>
      </c>
      <c r="C346" s="22" t="s">
        <v>3467</v>
      </c>
    </row>
    <row r="347" spans="1:3">
      <c r="A347" s="21" t="s">
        <v>705</v>
      </c>
      <c r="B347" s="3" t="str" cm="1">
        <f t="array" ref="B347">_xlfn.XLOOKUP($C347,_xlfn.ANCHORARRAY(Symptoms!$B$2),Symptoms!$A$2:$A$15,"Not Found")</f>
        <v>S007</v>
      </c>
      <c r="C347" s="22" t="s">
        <v>3463</v>
      </c>
    </row>
    <row r="348" spans="1:3">
      <c r="A348" s="21" t="s">
        <v>706</v>
      </c>
      <c r="B348" s="3" t="str" cm="1">
        <f t="array" ref="B348">_xlfn.XLOOKUP($C348,_xlfn.ANCHORARRAY(Symptoms!$B$2),Symptoms!$A$2:$A$15,"Not Found")</f>
        <v>S009</v>
      </c>
      <c r="C348" s="22" t="s">
        <v>3464</v>
      </c>
    </row>
    <row r="349" spans="1:3">
      <c r="A349" s="21" t="s">
        <v>706</v>
      </c>
      <c r="B349" s="3" t="str" cm="1">
        <f t="array" ref="B349">_xlfn.XLOOKUP($C349,_xlfn.ANCHORARRAY(Symptoms!$B$2),Symptoms!$A$2:$A$15,"Not Found")</f>
        <v>S001</v>
      </c>
      <c r="C349" s="22" t="s">
        <v>3462</v>
      </c>
    </row>
    <row r="350" spans="1:3">
      <c r="A350" s="21" t="s">
        <v>706</v>
      </c>
      <c r="B350" s="3" t="str" cm="1">
        <f t="array" ref="B350">_xlfn.XLOOKUP($C350,_xlfn.ANCHORARRAY(Symptoms!$B$2),Symptoms!$A$2:$A$15,"Not Found")</f>
        <v>S007</v>
      </c>
      <c r="C350" s="22" t="s">
        <v>3463</v>
      </c>
    </row>
    <row r="351" spans="1:3">
      <c r="A351" s="21" t="s">
        <v>707</v>
      </c>
      <c r="B351" s="3" t="str" cm="1">
        <f t="array" ref="B351">_xlfn.XLOOKUP($C351,_xlfn.ANCHORARRAY(Symptoms!$B$2),Symptoms!$A$2:$A$15,"Not Found")</f>
        <v>S013</v>
      </c>
      <c r="C351" s="22" t="s">
        <v>420</v>
      </c>
    </row>
    <row r="352" spans="1:3">
      <c r="A352" s="21" t="s">
        <v>708</v>
      </c>
      <c r="B352" s="3" t="str" cm="1">
        <f t="array" ref="B352">_xlfn.XLOOKUP($C352,_xlfn.ANCHORARRAY(Symptoms!$B$2),Symptoms!$A$2:$A$15,"Not Found")</f>
        <v>S009</v>
      </c>
      <c r="C352" s="22" t="s">
        <v>3464</v>
      </c>
    </row>
    <row r="353" spans="1:3">
      <c r="A353" s="21" t="s">
        <v>708</v>
      </c>
      <c r="B353" s="3" t="str" cm="1">
        <f t="array" ref="B353">_xlfn.XLOOKUP($C353,_xlfn.ANCHORARRAY(Symptoms!$B$2),Symptoms!$A$2:$A$15,"Not Found")</f>
        <v>S005</v>
      </c>
      <c r="C353" s="22" t="s">
        <v>3461</v>
      </c>
    </row>
    <row r="354" spans="1:3">
      <c r="A354" s="21" t="s">
        <v>709</v>
      </c>
      <c r="B354" s="3" t="str" cm="1">
        <f t="array" ref="B354">_xlfn.XLOOKUP($C354,_xlfn.ANCHORARRAY(Symptoms!$B$2),Symptoms!$A$2:$A$15,"Not Found")</f>
        <v>S005</v>
      </c>
      <c r="C354" s="22" t="s">
        <v>3461</v>
      </c>
    </row>
    <row r="355" spans="1:3">
      <c r="A355" s="21" t="s">
        <v>709</v>
      </c>
      <c r="B355" s="3" t="str" cm="1">
        <f t="array" ref="B355">_xlfn.XLOOKUP($C355,_xlfn.ANCHORARRAY(Symptoms!$B$2),Symptoms!$A$2:$A$15,"Not Found")</f>
        <v>S003</v>
      </c>
      <c r="C355" s="22" t="s">
        <v>2875</v>
      </c>
    </row>
    <row r="356" spans="1:3">
      <c r="A356" s="21" t="s">
        <v>709</v>
      </c>
      <c r="B356" s="3" t="str" cm="1">
        <f t="array" ref="B356">_xlfn.XLOOKUP($C356,_xlfn.ANCHORARRAY(Symptoms!$B$2),Symptoms!$A$2:$A$15,"Not Found")</f>
        <v>S004</v>
      </c>
      <c r="C356" s="22" t="s">
        <v>2876</v>
      </c>
    </row>
    <row r="357" spans="1:3">
      <c r="A357" s="21" t="s">
        <v>710</v>
      </c>
      <c r="B357" s="3" t="str" cm="1">
        <f t="array" ref="B357">_xlfn.XLOOKUP($C357,_xlfn.ANCHORARRAY(Symptoms!$B$2),Symptoms!$A$2:$A$15,"Not Found")</f>
        <v>S007</v>
      </c>
      <c r="C357" s="22" t="s">
        <v>3463</v>
      </c>
    </row>
    <row r="358" spans="1:3">
      <c r="A358" s="21" t="s">
        <v>711</v>
      </c>
      <c r="B358" s="3" t="str" cm="1">
        <f t="array" ref="B358">_xlfn.XLOOKUP($C358,_xlfn.ANCHORARRAY(Symptoms!$B$2),Symptoms!$A$2:$A$15,"Not Found")</f>
        <v>S005</v>
      </c>
      <c r="C358" s="22" t="s">
        <v>3461</v>
      </c>
    </row>
    <row r="359" spans="1:3">
      <c r="A359" s="21" t="s">
        <v>711</v>
      </c>
      <c r="B359" s="3" t="str" cm="1">
        <f t="array" ref="B359">_xlfn.XLOOKUP($C359,_xlfn.ANCHORARRAY(Symptoms!$B$2),Symptoms!$A$2:$A$15,"Not Found")</f>
        <v>S007</v>
      </c>
      <c r="C359" s="22" t="s">
        <v>3463</v>
      </c>
    </row>
    <row r="360" spans="1:3">
      <c r="A360" s="21" t="s">
        <v>712</v>
      </c>
      <c r="B360" s="3" t="str" cm="1">
        <f t="array" ref="B360">_xlfn.XLOOKUP($C360,_xlfn.ANCHORARRAY(Symptoms!$B$2),Symptoms!$A$2:$A$15,"Not Found")</f>
        <v>S007</v>
      </c>
      <c r="C360" s="22" t="s">
        <v>3463</v>
      </c>
    </row>
    <row r="361" spans="1:3">
      <c r="A361" s="21" t="s">
        <v>713</v>
      </c>
      <c r="B361" s="3" t="str" cm="1">
        <f t="array" ref="B361">_xlfn.XLOOKUP($C361,_xlfn.ANCHORARRAY(Symptoms!$B$2),Symptoms!$A$2:$A$15,"Not Found")</f>
        <v>S001</v>
      </c>
      <c r="C361" s="22" t="s">
        <v>3462</v>
      </c>
    </row>
    <row r="362" spans="1:3">
      <c r="A362" s="21" t="s">
        <v>713</v>
      </c>
      <c r="B362" s="3" t="str" cm="1">
        <f t="array" ref="B362">_xlfn.XLOOKUP($C362,_xlfn.ANCHORARRAY(Symptoms!$B$2),Symptoms!$A$2:$A$15,"Not Found")</f>
        <v>S002</v>
      </c>
      <c r="C362" s="22" t="s">
        <v>3466</v>
      </c>
    </row>
    <row r="363" spans="1:3">
      <c r="A363" s="21" t="s">
        <v>714</v>
      </c>
      <c r="B363" s="3" t="str" cm="1">
        <f t="array" ref="B363">_xlfn.XLOOKUP($C363,_xlfn.ANCHORARRAY(Symptoms!$B$2),Symptoms!$A$2:$A$15,"Not Found")</f>
        <v>S005</v>
      </c>
      <c r="C363" s="22" t="s">
        <v>3461</v>
      </c>
    </row>
    <row r="364" spans="1:3">
      <c r="A364" s="21" t="s">
        <v>715</v>
      </c>
      <c r="B364" s="3" t="str" cm="1">
        <f t="array" ref="B364">_xlfn.XLOOKUP($C364,_xlfn.ANCHORARRAY(Symptoms!$B$2),Symptoms!$A$2:$A$15,"Not Found")</f>
        <v>S005</v>
      </c>
      <c r="C364" s="22" t="s">
        <v>3461</v>
      </c>
    </row>
    <row r="365" spans="1:3">
      <c r="A365" s="21" t="s">
        <v>716</v>
      </c>
      <c r="B365" s="3" t="str" cm="1">
        <f t="array" ref="B365">_xlfn.XLOOKUP($C365,_xlfn.ANCHORARRAY(Symptoms!$B$2),Symptoms!$A$2:$A$15,"Not Found")</f>
        <v>S003</v>
      </c>
      <c r="C365" s="22" t="s">
        <v>2875</v>
      </c>
    </row>
    <row r="366" spans="1:3">
      <c r="A366" s="21" t="s">
        <v>716</v>
      </c>
      <c r="B366" s="3" t="str" cm="1">
        <f t="array" ref="B366">_xlfn.XLOOKUP($C366,_xlfn.ANCHORARRAY(Symptoms!$B$2),Symptoms!$A$2:$A$15,"Not Found")</f>
        <v>S004</v>
      </c>
      <c r="C366" s="22" t="s">
        <v>2876</v>
      </c>
    </row>
    <row r="367" spans="1:3">
      <c r="A367" s="21" t="s">
        <v>717</v>
      </c>
      <c r="B367" s="3" t="str" cm="1">
        <f t="array" ref="B367">_xlfn.XLOOKUP($C367,_xlfn.ANCHORARRAY(Symptoms!$B$2),Symptoms!$A$2:$A$15,"Not Found")</f>
        <v>S006</v>
      </c>
      <c r="C367" s="22" t="s">
        <v>2280</v>
      </c>
    </row>
    <row r="368" spans="1:3">
      <c r="A368" s="21" t="s">
        <v>718</v>
      </c>
      <c r="B368" s="3" t="str" cm="1">
        <f t="array" ref="B368">_xlfn.XLOOKUP($C368,_xlfn.ANCHORARRAY(Symptoms!$B$2),Symptoms!$A$2:$A$15,"Not Found")</f>
        <v>S007</v>
      </c>
      <c r="C368" s="22" t="s">
        <v>3463</v>
      </c>
    </row>
    <row r="369" spans="1:3">
      <c r="A369" s="21" t="s">
        <v>719</v>
      </c>
      <c r="B369" s="3" t="str" cm="1">
        <f t="array" ref="B369">_xlfn.XLOOKUP($C369,_xlfn.ANCHORARRAY(Symptoms!$B$2),Symptoms!$A$2:$A$15,"Not Found")</f>
        <v>S007</v>
      </c>
      <c r="C369" s="22" t="s">
        <v>3463</v>
      </c>
    </row>
    <row r="370" spans="1:3">
      <c r="A370" s="21" t="s">
        <v>720</v>
      </c>
      <c r="B370" s="3" t="str" cm="1">
        <f t="array" ref="B370">_xlfn.XLOOKUP($C370,_xlfn.ANCHORARRAY(Symptoms!$B$2),Symptoms!$A$2:$A$15,"Not Found")</f>
        <v>S007</v>
      </c>
      <c r="C370" s="22" t="s">
        <v>3463</v>
      </c>
    </row>
    <row r="371" spans="1:3">
      <c r="A371" s="21" t="s">
        <v>721</v>
      </c>
      <c r="B371" s="3" t="str" cm="1">
        <f t="array" ref="B371">_xlfn.XLOOKUP($C371,_xlfn.ANCHORARRAY(Symptoms!$B$2),Symptoms!$A$2:$A$15,"Not Found")</f>
        <v>S005</v>
      </c>
      <c r="C371" s="22" t="s">
        <v>3461</v>
      </c>
    </row>
    <row r="372" spans="1:3">
      <c r="A372" s="21" t="s">
        <v>721</v>
      </c>
      <c r="B372" s="3" t="str" cm="1">
        <f t="array" ref="B372">_xlfn.XLOOKUP($C372,_xlfn.ANCHORARRAY(Symptoms!$B$2),Symptoms!$A$2:$A$15,"Not Found")</f>
        <v>S007</v>
      </c>
      <c r="C372" s="22" t="s">
        <v>3463</v>
      </c>
    </row>
    <row r="373" spans="1:3">
      <c r="A373" s="21" t="s">
        <v>722</v>
      </c>
      <c r="B373" s="3" t="str" cm="1">
        <f t="array" ref="B373">_xlfn.XLOOKUP($C373,_xlfn.ANCHORARRAY(Symptoms!$B$2),Symptoms!$A$2:$A$15,"Not Found")</f>
        <v>S005</v>
      </c>
      <c r="C373" s="22" t="s">
        <v>3461</v>
      </c>
    </row>
    <row r="374" spans="1:3">
      <c r="A374" s="21" t="s">
        <v>722</v>
      </c>
      <c r="B374" s="3" t="str" cm="1">
        <f t="array" ref="B374">_xlfn.XLOOKUP($C374,_xlfn.ANCHORARRAY(Symptoms!$B$2),Symptoms!$A$2:$A$15,"Not Found")</f>
        <v>S001</v>
      </c>
      <c r="C374" s="22" t="s">
        <v>3462</v>
      </c>
    </row>
    <row r="375" spans="1:3">
      <c r="A375" s="21" t="s">
        <v>722</v>
      </c>
      <c r="B375" s="3" t="str" cm="1">
        <f t="array" ref="B375">_xlfn.XLOOKUP($C375,_xlfn.ANCHORARRAY(Symptoms!$B$2),Symptoms!$A$2:$A$15,"Not Found")</f>
        <v>S009</v>
      </c>
      <c r="C375" s="22" t="s">
        <v>3464</v>
      </c>
    </row>
    <row r="376" spans="1:3">
      <c r="A376" s="21" t="s">
        <v>723</v>
      </c>
      <c r="B376" s="3" t="str" cm="1">
        <f t="array" ref="B376">_xlfn.XLOOKUP($C376,_xlfn.ANCHORARRAY(Symptoms!$B$2),Symptoms!$A$2:$A$15,"Not Found")</f>
        <v>S010</v>
      </c>
      <c r="C376" s="22" t="s">
        <v>3465</v>
      </c>
    </row>
    <row r="377" spans="1:3">
      <c r="A377" s="21" t="s">
        <v>723</v>
      </c>
      <c r="B377" s="3" t="str" cm="1">
        <f t="array" ref="B377">_xlfn.XLOOKUP($C377,_xlfn.ANCHORARRAY(Symptoms!$B$2),Symptoms!$A$2:$A$15,"Not Found")</f>
        <v>S001</v>
      </c>
      <c r="C377" s="22" t="s">
        <v>3462</v>
      </c>
    </row>
    <row r="378" spans="1:3">
      <c r="A378" s="21" t="s">
        <v>724</v>
      </c>
      <c r="B378" s="3" t="str" cm="1">
        <f t="array" ref="B378">_xlfn.XLOOKUP($C378,_xlfn.ANCHORARRAY(Symptoms!$B$2),Symptoms!$A$2:$A$15,"Not Found")</f>
        <v>S005</v>
      </c>
      <c r="C378" s="22" t="s">
        <v>3461</v>
      </c>
    </row>
    <row r="379" spans="1:3">
      <c r="A379" s="21" t="s">
        <v>724</v>
      </c>
      <c r="B379" s="3" t="str" cm="1">
        <f t="array" ref="B379">_xlfn.XLOOKUP($C379,_xlfn.ANCHORARRAY(Symptoms!$B$2),Symptoms!$A$2:$A$15,"Not Found")</f>
        <v>S007</v>
      </c>
      <c r="C379" s="22" t="s">
        <v>3463</v>
      </c>
    </row>
    <row r="380" spans="1:3">
      <c r="A380" s="21" t="s">
        <v>725</v>
      </c>
      <c r="B380" s="3" t="str" cm="1">
        <f t="array" ref="B380">_xlfn.XLOOKUP($C380,_xlfn.ANCHORARRAY(Symptoms!$B$2),Symptoms!$A$2:$A$15,"Not Found")</f>
        <v>S001</v>
      </c>
      <c r="C380" s="22" t="s">
        <v>3462</v>
      </c>
    </row>
    <row r="381" spans="1:3">
      <c r="A381" s="21" t="s">
        <v>726</v>
      </c>
      <c r="B381" s="3" t="str" cm="1">
        <f t="array" ref="B381">_xlfn.XLOOKUP($C381,_xlfn.ANCHORARRAY(Symptoms!$B$2),Symptoms!$A$2:$A$15,"Not Found")</f>
        <v>S005</v>
      </c>
      <c r="C381" s="22" t="s">
        <v>3461</v>
      </c>
    </row>
    <row r="382" spans="1:3">
      <c r="A382" s="21" t="s">
        <v>727</v>
      </c>
      <c r="B382" s="3" t="str" cm="1">
        <f t="array" ref="B382">_xlfn.XLOOKUP($C382,_xlfn.ANCHORARRAY(Symptoms!$B$2),Symptoms!$A$2:$A$15,"Not Found")</f>
        <v>S013</v>
      </c>
      <c r="C382" s="22" t="s">
        <v>420</v>
      </c>
    </row>
    <row r="383" spans="1:3">
      <c r="A383" s="21" t="s">
        <v>728</v>
      </c>
      <c r="B383" s="3" t="str" cm="1">
        <f t="array" ref="B383">_xlfn.XLOOKUP($C383,_xlfn.ANCHORARRAY(Symptoms!$B$2),Symptoms!$A$2:$A$15,"Not Found")</f>
        <v>S004</v>
      </c>
      <c r="C383" s="22" t="s">
        <v>2876</v>
      </c>
    </row>
    <row r="384" spans="1:3">
      <c r="A384" s="21" t="s">
        <v>728</v>
      </c>
      <c r="B384" s="3" t="str" cm="1">
        <f t="array" ref="B384">_xlfn.XLOOKUP($C384,_xlfn.ANCHORARRAY(Symptoms!$B$2),Symptoms!$A$2:$A$15,"Not Found")</f>
        <v>S008</v>
      </c>
      <c r="C384" s="22" t="s">
        <v>3467</v>
      </c>
    </row>
    <row r="385" spans="1:3">
      <c r="A385" s="21" t="s">
        <v>728</v>
      </c>
      <c r="B385" s="3" t="str" cm="1">
        <f t="array" ref="B385">_xlfn.XLOOKUP($C385,_xlfn.ANCHORARRAY(Symptoms!$B$2),Symptoms!$A$2:$A$15,"Not Found")</f>
        <v>S007</v>
      </c>
      <c r="C385" s="22" t="s">
        <v>3463</v>
      </c>
    </row>
    <row r="386" spans="1:3">
      <c r="A386" s="21" t="s">
        <v>729</v>
      </c>
      <c r="B386" s="3" t="str" cm="1">
        <f t="array" ref="B386">_xlfn.XLOOKUP($C386,_xlfn.ANCHORARRAY(Symptoms!$B$2),Symptoms!$A$2:$A$15,"Not Found")</f>
        <v>S009</v>
      </c>
      <c r="C386" s="22" t="s">
        <v>3464</v>
      </c>
    </row>
    <row r="387" spans="1:3">
      <c r="A387" s="21" t="s">
        <v>729</v>
      </c>
      <c r="B387" s="3" t="str" cm="1">
        <f t="array" ref="B387">_xlfn.XLOOKUP($C387,_xlfn.ANCHORARRAY(Symptoms!$B$2),Symptoms!$A$2:$A$15,"Not Found")</f>
        <v>S001</v>
      </c>
      <c r="C387" s="22" t="s">
        <v>3462</v>
      </c>
    </row>
    <row r="388" spans="1:3">
      <c r="A388" s="21" t="s">
        <v>729</v>
      </c>
      <c r="B388" s="3" t="str" cm="1">
        <f t="array" ref="B388">_xlfn.XLOOKUP($C388,_xlfn.ANCHORARRAY(Symptoms!$B$2),Symptoms!$A$2:$A$15,"Not Found")</f>
        <v>S007</v>
      </c>
      <c r="C388" s="22" t="s">
        <v>3463</v>
      </c>
    </row>
    <row r="389" spans="1:3">
      <c r="A389" s="21" t="s">
        <v>730</v>
      </c>
      <c r="B389" s="3" t="str" cm="1">
        <f t="array" ref="B389">_xlfn.XLOOKUP($C389,_xlfn.ANCHORARRAY(Symptoms!$B$2),Symptoms!$A$2:$A$15,"Not Found")</f>
        <v>S013</v>
      </c>
      <c r="C389" s="22" t="s">
        <v>420</v>
      </c>
    </row>
    <row r="390" spans="1:3">
      <c r="A390" s="21" t="s">
        <v>731</v>
      </c>
      <c r="B390" s="3" t="str" cm="1">
        <f t="array" ref="B390">_xlfn.XLOOKUP($C390,_xlfn.ANCHORARRAY(Symptoms!$B$2),Symptoms!$A$2:$A$15,"Not Found")</f>
        <v>S009</v>
      </c>
      <c r="C390" s="22" t="s">
        <v>3464</v>
      </c>
    </row>
    <row r="391" spans="1:3">
      <c r="A391" s="21" t="s">
        <v>731</v>
      </c>
      <c r="B391" s="3" t="str" cm="1">
        <f t="array" ref="B391">_xlfn.XLOOKUP($C391,_xlfn.ANCHORARRAY(Symptoms!$B$2),Symptoms!$A$2:$A$15,"Not Found")</f>
        <v>S005</v>
      </c>
      <c r="C391" s="22" t="s">
        <v>3461</v>
      </c>
    </row>
    <row r="392" spans="1:3">
      <c r="A392" s="21" t="s">
        <v>732</v>
      </c>
      <c r="B392" s="3" t="str" cm="1">
        <f t="array" ref="B392">_xlfn.XLOOKUP($C392,_xlfn.ANCHORARRAY(Symptoms!$B$2),Symptoms!$A$2:$A$15,"Not Found")</f>
        <v>S005</v>
      </c>
      <c r="C392" s="22" t="s">
        <v>3461</v>
      </c>
    </row>
    <row r="393" spans="1:3">
      <c r="A393" s="21" t="s">
        <v>733</v>
      </c>
      <c r="B393" s="3" t="str" cm="1">
        <f t="array" ref="B393">_xlfn.XLOOKUP($C393,_xlfn.ANCHORARRAY(Symptoms!$B$2),Symptoms!$A$2:$A$15,"Not Found")</f>
        <v>S003</v>
      </c>
      <c r="C393" s="22" t="s">
        <v>2875</v>
      </c>
    </row>
    <row r="394" spans="1:3">
      <c r="A394" s="21" t="s">
        <v>733</v>
      </c>
      <c r="B394" s="3" t="str" cm="1">
        <f t="array" ref="B394">_xlfn.XLOOKUP($C394,_xlfn.ANCHORARRAY(Symptoms!$B$2),Symptoms!$A$2:$A$15,"Not Found")</f>
        <v>S004</v>
      </c>
      <c r="C394" s="22" t="s">
        <v>2876</v>
      </c>
    </row>
    <row r="395" spans="1:3">
      <c r="A395" s="21" t="s">
        <v>733</v>
      </c>
      <c r="B395" s="3" t="str" cm="1">
        <f t="array" ref="B395">_xlfn.XLOOKUP($C395,_xlfn.ANCHORARRAY(Symptoms!$B$2),Symptoms!$A$2:$A$15,"Not Found")</f>
        <v>S007</v>
      </c>
      <c r="C395" s="22" t="s">
        <v>3463</v>
      </c>
    </row>
    <row r="396" spans="1:3">
      <c r="A396" s="21" t="s">
        <v>734</v>
      </c>
      <c r="B396" s="3" t="str" cm="1">
        <f t="array" ref="B396">_xlfn.XLOOKUP($C396,_xlfn.ANCHORARRAY(Symptoms!$B$2),Symptoms!$A$2:$A$15,"Not Found")</f>
        <v>S005</v>
      </c>
      <c r="C396" s="22" t="s">
        <v>3461</v>
      </c>
    </row>
    <row r="397" spans="1:3">
      <c r="A397" s="21" t="s">
        <v>734</v>
      </c>
      <c r="B397" s="3" t="str" cm="1">
        <f t="array" ref="B397">_xlfn.XLOOKUP($C397,_xlfn.ANCHORARRAY(Symptoms!$B$2),Symptoms!$A$2:$A$15,"Not Found")</f>
        <v>S007</v>
      </c>
      <c r="C397" s="22" t="s">
        <v>3463</v>
      </c>
    </row>
    <row r="398" spans="1:3">
      <c r="A398" s="21" t="s">
        <v>735</v>
      </c>
      <c r="B398" s="3" t="str" cm="1">
        <f t="array" ref="B398">_xlfn.XLOOKUP($C398,_xlfn.ANCHORARRAY(Symptoms!$B$2),Symptoms!$A$2:$A$15,"Not Found")</f>
        <v>S007</v>
      </c>
      <c r="C398" s="22" t="s">
        <v>3463</v>
      </c>
    </row>
    <row r="399" spans="1:3">
      <c r="A399" s="21" t="s">
        <v>736</v>
      </c>
      <c r="B399" s="3" t="str" cm="1">
        <f t="array" ref="B399">_xlfn.XLOOKUP($C399,_xlfn.ANCHORARRAY(Symptoms!$B$2),Symptoms!$A$2:$A$15,"Not Found")</f>
        <v>S001</v>
      </c>
      <c r="C399" s="22" t="s">
        <v>3462</v>
      </c>
    </row>
    <row r="400" spans="1:3">
      <c r="A400" s="21" t="s">
        <v>736</v>
      </c>
      <c r="B400" s="3" t="str" cm="1">
        <f t="array" ref="B400">_xlfn.XLOOKUP($C400,_xlfn.ANCHORARRAY(Symptoms!$B$2),Symptoms!$A$2:$A$15,"Not Found")</f>
        <v>S002</v>
      </c>
      <c r="C400" s="22" t="s">
        <v>3466</v>
      </c>
    </row>
    <row r="401" spans="1:3">
      <c r="A401" s="21" t="s">
        <v>737</v>
      </c>
      <c r="B401" s="3" t="str" cm="1">
        <f t="array" ref="B401">_xlfn.XLOOKUP($C401,_xlfn.ANCHORARRAY(Symptoms!$B$2),Symptoms!$A$2:$A$15,"Not Found")</f>
        <v>S005</v>
      </c>
      <c r="C401" s="22" t="s">
        <v>3461</v>
      </c>
    </row>
    <row r="402" spans="1:3">
      <c r="A402" s="21" t="s">
        <v>738</v>
      </c>
      <c r="B402" s="3" t="str" cm="1">
        <f t="array" ref="B402">_xlfn.XLOOKUP($C402,_xlfn.ANCHORARRAY(Symptoms!$B$2),Symptoms!$A$2:$A$15,"Not Found")</f>
        <v>S005</v>
      </c>
      <c r="C402" s="22" t="s">
        <v>3461</v>
      </c>
    </row>
    <row r="403" spans="1:3">
      <c r="A403" s="21" t="s">
        <v>739</v>
      </c>
      <c r="B403" s="3" t="str" cm="1">
        <f t="array" ref="B403">_xlfn.XLOOKUP($C403,_xlfn.ANCHORARRAY(Symptoms!$B$2),Symptoms!$A$2:$A$15,"Not Found")</f>
        <v>S003</v>
      </c>
      <c r="C403" s="22" t="s">
        <v>2875</v>
      </c>
    </row>
    <row r="404" spans="1:3">
      <c r="A404" s="21" t="s">
        <v>739</v>
      </c>
      <c r="B404" s="3" t="str" cm="1">
        <f t="array" ref="B404">_xlfn.XLOOKUP($C404,_xlfn.ANCHORARRAY(Symptoms!$B$2),Symptoms!$A$2:$A$15,"Not Found")</f>
        <v>S004</v>
      </c>
      <c r="C404" s="22" t="s">
        <v>2876</v>
      </c>
    </row>
    <row r="405" spans="1:3">
      <c r="A405" s="21" t="s">
        <v>740</v>
      </c>
      <c r="B405" s="3" t="str" cm="1">
        <f t="array" ref="B405">_xlfn.XLOOKUP($C405,_xlfn.ANCHORARRAY(Symptoms!$B$2),Symptoms!$A$2:$A$15,"Not Found")</f>
        <v>S006</v>
      </c>
      <c r="C405" s="22" t="s">
        <v>2280</v>
      </c>
    </row>
    <row r="406" spans="1:3">
      <c r="A406" s="21" t="s">
        <v>741</v>
      </c>
      <c r="B406" s="3" t="str" cm="1">
        <f t="array" ref="B406">_xlfn.XLOOKUP($C406,_xlfn.ANCHORARRAY(Symptoms!$B$2),Symptoms!$A$2:$A$15,"Not Found")</f>
        <v>S007</v>
      </c>
      <c r="C406" s="22" t="s">
        <v>3463</v>
      </c>
    </row>
    <row r="407" spans="1:3">
      <c r="A407" s="21" t="s">
        <v>742</v>
      </c>
      <c r="B407" s="3" t="str" cm="1">
        <f t="array" ref="B407">_xlfn.XLOOKUP($C407,_xlfn.ANCHORARRAY(Symptoms!$B$2),Symptoms!$A$2:$A$15,"Not Found")</f>
        <v>S007</v>
      </c>
      <c r="C407" s="22" t="s">
        <v>3463</v>
      </c>
    </row>
    <row r="408" spans="1:3">
      <c r="A408" s="21" t="s">
        <v>743</v>
      </c>
      <c r="B408" s="3" t="str" cm="1">
        <f t="array" ref="B408">_xlfn.XLOOKUP($C408,_xlfn.ANCHORARRAY(Symptoms!$B$2),Symptoms!$A$2:$A$15,"Not Found")</f>
        <v>S007</v>
      </c>
      <c r="C408" s="22" t="s">
        <v>3463</v>
      </c>
    </row>
    <row r="409" spans="1:3">
      <c r="A409" s="21" t="s">
        <v>744</v>
      </c>
      <c r="B409" s="3" t="str" cm="1">
        <f t="array" ref="B409">_xlfn.XLOOKUP($C409,_xlfn.ANCHORARRAY(Symptoms!$B$2),Symptoms!$A$2:$A$15,"Not Found")</f>
        <v>S005</v>
      </c>
      <c r="C409" s="22" t="s">
        <v>3461</v>
      </c>
    </row>
    <row r="410" spans="1:3">
      <c r="A410" s="21" t="s">
        <v>744</v>
      </c>
      <c r="B410" s="3" t="str" cm="1">
        <f t="array" ref="B410">_xlfn.XLOOKUP($C410,_xlfn.ANCHORARRAY(Symptoms!$B$2),Symptoms!$A$2:$A$15,"Not Found")</f>
        <v>S007</v>
      </c>
      <c r="C410" s="22" t="s">
        <v>3463</v>
      </c>
    </row>
    <row r="411" spans="1:3">
      <c r="A411" s="21" t="s">
        <v>745</v>
      </c>
      <c r="B411" s="3" t="str" cm="1">
        <f t="array" ref="B411">_xlfn.XLOOKUP($C411,_xlfn.ANCHORARRAY(Symptoms!$B$2),Symptoms!$A$2:$A$15,"Not Found")</f>
        <v>S005</v>
      </c>
      <c r="C411" s="22" t="s">
        <v>3461</v>
      </c>
    </row>
    <row r="412" spans="1:3">
      <c r="A412" s="21" t="s">
        <v>745</v>
      </c>
      <c r="B412" s="3" t="str" cm="1">
        <f t="array" ref="B412">_xlfn.XLOOKUP($C412,_xlfn.ANCHORARRAY(Symptoms!$B$2),Symptoms!$A$2:$A$15,"Not Found")</f>
        <v>S001</v>
      </c>
      <c r="C412" s="22" t="s">
        <v>3462</v>
      </c>
    </row>
    <row r="413" spans="1:3">
      <c r="A413" s="21" t="s">
        <v>745</v>
      </c>
      <c r="B413" s="3" t="str" cm="1">
        <f t="array" ref="B413">_xlfn.XLOOKUP($C413,_xlfn.ANCHORARRAY(Symptoms!$B$2),Symptoms!$A$2:$A$15,"Not Found")</f>
        <v>S009</v>
      </c>
      <c r="C413" s="22" t="s">
        <v>3464</v>
      </c>
    </row>
    <row r="414" spans="1:3">
      <c r="A414" s="21" t="s">
        <v>746</v>
      </c>
      <c r="B414" s="3" t="str" cm="1">
        <f t="array" ref="B414">_xlfn.XLOOKUP($C414,_xlfn.ANCHORARRAY(Symptoms!$B$2),Symptoms!$A$2:$A$15,"Not Found")</f>
        <v>S010</v>
      </c>
      <c r="C414" s="22" t="s">
        <v>3465</v>
      </c>
    </row>
    <row r="415" spans="1:3">
      <c r="A415" s="21" t="s">
        <v>746</v>
      </c>
      <c r="B415" s="3" t="str" cm="1">
        <f t="array" ref="B415">_xlfn.XLOOKUP($C415,_xlfn.ANCHORARRAY(Symptoms!$B$2),Symptoms!$A$2:$A$15,"Not Found")</f>
        <v>S001</v>
      </c>
      <c r="C415" s="22" t="s">
        <v>3462</v>
      </c>
    </row>
    <row r="416" spans="1:3">
      <c r="A416" s="21" t="s">
        <v>747</v>
      </c>
      <c r="B416" s="3" t="str" cm="1">
        <f t="array" ref="B416">_xlfn.XLOOKUP($C416,_xlfn.ANCHORARRAY(Symptoms!$B$2),Symptoms!$A$2:$A$15,"Not Found")</f>
        <v>S005</v>
      </c>
      <c r="C416" s="22" t="s">
        <v>3461</v>
      </c>
    </row>
    <row r="417" spans="1:3">
      <c r="A417" s="21" t="s">
        <v>747</v>
      </c>
      <c r="B417" s="3" t="str" cm="1">
        <f t="array" ref="B417">_xlfn.XLOOKUP($C417,_xlfn.ANCHORARRAY(Symptoms!$B$2),Symptoms!$A$2:$A$15,"Not Found")</f>
        <v>S007</v>
      </c>
      <c r="C417" s="22" t="s">
        <v>3463</v>
      </c>
    </row>
    <row r="418" spans="1:3">
      <c r="A418" s="21" t="s">
        <v>748</v>
      </c>
      <c r="B418" s="3" t="str" cm="1">
        <f t="array" ref="B418">_xlfn.XLOOKUP($C418,_xlfn.ANCHORARRAY(Symptoms!$B$2),Symptoms!$A$2:$A$15,"Not Found")</f>
        <v>S001</v>
      </c>
      <c r="C418" s="22" t="s">
        <v>3462</v>
      </c>
    </row>
    <row r="419" spans="1:3">
      <c r="A419" s="21" t="s">
        <v>749</v>
      </c>
      <c r="B419" s="3" t="str" cm="1">
        <f t="array" ref="B419">_xlfn.XLOOKUP($C419,_xlfn.ANCHORARRAY(Symptoms!$B$2),Symptoms!$A$2:$A$15,"Not Found")</f>
        <v>S005</v>
      </c>
      <c r="C419" s="22" t="s">
        <v>3461</v>
      </c>
    </row>
    <row r="420" spans="1:3">
      <c r="A420" s="21" t="s">
        <v>750</v>
      </c>
      <c r="B420" s="3" t="str" cm="1">
        <f t="array" ref="B420">_xlfn.XLOOKUP($C420,_xlfn.ANCHORARRAY(Symptoms!$B$2),Symptoms!$A$2:$A$15,"Not Found")</f>
        <v>S013</v>
      </c>
      <c r="C420" s="22" t="s">
        <v>420</v>
      </c>
    </row>
    <row r="421" spans="1:3">
      <c r="A421" s="21" t="s">
        <v>751</v>
      </c>
      <c r="B421" s="3" t="str" cm="1">
        <f t="array" ref="B421">_xlfn.XLOOKUP($C421,_xlfn.ANCHORARRAY(Symptoms!$B$2),Symptoms!$A$2:$A$15,"Not Found")</f>
        <v>S004</v>
      </c>
      <c r="C421" s="22" t="s">
        <v>2876</v>
      </c>
    </row>
    <row r="422" spans="1:3">
      <c r="A422" s="21" t="s">
        <v>751</v>
      </c>
      <c r="B422" s="3" t="str" cm="1">
        <f t="array" ref="B422">_xlfn.XLOOKUP($C422,_xlfn.ANCHORARRAY(Symptoms!$B$2),Symptoms!$A$2:$A$15,"Not Found")</f>
        <v>S008</v>
      </c>
      <c r="C422" s="22" t="s">
        <v>3467</v>
      </c>
    </row>
    <row r="423" spans="1:3">
      <c r="A423" s="21" t="s">
        <v>751</v>
      </c>
      <c r="B423" s="3" t="str" cm="1">
        <f t="array" ref="B423">_xlfn.XLOOKUP($C423,_xlfn.ANCHORARRAY(Symptoms!$B$2),Symptoms!$A$2:$A$15,"Not Found")</f>
        <v>S007</v>
      </c>
      <c r="C423" s="22" t="s">
        <v>3463</v>
      </c>
    </row>
    <row r="424" spans="1:3">
      <c r="A424" s="21" t="s">
        <v>752</v>
      </c>
      <c r="B424" s="3" t="str" cm="1">
        <f t="array" ref="B424">_xlfn.XLOOKUP($C424,_xlfn.ANCHORARRAY(Symptoms!$B$2),Symptoms!$A$2:$A$15,"Not Found")</f>
        <v>S009</v>
      </c>
      <c r="C424" s="22" t="s">
        <v>3464</v>
      </c>
    </row>
    <row r="425" spans="1:3">
      <c r="A425" s="21" t="s">
        <v>752</v>
      </c>
      <c r="B425" s="3" t="str" cm="1">
        <f t="array" ref="B425">_xlfn.XLOOKUP($C425,_xlfn.ANCHORARRAY(Symptoms!$B$2),Symptoms!$A$2:$A$15,"Not Found")</f>
        <v>S001</v>
      </c>
      <c r="C425" s="22" t="s">
        <v>3462</v>
      </c>
    </row>
    <row r="426" spans="1:3">
      <c r="A426" s="21" t="s">
        <v>752</v>
      </c>
      <c r="B426" s="3" t="str" cm="1">
        <f t="array" ref="B426">_xlfn.XLOOKUP($C426,_xlfn.ANCHORARRAY(Symptoms!$B$2),Symptoms!$A$2:$A$15,"Not Found")</f>
        <v>S007</v>
      </c>
      <c r="C426" s="22" t="s">
        <v>3463</v>
      </c>
    </row>
    <row r="427" spans="1:3">
      <c r="A427" s="21" t="s">
        <v>753</v>
      </c>
      <c r="B427" s="3" t="str" cm="1">
        <f t="array" ref="B427">_xlfn.XLOOKUP($C427,_xlfn.ANCHORARRAY(Symptoms!$B$2),Symptoms!$A$2:$A$15,"Not Found")</f>
        <v>S013</v>
      </c>
      <c r="C427" s="22" t="s">
        <v>420</v>
      </c>
    </row>
    <row r="428" spans="1:3">
      <c r="A428" s="21" t="s">
        <v>754</v>
      </c>
      <c r="B428" s="3" t="str" cm="1">
        <f t="array" ref="B428">_xlfn.XLOOKUP($C428,_xlfn.ANCHORARRAY(Symptoms!$B$2),Symptoms!$A$2:$A$15,"Not Found")</f>
        <v>S009</v>
      </c>
      <c r="C428" s="22" t="s">
        <v>3464</v>
      </c>
    </row>
    <row r="429" spans="1:3">
      <c r="A429" s="21" t="s">
        <v>754</v>
      </c>
      <c r="B429" s="3" t="str" cm="1">
        <f t="array" ref="B429">_xlfn.XLOOKUP($C429,_xlfn.ANCHORARRAY(Symptoms!$B$2),Symptoms!$A$2:$A$15,"Not Found")</f>
        <v>S005</v>
      </c>
      <c r="C429" s="22" t="s">
        <v>3461</v>
      </c>
    </row>
    <row r="430" spans="1:3">
      <c r="A430" s="21" t="s">
        <v>755</v>
      </c>
      <c r="B430" s="3" t="str" cm="1">
        <f t="array" ref="B430">_xlfn.XLOOKUP($C430,_xlfn.ANCHORARRAY(Symptoms!$B$2),Symptoms!$A$2:$A$15,"Not Found")</f>
        <v>S005</v>
      </c>
      <c r="C430" s="22" t="s">
        <v>3461</v>
      </c>
    </row>
    <row r="431" spans="1:3">
      <c r="A431" s="21" t="s">
        <v>756</v>
      </c>
      <c r="B431" s="3" t="str" cm="1">
        <f t="array" ref="B431">_xlfn.XLOOKUP($C431,_xlfn.ANCHORARRAY(Symptoms!$B$2),Symptoms!$A$2:$A$15,"Not Found")</f>
        <v>S003</v>
      </c>
      <c r="C431" s="22" t="s">
        <v>2875</v>
      </c>
    </row>
    <row r="432" spans="1:3">
      <c r="A432" s="21" t="s">
        <v>756</v>
      </c>
      <c r="B432" s="3" t="str" cm="1">
        <f t="array" ref="B432">_xlfn.XLOOKUP($C432,_xlfn.ANCHORARRAY(Symptoms!$B$2),Symptoms!$A$2:$A$15,"Not Found")</f>
        <v>S004</v>
      </c>
      <c r="C432" s="22" t="s">
        <v>2876</v>
      </c>
    </row>
    <row r="433" spans="1:3">
      <c r="A433" s="21" t="s">
        <v>757</v>
      </c>
      <c r="B433" s="3" t="str" cm="1">
        <f t="array" ref="B433">_xlfn.XLOOKUP($C433,_xlfn.ANCHORARRAY(Symptoms!$B$2),Symptoms!$A$2:$A$15,"Not Found")</f>
        <v>S007</v>
      </c>
      <c r="C433" s="22" t="s">
        <v>3463</v>
      </c>
    </row>
    <row r="434" spans="1:3">
      <c r="A434" s="21" t="s">
        <v>757</v>
      </c>
      <c r="B434" s="3" t="str" cm="1">
        <f t="array" ref="B434">_xlfn.XLOOKUP($C434,_xlfn.ANCHORARRAY(Symptoms!$B$2),Symptoms!$A$2:$A$15,"Not Found")</f>
        <v>S005</v>
      </c>
      <c r="C434" s="22" t="s">
        <v>3461</v>
      </c>
    </row>
    <row r="435" spans="1:3">
      <c r="A435" s="21" t="s">
        <v>757</v>
      </c>
      <c r="B435" s="3" t="str" cm="1">
        <f t="array" ref="B435">_xlfn.XLOOKUP($C435,_xlfn.ANCHORARRAY(Symptoms!$B$2),Symptoms!$A$2:$A$15,"Not Found")</f>
        <v>S007</v>
      </c>
      <c r="C435" s="22" t="s">
        <v>3463</v>
      </c>
    </row>
    <row r="436" spans="1:3">
      <c r="A436" s="21" t="s">
        <v>758</v>
      </c>
      <c r="B436" s="3" t="str" cm="1">
        <f t="array" ref="B436">_xlfn.XLOOKUP($C436,_xlfn.ANCHORARRAY(Symptoms!$B$2),Symptoms!$A$2:$A$15,"Not Found")</f>
        <v>S007</v>
      </c>
      <c r="C436" s="22" t="s">
        <v>3463</v>
      </c>
    </row>
    <row r="437" spans="1:3">
      <c r="A437" s="21" t="s">
        <v>759</v>
      </c>
      <c r="B437" s="3" t="str" cm="1">
        <f t="array" ref="B437">_xlfn.XLOOKUP($C437,_xlfn.ANCHORARRAY(Symptoms!$B$2),Symptoms!$A$2:$A$15,"Not Found")</f>
        <v>S001</v>
      </c>
      <c r="C437" s="22" t="s">
        <v>3462</v>
      </c>
    </row>
    <row r="438" spans="1:3">
      <c r="A438" s="21" t="s">
        <v>759</v>
      </c>
      <c r="B438" s="3" t="str" cm="1">
        <f t="array" ref="B438">_xlfn.XLOOKUP($C438,_xlfn.ANCHORARRAY(Symptoms!$B$2),Symptoms!$A$2:$A$15,"Not Found")</f>
        <v>S002</v>
      </c>
      <c r="C438" s="22" t="s">
        <v>3466</v>
      </c>
    </row>
    <row r="439" spans="1:3">
      <c r="A439" s="21" t="s">
        <v>760</v>
      </c>
      <c r="B439" s="3" t="str" cm="1">
        <f t="array" ref="B439">_xlfn.XLOOKUP($C439,_xlfn.ANCHORARRAY(Symptoms!$B$2),Symptoms!$A$2:$A$15,"Not Found")</f>
        <v>S005</v>
      </c>
      <c r="C439" s="22" t="s">
        <v>3461</v>
      </c>
    </row>
    <row r="440" spans="1:3">
      <c r="A440" s="21" t="s">
        <v>761</v>
      </c>
      <c r="B440" s="3" t="str" cm="1">
        <f t="array" ref="B440">_xlfn.XLOOKUP($C440,_xlfn.ANCHORARRAY(Symptoms!$B$2),Symptoms!$A$2:$A$15,"Not Found")</f>
        <v>S005</v>
      </c>
      <c r="C440" s="22" t="s">
        <v>3461</v>
      </c>
    </row>
    <row r="441" spans="1:3">
      <c r="A441" s="21" t="s">
        <v>762</v>
      </c>
      <c r="B441" s="3" t="str" cm="1">
        <f t="array" ref="B441">_xlfn.XLOOKUP($C441,_xlfn.ANCHORARRAY(Symptoms!$B$2),Symptoms!$A$2:$A$15,"Not Found")</f>
        <v>S003</v>
      </c>
      <c r="C441" s="22" t="s">
        <v>2875</v>
      </c>
    </row>
    <row r="442" spans="1:3">
      <c r="A442" s="21" t="s">
        <v>762</v>
      </c>
      <c r="B442" s="3" t="str" cm="1">
        <f t="array" ref="B442">_xlfn.XLOOKUP($C442,_xlfn.ANCHORARRAY(Symptoms!$B$2),Symptoms!$A$2:$A$15,"Not Found")</f>
        <v>S004</v>
      </c>
      <c r="C442" s="22" t="s">
        <v>2876</v>
      </c>
    </row>
    <row r="443" spans="1:3">
      <c r="A443" s="21" t="s">
        <v>763</v>
      </c>
      <c r="B443" s="3" t="str" cm="1">
        <f t="array" ref="B443">_xlfn.XLOOKUP($C443,_xlfn.ANCHORARRAY(Symptoms!$B$2),Symptoms!$A$2:$A$15,"Not Found")</f>
        <v>S006</v>
      </c>
      <c r="C443" s="22" t="s">
        <v>2280</v>
      </c>
    </row>
    <row r="444" spans="1:3">
      <c r="A444" s="21" t="s">
        <v>764</v>
      </c>
      <c r="B444" s="3" t="str" cm="1">
        <f t="array" ref="B444">_xlfn.XLOOKUP($C444,_xlfn.ANCHORARRAY(Symptoms!$B$2),Symptoms!$A$2:$A$15,"Not Found")</f>
        <v>S007</v>
      </c>
      <c r="C444" s="22" t="s">
        <v>3463</v>
      </c>
    </row>
    <row r="445" spans="1:3">
      <c r="A445" s="21" t="s">
        <v>765</v>
      </c>
      <c r="B445" s="3" t="str" cm="1">
        <f t="array" ref="B445">_xlfn.XLOOKUP($C445,_xlfn.ANCHORARRAY(Symptoms!$B$2),Symptoms!$A$2:$A$15,"Not Found")</f>
        <v>S007</v>
      </c>
      <c r="C445" s="22" t="s">
        <v>3463</v>
      </c>
    </row>
    <row r="446" spans="1:3">
      <c r="A446" s="21" t="s">
        <v>766</v>
      </c>
      <c r="B446" s="3" t="str" cm="1">
        <f t="array" ref="B446">_xlfn.XLOOKUP($C446,_xlfn.ANCHORARRAY(Symptoms!$B$2),Symptoms!$A$2:$A$15,"Not Found")</f>
        <v>S007</v>
      </c>
      <c r="C446" s="22" t="s">
        <v>3463</v>
      </c>
    </row>
    <row r="447" spans="1:3">
      <c r="A447" s="21" t="s">
        <v>767</v>
      </c>
      <c r="B447" s="3" t="str" cm="1">
        <f t="array" ref="B447">_xlfn.XLOOKUP($C447,_xlfn.ANCHORARRAY(Symptoms!$B$2),Symptoms!$A$2:$A$15,"Not Found")</f>
        <v>S005</v>
      </c>
      <c r="C447" s="22" t="s">
        <v>3461</v>
      </c>
    </row>
    <row r="448" spans="1:3">
      <c r="A448" s="21" t="s">
        <v>767</v>
      </c>
      <c r="B448" s="3" t="str" cm="1">
        <f t="array" ref="B448">_xlfn.XLOOKUP($C448,_xlfn.ANCHORARRAY(Symptoms!$B$2),Symptoms!$A$2:$A$15,"Not Found")</f>
        <v>S007</v>
      </c>
      <c r="C448" s="22" t="s">
        <v>3463</v>
      </c>
    </row>
    <row r="449" spans="1:3">
      <c r="A449" s="21" t="s">
        <v>768</v>
      </c>
      <c r="B449" s="3" t="str" cm="1">
        <f t="array" ref="B449">_xlfn.XLOOKUP($C449,_xlfn.ANCHORARRAY(Symptoms!$B$2),Symptoms!$A$2:$A$15,"Not Found")</f>
        <v>S005</v>
      </c>
      <c r="C449" s="22" t="s">
        <v>3461</v>
      </c>
    </row>
    <row r="450" spans="1:3">
      <c r="A450" s="21" t="s">
        <v>768</v>
      </c>
      <c r="B450" s="3" t="str" cm="1">
        <f t="array" ref="B450">_xlfn.XLOOKUP($C450,_xlfn.ANCHORARRAY(Symptoms!$B$2),Symptoms!$A$2:$A$15,"Not Found")</f>
        <v>S001</v>
      </c>
      <c r="C450" s="22" t="s">
        <v>3462</v>
      </c>
    </row>
    <row r="451" spans="1:3">
      <c r="A451" s="21" t="s">
        <v>768</v>
      </c>
      <c r="B451" s="3" t="str" cm="1">
        <f t="array" ref="B451">_xlfn.XLOOKUP($C451,_xlfn.ANCHORARRAY(Symptoms!$B$2),Symptoms!$A$2:$A$15,"Not Found")</f>
        <v>S009</v>
      </c>
      <c r="C451" s="22" t="s">
        <v>3464</v>
      </c>
    </row>
    <row r="452" spans="1:3">
      <c r="A452" s="21" t="s">
        <v>769</v>
      </c>
      <c r="B452" s="3" t="str" cm="1">
        <f t="array" ref="B452">_xlfn.XLOOKUP($C452,_xlfn.ANCHORARRAY(Symptoms!$B$2),Symptoms!$A$2:$A$15,"Not Found")</f>
        <v>S010</v>
      </c>
      <c r="C452" s="22" t="s">
        <v>3465</v>
      </c>
    </row>
    <row r="453" spans="1:3">
      <c r="A453" s="21" t="s">
        <v>769</v>
      </c>
      <c r="B453" s="3" t="str" cm="1">
        <f t="array" ref="B453">_xlfn.XLOOKUP($C453,_xlfn.ANCHORARRAY(Symptoms!$B$2),Symptoms!$A$2:$A$15,"Not Found")</f>
        <v>S001</v>
      </c>
      <c r="C453" s="22" t="s">
        <v>3462</v>
      </c>
    </row>
    <row r="454" spans="1:3">
      <c r="A454" s="21" t="s">
        <v>770</v>
      </c>
      <c r="B454" s="3" t="str" cm="1">
        <f t="array" ref="B454">_xlfn.XLOOKUP($C454,_xlfn.ANCHORARRAY(Symptoms!$B$2),Symptoms!$A$2:$A$15,"Not Found")</f>
        <v>S005</v>
      </c>
      <c r="C454" s="22" t="s">
        <v>3461</v>
      </c>
    </row>
    <row r="455" spans="1:3">
      <c r="A455" s="21" t="s">
        <v>770</v>
      </c>
      <c r="B455" s="3" t="str" cm="1">
        <f t="array" ref="B455">_xlfn.XLOOKUP($C455,_xlfn.ANCHORARRAY(Symptoms!$B$2),Symptoms!$A$2:$A$15,"Not Found")</f>
        <v>S007</v>
      </c>
      <c r="C455" s="22" t="s">
        <v>3463</v>
      </c>
    </row>
    <row r="456" spans="1:3">
      <c r="A456" s="21" t="s">
        <v>771</v>
      </c>
      <c r="B456" s="3" t="str" cm="1">
        <f t="array" ref="B456">_xlfn.XLOOKUP($C456,_xlfn.ANCHORARRAY(Symptoms!$B$2),Symptoms!$A$2:$A$15,"Not Found")</f>
        <v>S001</v>
      </c>
      <c r="C456" s="22" t="s">
        <v>3462</v>
      </c>
    </row>
    <row r="457" spans="1:3">
      <c r="A457" s="21" t="s">
        <v>772</v>
      </c>
      <c r="B457" s="3" t="str" cm="1">
        <f t="array" ref="B457">_xlfn.XLOOKUP($C457,_xlfn.ANCHORARRAY(Symptoms!$B$2),Symptoms!$A$2:$A$15,"Not Found")</f>
        <v>S005</v>
      </c>
      <c r="C457" s="22" t="s">
        <v>3461</v>
      </c>
    </row>
    <row r="458" spans="1:3">
      <c r="A458" s="21" t="s">
        <v>773</v>
      </c>
      <c r="B458" s="3" t="str" cm="1">
        <f t="array" ref="B458">_xlfn.XLOOKUP($C458,_xlfn.ANCHORARRAY(Symptoms!$B$2),Symptoms!$A$2:$A$15,"Not Found")</f>
        <v>S013</v>
      </c>
      <c r="C458" s="22" t="s">
        <v>420</v>
      </c>
    </row>
    <row r="459" spans="1:3">
      <c r="A459" s="21" t="s">
        <v>774</v>
      </c>
      <c r="B459" s="3" t="str" cm="1">
        <f t="array" ref="B459">_xlfn.XLOOKUP($C459,_xlfn.ANCHORARRAY(Symptoms!$B$2),Symptoms!$A$2:$A$15,"Not Found")</f>
        <v>S004</v>
      </c>
      <c r="C459" s="22" t="s">
        <v>2876</v>
      </c>
    </row>
    <row r="460" spans="1:3">
      <c r="A460" s="21" t="s">
        <v>774</v>
      </c>
      <c r="B460" s="3" t="str" cm="1">
        <f t="array" ref="B460">_xlfn.XLOOKUP($C460,_xlfn.ANCHORARRAY(Symptoms!$B$2),Symptoms!$A$2:$A$15,"Not Found")</f>
        <v>S008</v>
      </c>
      <c r="C460" s="22" t="s">
        <v>3467</v>
      </c>
    </row>
    <row r="461" spans="1:3">
      <c r="A461" s="21" t="s">
        <v>774</v>
      </c>
      <c r="B461" s="3" t="str" cm="1">
        <f t="array" ref="B461">_xlfn.XLOOKUP($C461,_xlfn.ANCHORARRAY(Symptoms!$B$2),Symptoms!$A$2:$A$15,"Not Found")</f>
        <v>S007</v>
      </c>
      <c r="C461" s="22" t="s">
        <v>3463</v>
      </c>
    </row>
    <row r="462" spans="1:3">
      <c r="A462" s="21" t="s">
        <v>775</v>
      </c>
      <c r="B462" s="3" t="str" cm="1">
        <f t="array" ref="B462">_xlfn.XLOOKUP($C462,_xlfn.ANCHORARRAY(Symptoms!$B$2),Symptoms!$A$2:$A$15,"Not Found")</f>
        <v>S009</v>
      </c>
      <c r="C462" s="22" t="s">
        <v>3464</v>
      </c>
    </row>
    <row r="463" spans="1:3">
      <c r="A463" s="21" t="s">
        <v>775</v>
      </c>
      <c r="B463" s="3" t="str" cm="1">
        <f t="array" ref="B463">_xlfn.XLOOKUP($C463,_xlfn.ANCHORARRAY(Symptoms!$B$2),Symptoms!$A$2:$A$15,"Not Found")</f>
        <v>S001</v>
      </c>
      <c r="C463" s="22" t="s">
        <v>3462</v>
      </c>
    </row>
    <row r="464" spans="1:3">
      <c r="A464" s="21" t="s">
        <v>775</v>
      </c>
      <c r="B464" s="3" t="str" cm="1">
        <f t="array" ref="B464">_xlfn.XLOOKUP($C464,_xlfn.ANCHORARRAY(Symptoms!$B$2),Symptoms!$A$2:$A$15,"Not Found")</f>
        <v>S007</v>
      </c>
      <c r="C464" s="22" t="s">
        <v>3463</v>
      </c>
    </row>
    <row r="465" spans="1:3">
      <c r="A465" s="21" t="s">
        <v>776</v>
      </c>
      <c r="B465" s="3" t="str" cm="1">
        <f t="array" ref="B465">_xlfn.XLOOKUP($C465,_xlfn.ANCHORARRAY(Symptoms!$B$2),Symptoms!$A$2:$A$15,"Not Found")</f>
        <v>S013</v>
      </c>
      <c r="C465" s="22" t="s">
        <v>420</v>
      </c>
    </row>
    <row r="466" spans="1:3">
      <c r="A466" s="21" t="s">
        <v>777</v>
      </c>
      <c r="B466" s="3" t="str" cm="1">
        <f t="array" ref="B466">_xlfn.XLOOKUP($C466,_xlfn.ANCHORARRAY(Symptoms!$B$2),Symptoms!$A$2:$A$15,"Not Found")</f>
        <v>S009</v>
      </c>
      <c r="C466" s="22" t="s">
        <v>3464</v>
      </c>
    </row>
    <row r="467" spans="1:3">
      <c r="A467" s="21" t="s">
        <v>777</v>
      </c>
      <c r="B467" s="3" t="str" cm="1">
        <f t="array" ref="B467">_xlfn.XLOOKUP($C467,_xlfn.ANCHORARRAY(Symptoms!$B$2),Symptoms!$A$2:$A$15,"Not Found")</f>
        <v>S005</v>
      </c>
      <c r="C467" s="22" t="s">
        <v>3461</v>
      </c>
    </row>
    <row r="468" spans="1:3">
      <c r="A468" s="21" t="s">
        <v>778</v>
      </c>
      <c r="B468" s="3" t="str" cm="1">
        <f t="array" ref="B468">_xlfn.XLOOKUP($C468,_xlfn.ANCHORARRAY(Symptoms!$B$2),Symptoms!$A$2:$A$15,"Not Found")</f>
        <v>S005</v>
      </c>
      <c r="C468" s="22" t="s">
        <v>3461</v>
      </c>
    </row>
    <row r="469" spans="1:3">
      <c r="A469" s="21" t="s">
        <v>779</v>
      </c>
      <c r="B469" s="3" t="str" cm="1">
        <f t="array" ref="B469">_xlfn.XLOOKUP($C469,_xlfn.ANCHORARRAY(Symptoms!$B$2),Symptoms!$A$2:$A$15,"Not Found")</f>
        <v>S003</v>
      </c>
      <c r="C469" s="22" t="s">
        <v>2875</v>
      </c>
    </row>
    <row r="470" spans="1:3">
      <c r="A470" s="21" t="s">
        <v>779</v>
      </c>
      <c r="B470" s="3" t="str" cm="1">
        <f t="array" ref="B470">_xlfn.XLOOKUP($C470,_xlfn.ANCHORARRAY(Symptoms!$B$2),Symptoms!$A$2:$A$15,"Not Found")</f>
        <v>S004</v>
      </c>
      <c r="C470" s="22" t="s">
        <v>2876</v>
      </c>
    </row>
    <row r="471" spans="1:3">
      <c r="A471" s="21" t="s">
        <v>780</v>
      </c>
      <c r="B471" s="3" t="str" cm="1">
        <f t="array" ref="B471">_xlfn.XLOOKUP($C471,_xlfn.ANCHORARRAY(Symptoms!$B$2),Symptoms!$A$2:$A$15,"Not Found")</f>
        <v>S007</v>
      </c>
      <c r="C471" s="22" t="s">
        <v>3463</v>
      </c>
    </row>
    <row r="472" spans="1:3">
      <c r="A472" s="21" t="s">
        <v>781</v>
      </c>
      <c r="B472" s="3" t="str" cm="1">
        <f t="array" ref="B472">_xlfn.XLOOKUP($C472,_xlfn.ANCHORARRAY(Symptoms!$B$2),Symptoms!$A$2:$A$15,"Not Found")</f>
        <v>S005</v>
      </c>
      <c r="C472" s="22" t="s">
        <v>3461</v>
      </c>
    </row>
    <row r="473" spans="1:3">
      <c r="A473" s="21" t="s">
        <v>781</v>
      </c>
      <c r="B473" s="3" t="str" cm="1">
        <f t="array" ref="B473">_xlfn.XLOOKUP($C473,_xlfn.ANCHORARRAY(Symptoms!$B$2),Symptoms!$A$2:$A$15,"Not Found")</f>
        <v>S007</v>
      </c>
      <c r="C473" s="22" t="s">
        <v>3463</v>
      </c>
    </row>
    <row r="474" spans="1:3">
      <c r="A474" s="21" t="s">
        <v>781</v>
      </c>
      <c r="B474" s="3" t="str" cm="1">
        <f t="array" ref="B474">_xlfn.XLOOKUP($C474,_xlfn.ANCHORARRAY(Symptoms!$B$2),Symptoms!$A$2:$A$15,"Not Found")</f>
        <v>S007</v>
      </c>
      <c r="C474" s="22" t="s">
        <v>3463</v>
      </c>
    </row>
    <row r="475" spans="1:3">
      <c r="A475" s="21" t="s">
        <v>782</v>
      </c>
      <c r="B475" s="3" t="str" cm="1">
        <f t="array" ref="B475">_xlfn.XLOOKUP($C475,_xlfn.ANCHORARRAY(Symptoms!$B$2),Symptoms!$A$2:$A$15,"Not Found")</f>
        <v>S001</v>
      </c>
      <c r="C475" s="22" t="s">
        <v>3462</v>
      </c>
    </row>
    <row r="476" spans="1:3">
      <c r="A476" s="21" t="s">
        <v>782</v>
      </c>
      <c r="B476" s="3" t="str" cm="1">
        <f t="array" ref="B476">_xlfn.XLOOKUP($C476,_xlfn.ANCHORARRAY(Symptoms!$B$2),Symptoms!$A$2:$A$15,"Not Found")</f>
        <v>S002</v>
      </c>
      <c r="C476" s="22" t="s">
        <v>3466</v>
      </c>
    </row>
    <row r="477" spans="1:3">
      <c r="A477" s="21" t="s">
        <v>783</v>
      </c>
      <c r="B477" s="3" t="str" cm="1">
        <f t="array" ref="B477">_xlfn.XLOOKUP($C477,_xlfn.ANCHORARRAY(Symptoms!$B$2),Symptoms!$A$2:$A$15,"Not Found")</f>
        <v>S005</v>
      </c>
      <c r="C477" s="22" t="s">
        <v>3461</v>
      </c>
    </row>
    <row r="478" spans="1:3">
      <c r="A478" s="21" t="s">
        <v>784</v>
      </c>
      <c r="B478" s="3" t="str" cm="1">
        <f t="array" ref="B478">_xlfn.XLOOKUP($C478,_xlfn.ANCHORARRAY(Symptoms!$B$2),Symptoms!$A$2:$A$15,"Not Found")</f>
        <v>S005</v>
      </c>
      <c r="C478" s="22" t="s">
        <v>3461</v>
      </c>
    </row>
    <row r="479" spans="1:3">
      <c r="A479" s="21" t="s">
        <v>785</v>
      </c>
      <c r="B479" s="3" t="str" cm="1">
        <f t="array" ref="B479">_xlfn.XLOOKUP($C479,_xlfn.ANCHORARRAY(Symptoms!$B$2),Symptoms!$A$2:$A$15,"Not Found")</f>
        <v>S003</v>
      </c>
      <c r="C479" s="22" t="s">
        <v>2875</v>
      </c>
    </row>
    <row r="480" spans="1:3">
      <c r="A480" s="21" t="s">
        <v>785</v>
      </c>
      <c r="B480" s="3" t="str" cm="1">
        <f t="array" ref="B480">_xlfn.XLOOKUP($C480,_xlfn.ANCHORARRAY(Symptoms!$B$2),Symptoms!$A$2:$A$15,"Not Found")</f>
        <v>S004</v>
      </c>
      <c r="C480" s="22" t="s">
        <v>2876</v>
      </c>
    </row>
    <row r="481" spans="1:3">
      <c r="A481" s="21" t="s">
        <v>786</v>
      </c>
      <c r="B481" s="3" t="str" cm="1">
        <f t="array" ref="B481">_xlfn.XLOOKUP($C481,_xlfn.ANCHORARRAY(Symptoms!$B$2),Symptoms!$A$2:$A$15,"Not Found")</f>
        <v>S006</v>
      </c>
      <c r="C481" s="22" t="s">
        <v>2280</v>
      </c>
    </row>
    <row r="482" spans="1:3">
      <c r="A482" s="21" t="s">
        <v>787</v>
      </c>
      <c r="B482" s="3" t="str" cm="1">
        <f t="array" ref="B482">_xlfn.XLOOKUP($C482,_xlfn.ANCHORARRAY(Symptoms!$B$2),Symptoms!$A$2:$A$15,"Not Found")</f>
        <v>S007</v>
      </c>
      <c r="C482" s="22" t="s">
        <v>3463</v>
      </c>
    </row>
    <row r="483" spans="1:3">
      <c r="A483" s="21" t="s">
        <v>788</v>
      </c>
      <c r="B483" s="3" t="str" cm="1">
        <f t="array" ref="B483">_xlfn.XLOOKUP($C483,_xlfn.ANCHORARRAY(Symptoms!$B$2),Symptoms!$A$2:$A$15,"Not Found")</f>
        <v>S007</v>
      </c>
      <c r="C483" s="22" t="s">
        <v>3463</v>
      </c>
    </row>
    <row r="484" spans="1:3">
      <c r="A484" s="21" t="s">
        <v>789</v>
      </c>
      <c r="B484" s="3" t="str" cm="1">
        <f t="array" ref="B484">_xlfn.XLOOKUP($C484,_xlfn.ANCHORARRAY(Symptoms!$B$2),Symptoms!$A$2:$A$15,"Not Found")</f>
        <v>S007</v>
      </c>
      <c r="C484" s="22" t="s">
        <v>3463</v>
      </c>
    </row>
    <row r="485" spans="1:3">
      <c r="A485" s="21" t="s">
        <v>790</v>
      </c>
      <c r="B485" s="3" t="str" cm="1">
        <f t="array" ref="B485">_xlfn.XLOOKUP($C485,_xlfn.ANCHORARRAY(Symptoms!$B$2),Symptoms!$A$2:$A$15,"Not Found")</f>
        <v>S005</v>
      </c>
      <c r="C485" s="22" t="s">
        <v>3461</v>
      </c>
    </row>
    <row r="486" spans="1:3">
      <c r="A486" s="21" t="s">
        <v>790</v>
      </c>
      <c r="B486" s="3" t="str" cm="1">
        <f t="array" ref="B486">_xlfn.XLOOKUP($C486,_xlfn.ANCHORARRAY(Symptoms!$B$2),Symptoms!$A$2:$A$15,"Not Found")</f>
        <v>S007</v>
      </c>
      <c r="C486" s="22" t="s">
        <v>3463</v>
      </c>
    </row>
    <row r="487" spans="1:3">
      <c r="A487" s="21" t="s">
        <v>791</v>
      </c>
      <c r="B487" s="3" t="str" cm="1">
        <f t="array" ref="B487">_xlfn.XLOOKUP($C487,_xlfn.ANCHORARRAY(Symptoms!$B$2),Symptoms!$A$2:$A$15,"Not Found")</f>
        <v>S005</v>
      </c>
      <c r="C487" s="22" t="s">
        <v>3461</v>
      </c>
    </row>
    <row r="488" spans="1:3">
      <c r="A488" s="21" t="s">
        <v>791</v>
      </c>
      <c r="B488" s="3" t="str" cm="1">
        <f t="array" ref="B488">_xlfn.XLOOKUP($C488,_xlfn.ANCHORARRAY(Symptoms!$B$2),Symptoms!$A$2:$A$15,"Not Found")</f>
        <v>S001</v>
      </c>
      <c r="C488" s="22" t="s">
        <v>3462</v>
      </c>
    </row>
    <row r="489" spans="1:3">
      <c r="A489" s="21" t="s">
        <v>791</v>
      </c>
      <c r="B489" s="3" t="str" cm="1">
        <f t="array" ref="B489">_xlfn.XLOOKUP($C489,_xlfn.ANCHORARRAY(Symptoms!$B$2),Symptoms!$A$2:$A$15,"Not Found")</f>
        <v>S009</v>
      </c>
      <c r="C489" s="22" t="s">
        <v>3464</v>
      </c>
    </row>
    <row r="490" spans="1:3">
      <c r="A490" s="21" t="s">
        <v>792</v>
      </c>
      <c r="B490" s="3" t="str" cm="1">
        <f t="array" ref="B490">_xlfn.XLOOKUP($C490,_xlfn.ANCHORARRAY(Symptoms!$B$2),Symptoms!$A$2:$A$15,"Not Found")</f>
        <v>S010</v>
      </c>
      <c r="C490" s="22" t="s">
        <v>3465</v>
      </c>
    </row>
    <row r="491" spans="1:3">
      <c r="A491" s="21" t="s">
        <v>792</v>
      </c>
      <c r="B491" s="3" t="str" cm="1">
        <f t="array" ref="B491">_xlfn.XLOOKUP($C491,_xlfn.ANCHORARRAY(Symptoms!$B$2),Symptoms!$A$2:$A$15,"Not Found")</f>
        <v>S001</v>
      </c>
      <c r="C491" s="22" t="s">
        <v>3462</v>
      </c>
    </row>
    <row r="492" spans="1:3">
      <c r="A492" s="21" t="s">
        <v>793</v>
      </c>
      <c r="B492" s="3" t="str" cm="1">
        <f t="array" ref="B492">_xlfn.XLOOKUP($C492,_xlfn.ANCHORARRAY(Symptoms!$B$2),Symptoms!$A$2:$A$15,"Not Found")</f>
        <v>S005</v>
      </c>
      <c r="C492" s="22" t="s">
        <v>3461</v>
      </c>
    </row>
    <row r="493" spans="1:3">
      <c r="A493" s="21" t="s">
        <v>793</v>
      </c>
      <c r="B493" s="3" t="str" cm="1">
        <f t="array" ref="B493">_xlfn.XLOOKUP($C493,_xlfn.ANCHORARRAY(Symptoms!$B$2),Symptoms!$A$2:$A$15,"Not Found")</f>
        <v>S007</v>
      </c>
      <c r="C493" s="22" t="s">
        <v>3463</v>
      </c>
    </row>
    <row r="494" spans="1:3">
      <c r="A494" s="21" t="s">
        <v>794</v>
      </c>
      <c r="B494" s="3" t="str" cm="1">
        <f t="array" ref="B494">_xlfn.XLOOKUP($C494,_xlfn.ANCHORARRAY(Symptoms!$B$2),Symptoms!$A$2:$A$15,"Not Found")</f>
        <v>S001</v>
      </c>
      <c r="C494" s="22" t="s">
        <v>3462</v>
      </c>
    </row>
    <row r="495" spans="1:3">
      <c r="A495" s="21" t="s">
        <v>795</v>
      </c>
      <c r="B495" s="3" t="str" cm="1">
        <f t="array" ref="B495">_xlfn.XLOOKUP($C495,_xlfn.ANCHORARRAY(Symptoms!$B$2),Symptoms!$A$2:$A$15,"Not Found")</f>
        <v>S005</v>
      </c>
      <c r="C495" s="22" t="s">
        <v>3461</v>
      </c>
    </row>
    <row r="496" spans="1:3">
      <c r="A496" s="21" t="s">
        <v>796</v>
      </c>
      <c r="B496" s="3" t="str" cm="1">
        <f t="array" ref="B496">_xlfn.XLOOKUP($C496,_xlfn.ANCHORARRAY(Symptoms!$B$2),Symptoms!$A$2:$A$15,"Not Found")</f>
        <v>S013</v>
      </c>
      <c r="C496" s="22" t="s">
        <v>420</v>
      </c>
    </row>
    <row r="497" spans="1:3">
      <c r="A497" s="21" t="s">
        <v>797</v>
      </c>
      <c r="B497" s="3" t="str" cm="1">
        <f t="array" ref="B497">_xlfn.XLOOKUP($C497,_xlfn.ANCHORARRAY(Symptoms!$B$2),Symptoms!$A$2:$A$15,"Not Found")</f>
        <v>S004</v>
      </c>
      <c r="C497" s="22" t="s">
        <v>2876</v>
      </c>
    </row>
    <row r="498" spans="1:3">
      <c r="A498" s="21" t="s">
        <v>797</v>
      </c>
      <c r="B498" s="3" t="str" cm="1">
        <f t="array" ref="B498">_xlfn.XLOOKUP($C498,_xlfn.ANCHORARRAY(Symptoms!$B$2),Symptoms!$A$2:$A$15,"Not Found")</f>
        <v>S008</v>
      </c>
      <c r="C498" s="22" t="s">
        <v>3467</v>
      </c>
    </row>
    <row r="499" spans="1:3">
      <c r="A499" s="21" t="s">
        <v>797</v>
      </c>
      <c r="B499" s="3" t="str" cm="1">
        <f t="array" ref="B499">_xlfn.XLOOKUP($C499,_xlfn.ANCHORARRAY(Symptoms!$B$2),Symptoms!$A$2:$A$15,"Not Found")</f>
        <v>S007</v>
      </c>
      <c r="C499" s="22" t="s">
        <v>3463</v>
      </c>
    </row>
    <row r="500" spans="1:3">
      <c r="A500" s="21" t="s">
        <v>798</v>
      </c>
      <c r="B500" s="3" t="str" cm="1">
        <f t="array" ref="B500">_xlfn.XLOOKUP($C500,_xlfn.ANCHORARRAY(Symptoms!$B$2),Symptoms!$A$2:$A$15,"Not Found")</f>
        <v>S009</v>
      </c>
      <c r="C500" s="22" t="s">
        <v>3464</v>
      </c>
    </row>
    <row r="501" spans="1:3">
      <c r="A501" s="21" t="s">
        <v>798</v>
      </c>
      <c r="B501" s="3" t="str" cm="1">
        <f t="array" ref="B501">_xlfn.XLOOKUP($C501,_xlfn.ANCHORARRAY(Symptoms!$B$2),Symptoms!$A$2:$A$15,"Not Found")</f>
        <v>S001</v>
      </c>
      <c r="C501" s="22" t="s">
        <v>3462</v>
      </c>
    </row>
    <row r="502" spans="1:3">
      <c r="A502" s="21" t="s">
        <v>798</v>
      </c>
      <c r="B502" s="3" t="str" cm="1">
        <f t="array" ref="B502">_xlfn.XLOOKUP($C502,_xlfn.ANCHORARRAY(Symptoms!$B$2),Symptoms!$A$2:$A$15,"Not Found")</f>
        <v>S007</v>
      </c>
      <c r="C502" s="22" t="s">
        <v>3463</v>
      </c>
    </row>
    <row r="503" spans="1:3">
      <c r="A503" s="21" t="s">
        <v>799</v>
      </c>
      <c r="B503" s="3" t="str" cm="1">
        <f t="array" ref="B503">_xlfn.XLOOKUP($C503,_xlfn.ANCHORARRAY(Symptoms!$B$2),Symptoms!$A$2:$A$15,"Not Found")</f>
        <v>S013</v>
      </c>
      <c r="C503" s="22" t="s">
        <v>420</v>
      </c>
    </row>
    <row r="504" spans="1:3">
      <c r="A504" s="21" t="s">
        <v>800</v>
      </c>
      <c r="B504" s="3" t="str" cm="1">
        <f t="array" ref="B504">_xlfn.XLOOKUP($C504,_xlfn.ANCHORARRAY(Symptoms!$B$2),Symptoms!$A$2:$A$15,"Not Found")</f>
        <v>S009</v>
      </c>
      <c r="C504" s="22" t="s">
        <v>3464</v>
      </c>
    </row>
    <row r="505" spans="1:3">
      <c r="A505" s="21" t="s">
        <v>800</v>
      </c>
      <c r="B505" s="3" t="str" cm="1">
        <f t="array" ref="B505">_xlfn.XLOOKUP($C505,_xlfn.ANCHORARRAY(Symptoms!$B$2),Symptoms!$A$2:$A$15,"Not Found")</f>
        <v>S005</v>
      </c>
      <c r="C505" s="22" t="s">
        <v>3461</v>
      </c>
    </row>
    <row r="506" spans="1:3">
      <c r="A506" s="21" t="s">
        <v>801</v>
      </c>
      <c r="B506" s="3" t="str" cm="1">
        <f t="array" ref="B506">_xlfn.XLOOKUP($C506,_xlfn.ANCHORARRAY(Symptoms!$B$2),Symptoms!$A$2:$A$15,"Not Found")</f>
        <v>S005</v>
      </c>
      <c r="C506" s="22" t="s">
        <v>3461</v>
      </c>
    </row>
    <row r="507" spans="1:3">
      <c r="A507" s="21" t="s">
        <v>802</v>
      </c>
      <c r="B507" s="3" t="str" cm="1">
        <f t="array" ref="B507">_xlfn.XLOOKUP($C507,_xlfn.ANCHORARRAY(Symptoms!$B$2),Symptoms!$A$2:$A$15,"Not Found")</f>
        <v>S003</v>
      </c>
      <c r="C507" s="22" t="s">
        <v>2875</v>
      </c>
    </row>
    <row r="508" spans="1:3">
      <c r="A508" s="21" t="s">
        <v>802</v>
      </c>
      <c r="B508" s="3" t="str" cm="1">
        <f t="array" ref="B508">_xlfn.XLOOKUP($C508,_xlfn.ANCHORARRAY(Symptoms!$B$2),Symptoms!$A$2:$A$15,"Not Found")</f>
        <v>S004</v>
      </c>
      <c r="C508" s="22" t="s">
        <v>2876</v>
      </c>
    </row>
    <row r="509" spans="1:3">
      <c r="A509" s="21" t="s">
        <v>803</v>
      </c>
      <c r="B509" s="3" t="str" cm="1">
        <f t="array" ref="B509">_xlfn.XLOOKUP($C509,_xlfn.ANCHORARRAY(Symptoms!$B$2),Symptoms!$A$2:$A$15,"Not Found")</f>
        <v>S007</v>
      </c>
      <c r="C509" s="22" t="s">
        <v>3463</v>
      </c>
    </row>
    <row r="510" spans="1:3">
      <c r="A510" s="21" t="s">
        <v>804</v>
      </c>
      <c r="B510" s="3" t="str" cm="1">
        <f t="array" ref="B510">_xlfn.XLOOKUP($C510,_xlfn.ANCHORARRAY(Symptoms!$B$2),Symptoms!$A$2:$A$15,"Not Found")</f>
        <v>S005</v>
      </c>
      <c r="C510" s="22" t="s">
        <v>3461</v>
      </c>
    </row>
    <row r="511" spans="1:3">
      <c r="A511" s="21" t="s">
        <v>804</v>
      </c>
      <c r="B511" s="3" t="str" cm="1">
        <f t="array" ref="B511">_xlfn.XLOOKUP($C511,_xlfn.ANCHORARRAY(Symptoms!$B$2),Symptoms!$A$2:$A$15,"Not Found")</f>
        <v>S007</v>
      </c>
      <c r="C511" s="22" t="s">
        <v>3463</v>
      </c>
    </row>
    <row r="512" spans="1:3">
      <c r="A512" s="21" t="s">
        <v>805</v>
      </c>
      <c r="B512" s="3" t="str" cm="1">
        <f t="array" ref="B512">_xlfn.XLOOKUP($C512,_xlfn.ANCHORARRAY(Symptoms!$B$2),Symptoms!$A$2:$A$15,"Not Found")</f>
        <v>S007</v>
      </c>
      <c r="C512" s="22" t="s">
        <v>3463</v>
      </c>
    </row>
    <row r="513" spans="1:3">
      <c r="A513" s="21" t="s">
        <v>805</v>
      </c>
      <c r="B513" s="3" t="str" cm="1">
        <f t="array" ref="B513">_xlfn.XLOOKUP($C513,_xlfn.ANCHORARRAY(Symptoms!$B$2),Symptoms!$A$2:$A$15,"Not Found")</f>
        <v>S001</v>
      </c>
      <c r="C513" s="22" t="s">
        <v>3462</v>
      </c>
    </row>
    <row r="514" spans="1:3">
      <c r="A514" s="21" t="s">
        <v>805</v>
      </c>
      <c r="B514" s="3" t="str" cm="1">
        <f t="array" ref="B514">_xlfn.XLOOKUP($C514,_xlfn.ANCHORARRAY(Symptoms!$B$2),Symptoms!$A$2:$A$15,"Not Found")</f>
        <v>S002</v>
      </c>
      <c r="C514" s="22" t="s">
        <v>3466</v>
      </c>
    </row>
    <row r="515" spans="1:3">
      <c r="A515" s="21" t="s">
        <v>806</v>
      </c>
      <c r="B515" s="3" t="str" cm="1">
        <f t="array" ref="B515">_xlfn.XLOOKUP($C515,_xlfn.ANCHORARRAY(Symptoms!$B$2),Symptoms!$A$2:$A$15,"Not Found")</f>
        <v>S005</v>
      </c>
      <c r="C515" s="22" t="s">
        <v>3461</v>
      </c>
    </row>
    <row r="516" spans="1:3">
      <c r="A516" s="21" t="s">
        <v>807</v>
      </c>
      <c r="B516" s="3" t="str" cm="1">
        <f t="array" ref="B516">_xlfn.XLOOKUP($C516,_xlfn.ANCHORARRAY(Symptoms!$B$2),Symptoms!$A$2:$A$15,"Not Found")</f>
        <v>S005</v>
      </c>
      <c r="C516" s="22" t="s">
        <v>3461</v>
      </c>
    </row>
    <row r="517" spans="1:3">
      <c r="A517" s="21" t="s">
        <v>808</v>
      </c>
      <c r="B517" s="3" t="str" cm="1">
        <f t="array" ref="B517">_xlfn.XLOOKUP($C517,_xlfn.ANCHORARRAY(Symptoms!$B$2),Symptoms!$A$2:$A$15,"Not Found")</f>
        <v>S003</v>
      </c>
      <c r="C517" s="22" t="s">
        <v>2875</v>
      </c>
    </row>
    <row r="518" spans="1:3">
      <c r="A518" s="21" t="s">
        <v>808</v>
      </c>
      <c r="B518" s="3" t="str" cm="1">
        <f t="array" ref="B518">_xlfn.XLOOKUP($C518,_xlfn.ANCHORARRAY(Symptoms!$B$2),Symptoms!$A$2:$A$15,"Not Found")</f>
        <v>S004</v>
      </c>
      <c r="C518" s="22" t="s">
        <v>2876</v>
      </c>
    </row>
    <row r="519" spans="1:3">
      <c r="A519" s="21" t="s">
        <v>809</v>
      </c>
      <c r="B519" s="3" t="str" cm="1">
        <f t="array" ref="B519">_xlfn.XLOOKUP($C519,_xlfn.ANCHORARRAY(Symptoms!$B$2),Symptoms!$A$2:$A$15,"Not Found")</f>
        <v>S006</v>
      </c>
      <c r="C519" s="22" t="s">
        <v>2280</v>
      </c>
    </row>
    <row r="520" spans="1:3">
      <c r="A520" s="21" t="s">
        <v>810</v>
      </c>
      <c r="B520" s="3" t="str" cm="1">
        <f t="array" ref="B520">_xlfn.XLOOKUP($C520,_xlfn.ANCHORARRAY(Symptoms!$B$2),Symptoms!$A$2:$A$15,"Not Found")</f>
        <v>S007</v>
      </c>
      <c r="C520" s="22" t="s">
        <v>3463</v>
      </c>
    </row>
    <row r="521" spans="1:3">
      <c r="A521" s="21" t="s">
        <v>811</v>
      </c>
      <c r="B521" s="3" t="str" cm="1">
        <f t="array" ref="B521">_xlfn.XLOOKUP($C521,_xlfn.ANCHORARRAY(Symptoms!$B$2),Symptoms!$A$2:$A$15,"Not Found")</f>
        <v>S007</v>
      </c>
      <c r="C521" s="22" t="s">
        <v>3463</v>
      </c>
    </row>
    <row r="522" spans="1:3">
      <c r="A522" s="21" t="s">
        <v>812</v>
      </c>
      <c r="B522" s="3" t="str" cm="1">
        <f t="array" ref="B522">_xlfn.XLOOKUP($C522,_xlfn.ANCHORARRAY(Symptoms!$B$2),Symptoms!$A$2:$A$15,"Not Found")</f>
        <v>S007</v>
      </c>
      <c r="C522" s="22" t="s">
        <v>3463</v>
      </c>
    </row>
    <row r="523" spans="1:3">
      <c r="A523" s="21" t="s">
        <v>813</v>
      </c>
      <c r="B523" s="3" t="str" cm="1">
        <f t="array" ref="B523">_xlfn.XLOOKUP($C523,_xlfn.ANCHORARRAY(Symptoms!$B$2),Symptoms!$A$2:$A$15,"Not Found")</f>
        <v>S005</v>
      </c>
      <c r="C523" s="22" t="s">
        <v>3461</v>
      </c>
    </row>
    <row r="524" spans="1:3">
      <c r="A524" s="21" t="s">
        <v>813</v>
      </c>
      <c r="B524" s="3" t="str" cm="1">
        <f t="array" ref="B524">_xlfn.XLOOKUP($C524,_xlfn.ANCHORARRAY(Symptoms!$B$2),Symptoms!$A$2:$A$15,"Not Found")</f>
        <v>S007</v>
      </c>
      <c r="C524" s="22" t="s">
        <v>3463</v>
      </c>
    </row>
    <row r="525" spans="1:3">
      <c r="A525" s="21" t="s">
        <v>814</v>
      </c>
      <c r="B525" s="3" t="str" cm="1">
        <f t="array" ref="B525">_xlfn.XLOOKUP($C525,_xlfn.ANCHORARRAY(Symptoms!$B$2),Symptoms!$A$2:$A$15,"Not Found")</f>
        <v>S005</v>
      </c>
      <c r="C525" s="22" t="s">
        <v>3461</v>
      </c>
    </row>
    <row r="526" spans="1:3">
      <c r="A526" s="21" t="s">
        <v>814</v>
      </c>
      <c r="B526" s="3" t="str" cm="1">
        <f t="array" ref="B526">_xlfn.XLOOKUP($C526,_xlfn.ANCHORARRAY(Symptoms!$B$2),Symptoms!$A$2:$A$15,"Not Found")</f>
        <v>S001</v>
      </c>
      <c r="C526" s="22" t="s">
        <v>3462</v>
      </c>
    </row>
    <row r="527" spans="1:3">
      <c r="A527" s="21" t="s">
        <v>814</v>
      </c>
      <c r="B527" s="3" t="str" cm="1">
        <f t="array" ref="B527">_xlfn.XLOOKUP($C527,_xlfn.ANCHORARRAY(Symptoms!$B$2),Symptoms!$A$2:$A$15,"Not Found")</f>
        <v>S009</v>
      </c>
      <c r="C527" s="22" t="s">
        <v>3464</v>
      </c>
    </row>
    <row r="528" spans="1:3">
      <c r="A528" s="21" t="s">
        <v>815</v>
      </c>
      <c r="B528" s="3" t="str" cm="1">
        <f t="array" ref="B528">_xlfn.XLOOKUP($C528,_xlfn.ANCHORARRAY(Symptoms!$B$2),Symptoms!$A$2:$A$15,"Not Found")</f>
        <v>S010</v>
      </c>
      <c r="C528" s="22" t="s">
        <v>3465</v>
      </c>
    </row>
    <row r="529" spans="1:3">
      <c r="A529" s="21" t="s">
        <v>815</v>
      </c>
      <c r="B529" s="3" t="str" cm="1">
        <f t="array" ref="B529">_xlfn.XLOOKUP($C529,_xlfn.ANCHORARRAY(Symptoms!$B$2),Symptoms!$A$2:$A$15,"Not Found")</f>
        <v>S001</v>
      </c>
      <c r="C529" s="22" t="s">
        <v>3462</v>
      </c>
    </row>
    <row r="530" spans="1:3">
      <c r="A530" s="21" t="s">
        <v>816</v>
      </c>
      <c r="B530" s="3" t="str" cm="1">
        <f t="array" ref="B530">_xlfn.XLOOKUP($C530,_xlfn.ANCHORARRAY(Symptoms!$B$2),Symptoms!$A$2:$A$15,"Not Found")</f>
        <v>S005</v>
      </c>
      <c r="C530" s="22" t="s">
        <v>3461</v>
      </c>
    </row>
    <row r="531" spans="1:3">
      <c r="A531" s="21" t="s">
        <v>816</v>
      </c>
      <c r="B531" s="3" t="str" cm="1">
        <f t="array" ref="B531">_xlfn.XLOOKUP($C531,_xlfn.ANCHORARRAY(Symptoms!$B$2),Symptoms!$A$2:$A$15,"Not Found")</f>
        <v>S007</v>
      </c>
      <c r="C531" s="22" t="s">
        <v>3463</v>
      </c>
    </row>
    <row r="532" spans="1:3">
      <c r="A532" s="21" t="s">
        <v>817</v>
      </c>
      <c r="B532" s="3" t="str" cm="1">
        <f t="array" ref="B532">_xlfn.XLOOKUP($C532,_xlfn.ANCHORARRAY(Symptoms!$B$2),Symptoms!$A$2:$A$15,"Not Found")</f>
        <v>S001</v>
      </c>
      <c r="C532" s="22" t="s">
        <v>3462</v>
      </c>
    </row>
    <row r="533" spans="1:3">
      <c r="A533" s="21" t="s">
        <v>818</v>
      </c>
      <c r="B533" s="3" t="str" cm="1">
        <f t="array" ref="B533">_xlfn.XLOOKUP($C533,_xlfn.ANCHORARRAY(Symptoms!$B$2),Symptoms!$A$2:$A$15,"Not Found")</f>
        <v>S005</v>
      </c>
      <c r="C533" s="22" t="s">
        <v>3461</v>
      </c>
    </row>
    <row r="534" spans="1:3">
      <c r="A534" s="21" t="s">
        <v>819</v>
      </c>
      <c r="B534" s="3" t="str" cm="1">
        <f t="array" ref="B534">_xlfn.XLOOKUP($C534,_xlfn.ANCHORARRAY(Symptoms!$B$2),Symptoms!$A$2:$A$15,"Not Found")</f>
        <v>S013</v>
      </c>
      <c r="C534" s="22" t="s">
        <v>420</v>
      </c>
    </row>
    <row r="535" spans="1:3">
      <c r="A535" s="21" t="s">
        <v>820</v>
      </c>
      <c r="B535" s="3" t="str" cm="1">
        <f t="array" ref="B535">_xlfn.XLOOKUP($C535,_xlfn.ANCHORARRAY(Symptoms!$B$2),Symptoms!$A$2:$A$15,"Not Found")</f>
        <v>S004</v>
      </c>
      <c r="C535" s="22" t="s">
        <v>2876</v>
      </c>
    </row>
    <row r="536" spans="1:3">
      <c r="A536" s="21" t="s">
        <v>820</v>
      </c>
      <c r="B536" s="3" t="str" cm="1">
        <f t="array" ref="B536">_xlfn.XLOOKUP($C536,_xlfn.ANCHORARRAY(Symptoms!$B$2),Symptoms!$A$2:$A$15,"Not Found")</f>
        <v>S008</v>
      </c>
      <c r="C536" s="22" t="s">
        <v>3467</v>
      </c>
    </row>
    <row r="537" spans="1:3">
      <c r="A537" s="21" t="s">
        <v>820</v>
      </c>
      <c r="B537" s="3" t="str" cm="1">
        <f t="array" ref="B537">_xlfn.XLOOKUP($C537,_xlfn.ANCHORARRAY(Symptoms!$B$2),Symptoms!$A$2:$A$15,"Not Found")</f>
        <v>S007</v>
      </c>
      <c r="C537" s="22" t="s">
        <v>3463</v>
      </c>
    </row>
    <row r="538" spans="1:3">
      <c r="A538" s="21" t="s">
        <v>821</v>
      </c>
      <c r="B538" s="3" t="str" cm="1">
        <f t="array" ref="B538">_xlfn.XLOOKUP($C538,_xlfn.ANCHORARRAY(Symptoms!$B$2),Symptoms!$A$2:$A$15,"Not Found")</f>
        <v>S009</v>
      </c>
      <c r="C538" s="22" t="s">
        <v>3464</v>
      </c>
    </row>
    <row r="539" spans="1:3">
      <c r="A539" s="21" t="s">
        <v>821</v>
      </c>
      <c r="B539" s="3" t="str" cm="1">
        <f t="array" ref="B539">_xlfn.XLOOKUP($C539,_xlfn.ANCHORARRAY(Symptoms!$B$2),Symptoms!$A$2:$A$15,"Not Found")</f>
        <v>S001</v>
      </c>
      <c r="C539" s="22" t="s">
        <v>3462</v>
      </c>
    </row>
    <row r="540" spans="1:3">
      <c r="A540" s="21" t="s">
        <v>821</v>
      </c>
      <c r="B540" s="3" t="str" cm="1">
        <f t="array" ref="B540">_xlfn.XLOOKUP($C540,_xlfn.ANCHORARRAY(Symptoms!$B$2),Symptoms!$A$2:$A$15,"Not Found")</f>
        <v>S007</v>
      </c>
      <c r="C540" s="22" t="s">
        <v>3463</v>
      </c>
    </row>
    <row r="541" spans="1:3">
      <c r="A541" s="21" t="s">
        <v>822</v>
      </c>
      <c r="B541" s="3" t="str" cm="1">
        <f t="array" ref="B541">_xlfn.XLOOKUP($C541,_xlfn.ANCHORARRAY(Symptoms!$B$2),Symptoms!$A$2:$A$15,"Not Found")</f>
        <v>S013</v>
      </c>
      <c r="C541" s="22" t="s">
        <v>420</v>
      </c>
    </row>
    <row r="542" spans="1:3">
      <c r="A542" s="21" t="s">
        <v>823</v>
      </c>
      <c r="B542" s="3" t="str" cm="1">
        <f t="array" ref="B542">_xlfn.XLOOKUP($C542,_xlfn.ANCHORARRAY(Symptoms!$B$2),Symptoms!$A$2:$A$15,"Not Found")</f>
        <v>S009</v>
      </c>
      <c r="C542" s="22" t="s">
        <v>3464</v>
      </c>
    </row>
    <row r="543" spans="1:3">
      <c r="A543" s="21" t="s">
        <v>823</v>
      </c>
      <c r="B543" s="3" t="str" cm="1">
        <f t="array" ref="B543">_xlfn.XLOOKUP($C543,_xlfn.ANCHORARRAY(Symptoms!$B$2),Symptoms!$A$2:$A$15,"Not Found")</f>
        <v>S005</v>
      </c>
      <c r="C543" s="22" t="s">
        <v>3461</v>
      </c>
    </row>
    <row r="544" spans="1:3">
      <c r="A544" s="21" t="s">
        <v>824</v>
      </c>
      <c r="B544" s="3" t="str" cm="1">
        <f t="array" ref="B544">_xlfn.XLOOKUP($C544,_xlfn.ANCHORARRAY(Symptoms!$B$2),Symptoms!$A$2:$A$15,"Not Found")</f>
        <v>S005</v>
      </c>
      <c r="C544" s="22" t="s">
        <v>3461</v>
      </c>
    </row>
    <row r="545" spans="1:3">
      <c r="A545" s="21" t="s">
        <v>825</v>
      </c>
      <c r="B545" s="3" t="str" cm="1">
        <f t="array" ref="B545">_xlfn.XLOOKUP($C545,_xlfn.ANCHORARRAY(Symptoms!$B$2),Symptoms!$A$2:$A$15,"Not Found")</f>
        <v>S003</v>
      </c>
      <c r="C545" s="22" t="s">
        <v>2875</v>
      </c>
    </row>
    <row r="546" spans="1:3">
      <c r="A546" s="21" t="s">
        <v>825</v>
      </c>
      <c r="B546" s="3" t="str" cm="1">
        <f t="array" ref="B546">_xlfn.XLOOKUP($C546,_xlfn.ANCHORARRAY(Symptoms!$B$2),Symptoms!$A$2:$A$15,"Not Found")</f>
        <v>S004</v>
      </c>
      <c r="C546" s="22" t="s">
        <v>2876</v>
      </c>
    </row>
    <row r="547" spans="1:3">
      <c r="A547" s="21" t="s">
        <v>826</v>
      </c>
      <c r="B547" s="3" t="str" cm="1">
        <f t="array" ref="B547">_xlfn.XLOOKUP($C547,_xlfn.ANCHORARRAY(Symptoms!$B$2),Symptoms!$A$2:$A$15,"Not Found")</f>
        <v>S007</v>
      </c>
      <c r="C547" s="22" t="s">
        <v>3463</v>
      </c>
    </row>
    <row r="548" spans="1:3">
      <c r="A548" s="21" t="s">
        <v>827</v>
      </c>
      <c r="B548" s="3" t="str" cm="1">
        <f t="array" ref="B548">_xlfn.XLOOKUP($C548,_xlfn.ANCHORARRAY(Symptoms!$B$2),Symptoms!$A$2:$A$15,"Not Found")</f>
        <v>S005</v>
      </c>
      <c r="C548" s="22" t="s">
        <v>3461</v>
      </c>
    </row>
    <row r="549" spans="1:3">
      <c r="A549" s="21" t="s">
        <v>827</v>
      </c>
      <c r="B549" s="3" t="str" cm="1">
        <f t="array" ref="B549">_xlfn.XLOOKUP($C549,_xlfn.ANCHORARRAY(Symptoms!$B$2),Symptoms!$A$2:$A$15,"Not Found")</f>
        <v>S007</v>
      </c>
      <c r="C549" s="22" t="s">
        <v>3463</v>
      </c>
    </row>
    <row r="550" spans="1:3">
      <c r="A550" s="21" t="s">
        <v>828</v>
      </c>
      <c r="B550" s="3" t="str" cm="1">
        <f t="array" ref="B550">_xlfn.XLOOKUP($C550,_xlfn.ANCHORARRAY(Symptoms!$B$2),Symptoms!$A$2:$A$15,"Not Found")</f>
        <v>S007</v>
      </c>
      <c r="C550" s="22" t="s">
        <v>3463</v>
      </c>
    </row>
    <row r="551" spans="1:3">
      <c r="A551" s="21" t="s">
        <v>829</v>
      </c>
      <c r="B551" s="3" t="str" cm="1">
        <f t="array" ref="B551">_xlfn.XLOOKUP($C551,_xlfn.ANCHORARRAY(Symptoms!$B$2),Symptoms!$A$2:$A$15,"Not Found")</f>
        <v>S001</v>
      </c>
      <c r="C551" s="22" t="s">
        <v>3462</v>
      </c>
    </row>
    <row r="552" spans="1:3">
      <c r="A552" s="21" t="s">
        <v>829</v>
      </c>
      <c r="B552" s="3" t="str" cm="1">
        <f t="array" ref="B552">_xlfn.XLOOKUP($C552,_xlfn.ANCHORARRAY(Symptoms!$B$2),Symptoms!$A$2:$A$15,"Not Found")</f>
        <v>S002</v>
      </c>
      <c r="C552" s="22" t="s">
        <v>3466</v>
      </c>
    </row>
    <row r="553" spans="1:3">
      <c r="A553" s="21" t="s">
        <v>829</v>
      </c>
      <c r="B553" s="3" t="str" cm="1">
        <f t="array" ref="B553">_xlfn.XLOOKUP($C553,_xlfn.ANCHORARRAY(Symptoms!$B$2),Symptoms!$A$2:$A$15,"Not Found")</f>
        <v>S005</v>
      </c>
      <c r="C553" s="22" t="s">
        <v>3461</v>
      </c>
    </row>
    <row r="554" spans="1:3">
      <c r="A554" s="21" t="s">
        <v>830</v>
      </c>
      <c r="B554" s="3" t="str" cm="1">
        <f t="array" ref="B554">_xlfn.XLOOKUP($C554,_xlfn.ANCHORARRAY(Symptoms!$B$2),Symptoms!$A$2:$A$15,"Not Found")</f>
        <v>S005</v>
      </c>
      <c r="C554" s="22" t="s">
        <v>3461</v>
      </c>
    </row>
    <row r="555" spans="1:3">
      <c r="A555" s="21" t="s">
        <v>831</v>
      </c>
      <c r="B555" s="3" t="str" cm="1">
        <f t="array" ref="B555">_xlfn.XLOOKUP($C555,_xlfn.ANCHORARRAY(Symptoms!$B$2),Symptoms!$A$2:$A$15,"Not Found")</f>
        <v>S003</v>
      </c>
      <c r="C555" s="22" t="s">
        <v>2875</v>
      </c>
    </row>
    <row r="556" spans="1:3">
      <c r="A556" s="21" t="s">
        <v>831</v>
      </c>
      <c r="B556" s="3" t="str" cm="1">
        <f t="array" ref="B556">_xlfn.XLOOKUP($C556,_xlfn.ANCHORARRAY(Symptoms!$B$2),Symptoms!$A$2:$A$15,"Not Found")</f>
        <v>S004</v>
      </c>
      <c r="C556" s="22" t="s">
        <v>2876</v>
      </c>
    </row>
    <row r="557" spans="1:3">
      <c r="A557" s="21" t="s">
        <v>832</v>
      </c>
      <c r="B557" s="3" t="str" cm="1">
        <f t="array" ref="B557">_xlfn.XLOOKUP($C557,_xlfn.ANCHORARRAY(Symptoms!$B$2),Symptoms!$A$2:$A$15,"Not Found")</f>
        <v>S006</v>
      </c>
      <c r="C557" s="22" t="s">
        <v>2280</v>
      </c>
    </row>
    <row r="558" spans="1:3">
      <c r="A558" s="21" t="s">
        <v>833</v>
      </c>
      <c r="B558" s="3" t="str" cm="1">
        <f t="array" ref="B558">_xlfn.XLOOKUP($C558,_xlfn.ANCHORARRAY(Symptoms!$B$2),Symptoms!$A$2:$A$15,"Not Found")</f>
        <v>S007</v>
      </c>
      <c r="C558" s="22" t="s">
        <v>3463</v>
      </c>
    </row>
    <row r="559" spans="1:3">
      <c r="A559" s="21" t="s">
        <v>834</v>
      </c>
      <c r="B559" s="3" t="str" cm="1">
        <f t="array" ref="B559">_xlfn.XLOOKUP($C559,_xlfn.ANCHORARRAY(Symptoms!$B$2),Symptoms!$A$2:$A$15,"Not Found")</f>
        <v>S007</v>
      </c>
      <c r="C559" s="22" t="s">
        <v>3463</v>
      </c>
    </row>
    <row r="560" spans="1:3">
      <c r="A560" s="21" t="s">
        <v>835</v>
      </c>
      <c r="B560" s="3" t="str" cm="1">
        <f t="array" ref="B560">_xlfn.XLOOKUP($C560,_xlfn.ANCHORARRAY(Symptoms!$B$2),Symptoms!$A$2:$A$15,"Not Found")</f>
        <v>S007</v>
      </c>
      <c r="C560" s="22" t="s">
        <v>3463</v>
      </c>
    </row>
    <row r="561" spans="1:3">
      <c r="A561" s="21" t="s">
        <v>836</v>
      </c>
      <c r="B561" s="3" t="str" cm="1">
        <f t="array" ref="B561">_xlfn.XLOOKUP($C561,_xlfn.ANCHORARRAY(Symptoms!$B$2),Symptoms!$A$2:$A$15,"Not Found")</f>
        <v>S005</v>
      </c>
      <c r="C561" s="22" t="s">
        <v>3461</v>
      </c>
    </row>
    <row r="562" spans="1:3">
      <c r="A562" s="21" t="s">
        <v>836</v>
      </c>
      <c r="B562" s="3" t="str" cm="1">
        <f t="array" ref="B562">_xlfn.XLOOKUP($C562,_xlfn.ANCHORARRAY(Symptoms!$B$2),Symptoms!$A$2:$A$15,"Not Found")</f>
        <v>S007</v>
      </c>
      <c r="C562" s="22" t="s">
        <v>3463</v>
      </c>
    </row>
    <row r="563" spans="1:3">
      <c r="A563" s="21" t="s">
        <v>837</v>
      </c>
      <c r="B563" s="3" t="str" cm="1">
        <f t="array" ref="B563">_xlfn.XLOOKUP($C563,_xlfn.ANCHORARRAY(Symptoms!$B$2),Symptoms!$A$2:$A$15,"Not Found")</f>
        <v>S005</v>
      </c>
      <c r="C563" s="22" t="s">
        <v>3461</v>
      </c>
    </row>
    <row r="564" spans="1:3">
      <c r="A564" s="21" t="s">
        <v>837</v>
      </c>
      <c r="B564" s="3" t="str" cm="1">
        <f t="array" ref="B564">_xlfn.XLOOKUP($C564,_xlfn.ANCHORARRAY(Symptoms!$B$2),Symptoms!$A$2:$A$15,"Not Found")</f>
        <v>S001</v>
      </c>
      <c r="C564" s="22" t="s">
        <v>3462</v>
      </c>
    </row>
    <row r="565" spans="1:3">
      <c r="A565" s="21" t="s">
        <v>837</v>
      </c>
      <c r="B565" s="3" t="str" cm="1">
        <f t="array" ref="B565">_xlfn.XLOOKUP($C565,_xlfn.ANCHORARRAY(Symptoms!$B$2),Symptoms!$A$2:$A$15,"Not Found")</f>
        <v>S009</v>
      </c>
      <c r="C565" s="22" t="s">
        <v>3464</v>
      </c>
    </row>
    <row r="566" spans="1:3">
      <c r="A566" s="21" t="s">
        <v>838</v>
      </c>
      <c r="B566" s="3" t="str" cm="1">
        <f t="array" ref="B566">_xlfn.XLOOKUP($C566,_xlfn.ANCHORARRAY(Symptoms!$B$2),Symptoms!$A$2:$A$15,"Not Found")</f>
        <v>S010</v>
      </c>
      <c r="C566" s="22" t="s">
        <v>3465</v>
      </c>
    </row>
    <row r="567" spans="1:3">
      <c r="A567" s="21" t="s">
        <v>838</v>
      </c>
      <c r="B567" s="3" t="str" cm="1">
        <f t="array" ref="B567">_xlfn.XLOOKUP($C567,_xlfn.ANCHORARRAY(Symptoms!$B$2),Symptoms!$A$2:$A$15,"Not Found")</f>
        <v>S001</v>
      </c>
      <c r="C567" s="22" t="s">
        <v>3462</v>
      </c>
    </row>
    <row r="568" spans="1:3">
      <c r="A568" s="21" t="s">
        <v>839</v>
      </c>
      <c r="B568" s="3" t="str" cm="1">
        <f t="array" ref="B568">_xlfn.XLOOKUP($C568,_xlfn.ANCHORARRAY(Symptoms!$B$2),Symptoms!$A$2:$A$15,"Not Found")</f>
        <v>S005</v>
      </c>
      <c r="C568" s="22" t="s">
        <v>3461</v>
      </c>
    </row>
    <row r="569" spans="1:3">
      <c r="A569" s="21" t="s">
        <v>839</v>
      </c>
      <c r="B569" s="3" t="str" cm="1">
        <f t="array" ref="B569">_xlfn.XLOOKUP($C569,_xlfn.ANCHORARRAY(Symptoms!$B$2),Symptoms!$A$2:$A$15,"Not Found")</f>
        <v>S007</v>
      </c>
      <c r="C569" s="22" t="s">
        <v>3463</v>
      </c>
    </row>
    <row r="570" spans="1:3">
      <c r="A570" s="21" t="s">
        <v>840</v>
      </c>
      <c r="B570" s="3" t="str" cm="1">
        <f t="array" ref="B570">_xlfn.XLOOKUP($C570,_xlfn.ANCHORARRAY(Symptoms!$B$2),Symptoms!$A$2:$A$15,"Not Found")</f>
        <v>S001</v>
      </c>
      <c r="C570" s="22" t="s">
        <v>3462</v>
      </c>
    </row>
    <row r="571" spans="1:3">
      <c r="A571" s="21" t="s">
        <v>841</v>
      </c>
      <c r="B571" s="3" t="str" cm="1">
        <f t="array" ref="B571">_xlfn.XLOOKUP($C571,_xlfn.ANCHORARRAY(Symptoms!$B$2),Symptoms!$A$2:$A$15,"Not Found")</f>
        <v>S005</v>
      </c>
      <c r="C571" s="22" t="s">
        <v>3461</v>
      </c>
    </row>
    <row r="572" spans="1:3">
      <c r="A572" s="21" t="s">
        <v>842</v>
      </c>
      <c r="B572" s="3" t="str" cm="1">
        <f t="array" ref="B572">_xlfn.XLOOKUP($C572,_xlfn.ANCHORARRAY(Symptoms!$B$2),Symptoms!$A$2:$A$15,"Not Found")</f>
        <v>S013</v>
      </c>
      <c r="C572" s="22" t="s">
        <v>420</v>
      </c>
    </row>
    <row r="573" spans="1:3">
      <c r="A573" s="21" t="s">
        <v>843</v>
      </c>
      <c r="B573" s="3" t="str" cm="1">
        <f t="array" ref="B573">_xlfn.XLOOKUP($C573,_xlfn.ANCHORARRAY(Symptoms!$B$2),Symptoms!$A$2:$A$15,"Not Found")</f>
        <v>S004</v>
      </c>
      <c r="C573" s="22" t="s">
        <v>2876</v>
      </c>
    </row>
    <row r="574" spans="1:3">
      <c r="A574" s="21" t="s">
        <v>843</v>
      </c>
      <c r="B574" s="3" t="str" cm="1">
        <f t="array" ref="B574">_xlfn.XLOOKUP($C574,_xlfn.ANCHORARRAY(Symptoms!$B$2),Symptoms!$A$2:$A$15,"Not Found")</f>
        <v>S008</v>
      </c>
      <c r="C574" s="22" t="s">
        <v>3467</v>
      </c>
    </row>
    <row r="575" spans="1:3">
      <c r="A575" s="21" t="s">
        <v>843</v>
      </c>
      <c r="B575" s="3" t="str" cm="1">
        <f t="array" ref="B575">_xlfn.XLOOKUP($C575,_xlfn.ANCHORARRAY(Symptoms!$B$2),Symptoms!$A$2:$A$15,"Not Found")</f>
        <v>S007</v>
      </c>
      <c r="C575" s="22" t="s">
        <v>3463</v>
      </c>
    </row>
    <row r="576" spans="1:3">
      <c r="A576" s="21" t="s">
        <v>844</v>
      </c>
      <c r="B576" s="3" t="str" cm="1">
        <f t="array" ref="B576">_xlfn.XLOOKUP($C576,_xlfn.ANCHORARRAY(Symptoms!$B$2),Symptoms!$A$2:$A$15,"Not Found")</f>
        <v>S009</v>
      </c>
      <c r="C576" s="22" t="s">
        <v>3464</v>
      </c>
    </row>
    <row r="577" spans="1:3">
      <c r="A577" s="21" t="s">
        <v>844</v>
      </c>
      <c r="B577" s="3" t="str" cm="1">
        <f t="array" ref="B577">_xlfn.XLOOKUP($C577,_xlfn.ANCHORARRAY(Symptoms!$B$2),Symptoms!$A$2:$A$15,"Not Found")</f>
        <v>S001</v>
      </c>
      <c r="C577" s="22" t="s">
        <v>3462</v>
      </c>
    </row>
    <row r="578" spans="1:3">
      <c r="A578" s="21" t="s">
        <v>844</v>
      </c>
      <c r="B578" s="3" t="str" cm="1">
        <f t="array" ref="B578">_xlfn.XLOOKUP($C578,_xlfn.ANCHORARRAY(Symptoms!$B$2),Symptoms!$A$2:$A$15,"Not Found")</f>
        <v>S007</v>
      </c>
      <c r="C578" s="22" t="s">
        <v>3463</v>
      </c>
    </row>
    <row r="579" spans="1:3">
      <c r="A579" s="21" t="s">
        <v>845</v>
      </c>
      <c r="B579" s="3" t="str" cm="1">
        <f t="array" ref="B579">_xlfn.XLOOKUP($C579,_xlfn.ANCHORARRAY(Symptoms!$B$2),Symptoms!$A$2:$A$15,"Not Found")</f>
        <v>S013</v>
      </c>
      <c r="C579" s="22" t="s">
        <v>420</v>
      </c>
    </row>
    <row r="580" spans="1:3">
      <c r="A580" s="21" t="s">
        <v>846</v>
      </c>
      <c r="B580" s="3" t="str" cm="1">
        <f t="array" ref="B580">_xlfn.XLOOKUP($C580,_xlfn.ANCHORARRAY(Symptoms!$B$2),Symptoms!$A$2:$A$15,"Not Found")</f>
        <v>S009</v>
      </c>
      <c r="C580" s="22" t="s">
        <v>3464</v>
      </c>
    </row>
    <row r="581" spans="1:3">
      <c r="A581" s="21" t="s">
        <v>846</v>
      </c>
      <c r="B581" s="3" t="str" cm="1">
        <f t="array" ref="B581">_xlfn.XLOOKUP($C581,_xlfn.ANCHORARRAY(Symptoms!$B$2),Symptoms!$A$2:$A$15,"Not Found")</f>
        <v>S005</v>
      </c>
      <c r="C581" s="22" t="s">
        <v>3461</v>
      </c>
    </row>
    <row r="582" spans="1:3">
      <c r="A582" s="21" t="s">
        <v>847</v>
      </c>
      <c r="B582" s="3" t="str" cm="1">
        <f t="array" ref="B582">_xlfn.XLOOKUP($C582,_xlfn.ANCHORARRAY(Symptoms!$B$2),Symptoms!$A$2:$A$15,"Not Found")</f>
        <v>S005</v>
      </c>
      <c r="C582" s="22" t="s">
        <v>3461</v>
      </c>
    </row>
    <row r="583" spans="1:3">
      <c r="A583" s="21" t="s">
        <v>848</v>
      </c>
      <c r="B583" s="3" t="str" cm="1">
        <f t="array" ref="B583">_xlfn.XLOOKUP($C583,_xlfn.ANCHORARRAY(Symptoms!$B$2),Symptoms!$A$2:$A$15,"Not Found")</f>
        <v>S003</v>
      </c>
      <c r="C583" s="22" t="s">
        <v>2875</v>
      </c>
    </row>
    <row r="584" spans="1:3">
      <c r="A584" s="21" t="s">
        <v>848</v>
      </c>
      <c r="B584" s="3" t="str" cm="1">
        <f t="array" ref="B584">_xlfn.XLOOKUP($C584,_xlfn.ANCHORARRAY(Symptoms!$B$2),Symptoms!$A$2:$A$15,"Not Found")</f>
        <v>S004</v>
      </c>
      <c r="C584" s="22" t="s">
        <v>2876</v>
      </c>
    </row>
    <row r="585" spans="1:3">
      <c r="A585" s="21" t="s">
        <v>849</v>
      </c>
      <c r="B585" s="3" t="str" cm="1">
        <f t="array" ref="B585">_xlfn.XLOOKUP($C585,_xlfn.ANCHORARRAY(Symptoms!$B$2),Symptoms!$A$2:$A$15,"Not Found")</f>
        <v>S007</v>
      </c>
      <c r="C585" s="22" t="s">
        <v>3463</v>
      </c>
    </row>
    <row r="586" spans="1:3">
      <c r="A586" s="21" t="s">
        <v>850</v>
      </c>
      <c r="B586" s="3" t="str" cm="1">
        <f t="array" ref="B586">_xlfn.XLOOKUP($C586,_xlfn.ANCHORARRAY(Symptoms!$B$2),Symptoms!$A$2:$A$15,"Not Found")</f>
        <v>S005</v>
      </c>
      <c r="C586" s="22" t="s">
        <v>3461</v>
      </c>
    </row>
    <row r="587" spans="1:3">
      <c r="A587" s="21" t="s">
        <v>850</v>
      </c>
      <c r="B587" s="3" t="str" cm="1">
        <f t="array" ref="B587">_xlfn.XLOOKUP($C587,_xlfn.ANCHORARRAY(Symptoms!$B$2),Symptoms!$A$2:$A$15,"Not Found")</f>
        <v>S007</v>
      </c>
      <c r="C587" s="22" t="s">
        <v>3463</v>
      </c>
    </row>
    <row r="588" spans="1:3">
      <c r="A588" s="21" t="s">
        <v>851</v>
      </c>
      <c r="B588" s="3" t="str" cm="1">
        <f t="array" ref="B588">_xlfn.XLOOKUP($C588,_xlfn.ANCHORARRAY(Symptoms!$B$2),Symptoms!$A$2:$A$15,"Not Found")</f>
        <v>S007</v>
      </c>
      <c r="C588" s="22" t="s">
        <v>3463</v>
      </c>
    </row>
    <row r="589" spans="1:3">
      <c r="A589" s="21" t="s">
        <v>852</v>
      </c>
      <c r="B589" s="3" t="str" cm="1">
        <f t="array" ref="B589">_xlfn.XLOOKUP($C589,_xlfn.ANCHORARRAY(Symptoms!$B$2),Symptoms!$A$2:$A$15,"Not Found")</f>
        <v>S001</v>
      </c>
      <c r="C589" s="22" t="s">
        <v>3462</v>
      </c>
    </row>
    <row r="590" spans="1:3">
      <c r="A590" s="21" t="s">
        <v>852</v>
      </c>
      <c r="B590" s="3" t="str" cm="1">
        <f t="array" ref="B590">_xlfn.XLOOKUP($C590,_xlfn.ANCHORARRAY(Symptoms!$B$2),Symptoms!$A$2:$A$15,"Not Found")</f>
        <v>S002</v>
      </c>
      <c r="C590" s="22" t="s">
        <v>3466</v>
      </c>
    </row>
    <row r="591" spans="1:3">
      <c r="A591" s="21" t="s">
        <v>853</v>
      </c>
      <c r="B591" s="3" t="str" cm="1">
        <f t="array" ref="B591">_xlfn.XLOOKUP($C591,_xlfn.ANCHORARRAY(Symptoms!$B$2),Symptoms!$A$2:$A$15,"Not Found")</f>
        <v>S005</v>
      </c>
      <c r="C591" s="22" t="s">
        <v>3461</v>
      </c>
    </row>
    <row r="592" spans="1:3">
      <c r="A592" s="21" t="s">
        <v>853</v>
      </c>
      <c r="B592" s="3" t="str" cm="1">
        <f t="array" ref="B592">_xlfn.XLOOKUP($C592,_xlfn.ANCHORARRAY(Symptoms!$B$2),Symptoms!$A$2:$A$15,"Not Found")</f>
        <v>S005</v>
      </c>
      <c r="C592" s="22" t="s">
        <v>3461</v>
      </c>
    </row>
    <row r="593" spans="1:3">
      <c r="A593" s="21" t="s">
        <v>854</v>
      </c>
      <c r="B593" s="3" t="str" cm="1">
        <f t="array" ref="B593">_xlfn.XLOOKUP($C593,_xlfn.ANCHORARRAY(Symptoms!$B$2),Symptoms!$A$2:$A$15,"Not Found")</f>
        <v>S003</v>
      </c>
      <c r="C593" s="22" t="s">
        <v>2875</v>
      </c>
    </row>
    <row r="594" spans="1:3">
      <c r="A594" s="21" t="s">
        <v>854</v>
      </c>
      <c r="B594" s="3" t="str" cm="1">
        <f t="array" ref="B594">_xlfn.XLOOKUP($C594,_xlfn.ANCHORARRAY(Symptoms!$B$2),Symptoms!$A$2:$A$15,"Not Found")</f>
        <v>S004</v>
      </c>
      <c r="C594" s="22" t="s">
        <v>2876</v>
      </c>
    </row>
    <row r="595" spans="1:3">
      <c r="A595" s="21" t="s">
        <v>855</v>
      </c>
      <c r="B595" s="3" t="str" cm="1">
        <f t="array" ref="B595">_xlfn.XLOOKUP($C595,_xlfn.ANCHORARRAY(Symptoms!$B$2),Symptoms!$A$2:$A$15,"Not Found")</f>
        <v>S006</v>
      </c>
      <c r="C595" s="22" t="s">
        <v>2280</v>
      </c>
    </row>
    <row r="596" spans="1:3">
      <c r="A596" s="21" t="s">
        <v>856</v>
      </c>
      <c r="B596" s="3" t="str" cm="1">
        <f t="array" ref="B596">_xlfn.XLOOKUP($C596,_xlfn.ANCHORARRAY(Symptoms!$B$2),Symptoms!$A$2:$A$15,"Not Found")</f>
        <v>S007</v>
      </c>
      <c r="C596" s="22" t="s">
        <v>3463</v>
      </c>
    </row>
    <row r="597" spans="1:3">
      <c r="A597" s="21" t="s">
        <v>857</v>
      </c>
      <c r="B597" s="3" t="str" cm="1">
        <f t="array" ref="B597">_xlfn.XLOOKUP($C597,_xlfn.ANCHORARRAY(Symptoms!$B$2),Symptoms!$A$2:$A$15,"Not Found")</f>
        <v>S007</v>
      </c>
      <c r="C597" s="22" t="s">
        <v>3463</v>
      </c>
    </row>
    <row r="598" spans="1:3">
      <c r="A598" s="21" t="s">
        <v>858</v>
      </c>
      <c r="B598" s="3" t="str" cm="1">
        <f t="array" ref="B598">_xlfn.XLOOKUP($C598,_xlfn.ANCHORARRAY(Symptoms!$B$2),Symptoms!$A$2:$A$15,"Not Found")</f>
        <v>S007</v>
      </c>
      <c r="C598" s="22" t="s">
        <v>3463</v>
      </c>
    </row>
    <row r="599" spans="1:3">
      <c r="A599" s="21" t="s">
        <v>859</v>
      </c>
      <c r="B599" s="3" t="str" cm="1">
        <f t="array" ref="B599">_xlfn.XLOOKUP($C599,_xlfn.ANCHORARRAY(Symptoms!$B$2),Symptoms!$A$2:$A$15,"Not Found")</f>
        <v>S005</v>
      </c>
      <c r="C599" s="22" t="s">
        <v>3461</v>
      </c>
    </row>
    <row r="600" spans="1:3">
      <c r="A600" s="21" t="s">
        <v>859</v>
      </c>
      <c r="B600" s="3" t="str" cm="1">
        <f t="array" ref="B600">_xlfn.XLOOKUP($C600,_xlfn.ANCHORARRAY(Symptoms!$B$2),Symptoms!$A$2:$A$15,"Not Found")</f>
        <v>S007</v>
      </c>
      <c r="C600" s="22" t="s">
        <v>3463</v>
      </c>
    </row>
    <row r="601" spans="1:3">
      <c r="A601" s="21" t="s">
        <v>860</v>
      </c>
      <c r="B601" s="3" t="str" cm="1">
        <f t="array" ref="B601">_xlfn.XLOOKUP($C601,_xlfn.ANCHORARRAY(Symptoms!$B$2),Symptoms!$A$2:$A$15,"Not Found")</f>
        <v>S005</v>
      </c>
      <c r="C601" s="22" t="s">
        <v>3461</v>
      </c>
    </row>
    <row r="602" spans="1:3">
      <c r="A602" s="21" t="s">
        <v>860</v>
      </c>
      <c r="B602" s="3" t="str" cm="1">
        <f t="array" ref="B602">_xlfn.XLOOKUP($C602,_xlfn.ANCHORARRAY(Symptoms!$B$2),Symptoms!$A$2:$A$15,"Not Found")</f>
        <v>S001</v>
      </c>
      <c r="C602" s="22" t="s">
        <v>3462</v>
      </c>
    </row>
    <row r="603" spans="1:3">
      <c r="A603" s="21" t="s">
        <v>860</v>
      </c>
      <c r="B603" s="3" t="str" cm="1">
        <f t="array" ref="B603">_xlfn.XLOOKUP($C603,_xlfn.ANCHORARRAY(Symptoms!$B$2),Symptoms!$A$2:$A$15,"Not Found")</f>
        <v>S009</v>
      </c>
      <c r="C603" s="22" t="s">
        <v>3464</v>
      </c>
    </row>
    <row r="604" spans="1:3">
      <c r="A604" s="21" t="s">
        <v>861</v>
      </c>
      <c r="B604" s="3" t="str" cm="1">
        <f t="array" ref="B604">_xlfn.XLOOKUP($C604,_xlfn.ANCHORARRAY(Symptoms!$B$2),Symptoms!$A$2:$A$15,"Not Found")</f>
        <v>S010</v>
      </c>
      <c r="C604" s="22" t="s">
        <v>3465</v>
      </c>
    </row>
    <row r="605" spans="1:3">
      <c r="A605" s="21" t="s">
        <v>861</v>
      </c>
      <c r="B605" s="3" t="str" cm="1">
        <f t="array" ref="B605">_xlfn.XLOOKUP($C605,_xlfn.ANCHORARRAY(Symptoms!$B$2),Symptoms!$A$2:$A$15,"Not Found")</f>
        <v>S001</v>
      </c>
      <c r="C605" s="22" t="s">
        <v>3462</v>
      </c>
    </row>
    <row r="606" spans="1:3">
      <c r="A606" s="21" t="s">
        <v>862</v>
      </c>
      <c r="B606" s="3" t="str" cm="1">
        <f t="array" ref="B606">_xlfn.XLOOKUP($C606,_xlfn.ANCHORARRAY(Symptoms!$B$2),Symptoms!$A$2:$A$15,"Not Found")</f>
        <v>S005</v>
      </c>
      <c r="C606" s="22" t="s">
        <v>3461</v>
      </c>
    </row>
    <row r="607" spans="1:3">
      <c r="A607" s="21" t="s">
        <v>862</v>
      </c>
      <c r="B607" s="3" t="str" cm="1">
        <f t="array" ref="B607">_xlfn.XLOOKUP($C607,_xlfn.ANCHORARRAY(Symptoms!$B$2),Symptoms!$A$2:$A$15,"Not Found")</f>
        <v>S007</v>
      </c>
      <c r="C607" s="22" t="s">
        <v>3463</v>
      </c>
    </row>
    <row r="608" spans="1:3">
      <c r="A608" s="21" t="s">
        <v>863</v>
      </c>
      <c r="B608" s="3" t="str" cm="1">
        <f t="array" ref="B608">_xlfn.XLOOKUP($C608,_xlfn.ANCHORARRAY(Symptoms!$B$2),Symptoms!$A$2:$A$15,"Not Found")</f>
        <v>S001</v>
      </c>
      <c r="C608" s="22" t="s">
        <v>3462</v>
      </c>
    </row>
    <row r="609" spans="1:3">
      <c r="A609" s="21" t="s">
        <v>864</v>
      </c>
      <c r="B609" s="3" t="str" cm="1">
        <f t="array" ref="B609">_xlfn.XLOOKUP($C609,_xlfn.ANCHORARRAY(Symptoms!$B$2),Symptoms!$A$2:$A$15,"Not Found")</f>
        <v>S005</v>
      </c>
      <c r="C609" s="22" t="s">
        <v>3461</v>
      </c>
    </row>
    <row r="610" spans="1:3">
      <c r="A610" s="21" t="s">
        <v>865</v>
      </c>
      <c r="B610" s="3" t="str" cm="1">
        <f t="array" ref="B610">_xlfn.XLOOKUP($C610,_xlfn.ANCHORARRAY(Symptoms!$B$2),Symptoms!$A$2:$A$15,"Not Found")</f>
        <v>S013</v>
      </c>
      <c r="C610" s="22" t="s">
        <v>420</v>
      </c>
    </row>
    <row r="611" spans="1:3">
      <c r="A611" s="21" t="s">
        <v>866</v>
      </c>
      <c r="B611" s="3" t="str" cm="1">
        <f t="array" ref="B611">_xlfn.XLOOKUP($C611,_xlfn.ANCHORARRAY(Symptoms!$B$2),Symptoms!$A$2:$A$15,"Not Found")</f>
        <v>S004</v>
      </c>
      <c r="C611" s="22" t="s">
        <v>2876</v>
      </c>
    </row>
    <row r="612" spans="1:3">
      <c r="A612" s="21" t="s">
        <v>866</v>
      </c>
      <c r="B612" s="3" t="str" cm="1">
        <f t="array" ref="B612">_xlfn.XLOOKUP($C612,_xlfn.ANCHORARRAY(Symptoms!$B$2),Symptoms!$A$2:$A$15,"Not Found")</f>
        <v>S008</v>
      </c>
      <c r="C612" s="22" t="s">
        <v>3467</v>
      </c>
    </row>
    <row r="613" spans="1:3">
      <c r="A613" s="21" t="s">
        <v>866</v>
      </c>
      <c r="B613" s="3" t="str" cm="1">
        <f t="array" ref="B613">_xlfn.XLOOKUP($C613,_xlfn.ANCHORARRAY(Symptoms!$B$2),Symptoms!$A$2:$A$15,"Not Found")</f>
        <v>S007</v>
      </c>
      <c r="C613" s="22" t="s">
        <v>3463</v>
      </c>
    </row>
    <row r="614" spans="1:3">
      <c r="A614" s="21" t="s">
        <v>867</v>
      </c>
      <c r="B614" s="3" t="str" cm="1">
        <f t="array" ref="B614">_xlfn.XLOOKUP($C614,_xlfn.ANCHORARRAY(Symptoms!$B$2),Symptoms!$A$2:$A$15,"Not Found")</f>
        <v>S009</v>
      </c>
      <c r="C614" s="22" t="s">
        <v>3464</v>
      </c>
    </row>
    <row r="615" spans="1:3">
      <c r="A615" s="21" t="s">
        <v>867</v>
      </c>
      <c r="B615" s="3" t="str" cm="1">
        <f t="array" ref="B615">_xlfn.XLOOKUP($C615,_xlfn.ANCHORARRAY(Symptoms!$B$2),Symptoms!$A$2:$A$15,"Not Found")</f>
        <v>S001</v>
      </c>
      <c r="C615" s="22" t="s">
        <v>3462</v>
      </c>
    </row>
    <row r="616" spans="1:3">
      <c r="A616" s="21" t="s">
        <v>867</v>
      </c>
      <c r="B616" s="3" t="str" cm="1">
        <f t="array" ref="B616">_xlfn.XLOOKUP($C616,_xlfn.ANCHORARRAY(Symptoms!$B$2),Symptoms!$A$2:$A$15,"Not Found")</f>
        <v>S007</v>
      </c>
      <c r="C616" s="22" t="s">
        <v>3463</v>
      </c>
    </row>
    <row r="617" spans="1:3">
      <c r="A617" s="21" t="s">
        <v>868</v>
      </c>
      <c r="B617" s="3" t="str" cm="1">
        <f t="array" ref="B617">_xlfn.XLOOKUP($C617,_xlfn.ANCHORARRAY(Symptoms!$B$2),Symptoms!$A$2:$A$15,"Not Found")</f>
        <v>S013</v>
      </c>
      <c r="C617" s="22" t="s">
        <v>420</v>
      </c>
    </row>
    <row r="618" spans="1:3">
      <c r="A618" s="21" t="s">
        <v>869</v>
      </c>
      <c r="B618" s="3" t="str" cm="1">
        <f t="array" ref="B618">_xlfn.XLOOKUP($C618,_xlfn.ANCHORARRAY(Symptoms!$B$2),Symptoms!$A$2:$A$15,"Not Found")</f>
        <v>S009</v>
      </c>
      <c r="C618" s="22" t="s">
        <v>3464</v>
      </c>
    </row>
    <row r="619" spans="1:3">
      <c r="A619" s="21" t="s">
        <v>869</v>
      </c>
      <c r="B619" s="3" t="str" cm="1">
        <f t="array" ref="B619">_xlfn.XLOOKUP($C619,_xlfn.ANCHORARRAY(Symptoms!$B$2),Symptoms!$A$2:$A$15,"Not Found")</f>
        <v>S005</v>
      </c>
      <c r="C619" s="22" t="s">
        <v>3461</v>
      </c>
    </row>
    <row r="620" spans="1:3">
      <c r="A620" s="21" t="s">
        <v>870</v>
      </c>
      <c r="B620" s="3" t="str" cm="1">
        <f t="array" ref="B620">_xlfn.XLOOKUP($C620,_xlfn.ANCHORARRAY(Symptoms!$B$2),Symptoms!$A$2:$A$15,"Not Found")</f>
        <v>S005</v>
      </c>
      <c r="C620" s="22" t="s">
        <v>3461</v>
      </c>
    </row>
    <row r="621" spans="1:3">
      <c r="A621" s="21" t="s">
        <v>871</v>
      </c>
      <c r="B621" s="3" t="str" cm="1">
        <f t="array" ref="B621">_xlfn.XLOOKUP($C621,_xlfn.ANCHORARRAY(Symptoms!$B$2),Symptoms!$A$2:$A$15,"Not Found")</f>
        <v>S003</v>
      </c>
      <c r="C621" s="22" t="s">
        <v>2875</v>
      </c>
    </row>
    <row r="622" spans="1:3">
      <c r="A622" s="21" t="s">
        <v>871</v>
      </c>
      <c r="B622" s="3" t="str" cm="1">
        <f t="array" ref="B622">_xlfn.XLOOKUP($C622,_xlfn.ANCHORARRAY(Symptoms!$B$2),Symptoms!$A$2:$A$15,"Not Found")</f>
        <v>S004</v>
      </c>
      <c r="C622" s="22" t="s">
        <v>2876</v>
      </c>
    </row>
    <row r="623" spans="1:3">
      <c r="A623" s="21" t="s">
        <v>872</v>
      </c>
      <c r="B623" s="3" t="str" cm="1">
        <f t="array" ref="B623">_xlfn.XLOOKUP($C623,_xlfn.ANCHORARRAY(Symptoms!$B$2),Symptoms!$A$2:$A$15,"Not Found")</f>
        <v>S007</v>
      </c>
      <c r="C623" s="22" t="s">
        <v>3463</v>
      </c>
    </row>
    <row r="624" spans="1:3">
      <c r="A624" s="21" t="s">
        <v>873</v>
      </c>
      <c r="B624" s="3" t="str" cm="1">
        <f t="array" ref="B624">_xlfn.XLOOKUP($C624,_xlfn.ANCHORARRAY(Symptoms!$B$2),Symptoms!$A$2:$A$15,"Not Found")</f>
        <v>S005</v>
      </c>
      <c r="C624" s="22" t="s">
        <v>3461</v>
      </c>
    </row>
    <row r="625" spans="1:3">
      <c r="A625" s="21" t="s">
        <v>873</v>
      </c>
      <c r="B625" s="3" t="str" cm="1">
        <f t="array" ref="B625">_xlfn.XLOOKUP($C625,_xlfn.ANCHORARRAY(Symptoms!$B$2),Symptoms!$A$2:$A$15,"Not Found")</f>
        <v>S007</v>
      </c>
      <c r="C625" s="22" t="s">
        <v>3463</v>
      </c>
    </row>
    <row r="626" spans="1:3">
      <c r="A626" s="21" t="s">
        <v>874</v>
      </c>
      <c r="B626" s="3" t="str" cm="1">
        <f t="array" ref="B626">_xlfn.XLOOKUP($C626,_xlfn.ANCHORARRAY(Symptoms!$B$2),Symptoms!$A$2:$A$15,"Not Found")</f>
        <v>S007</v>
      </c>
      <c r="C626" s="22" t="s">
        <v>3463</v>
      </c>
    </row>
    <row r="627" spans="1:3">
      <c r="A627" s="21" t="s">
        <v>875</v>
      </c>
      <c r="B627" s="3" t="str" cm="1">
        <f t="array" ref="B627">_xlfn.XLOOKUP($C627,_xlfn.ANCHORARRAY(Symptoms!$B$2),Symptoms!$A$2:$A$15,"Not Found")</f>
        <v>S001</v>
      </c>
      <c r="C627" s="22" t="s">
        <v>3462</v>
      </c>
    </row>
    <row r="628" spans="1:3">
      <c r="A628" s="21" t="s">
        <v>875</v>
      </c>
      <c r="B628" s="3" t="str" cm="1">
        <f t="array" ref="B628">_xlfn.XLOOKUP($C628,_xlfn.ANCHORARRAY(Symptoms!$B$2),Symptoms!$A$2:$A$15,"Not Found")</f>
        <v>S002</v>
      </c>
      <c r="C628" s="22" t="s">
        <v>3466</v>
      </c>
    </row>
    <row r="629" spans="1:3">
      <c r="A629" s="21" t="s">
        <v>876</v>
      </c>
      <c r="B629" s="3" t="str" cm="1">
        <f t="array" ref="B629">_xlfn.XLOOKUP($C629,_xlfn.ANCHORARRAY(Symptoms!$B$2),Symptoms!$A$2:$A$15,"Not Found")</f>
        <v>S005</v>
      </c>
      <c r="C629" s="22" t="s">
        <v>3461</v>
      </c>
    </row>
    <row r="630" spans="1:3">
      <c r="A630" s="21" t="s">
        <v>877</v>
      </c>
      <c r="B630" s="3" t="str" cm="1">
        <f t="array" ref="B630">_xlfn.XLOOKUP($C630,_xlfn.ANCHORARRAY(Symptoms!$B$2),Symptoms!$A$2:$A$15,"Not Found")</f>
        <v>S005</v>
      </c>
      <c r="C630" s="22" t="s">
        <v>3461</v>
      </c>
    </row>
    <row r="631" spans="1:3">
      <c r="A631" s="21" t="s">
        <v>877</v>
      </c>
      <c r="B631" s="3" t="str" cm="1">
        <f t="array" ref="B631">_xlfn.XLOOKUP($C631,_xlfn.ANCHORARRAY(Symptoms!$B$2),Symptoms!$A$2:$A$15,"Not Found")</f>
        <v>S003</v>
      </c>
      <c r="C631" s="22" t="s">
        <v>2875</v>
      </c>
    </row>
    <row r="632" spans="1:3">
      <c r="A632" s="21" t="s">
        <v>877</v>
      </c>
      <c r="B632" s="3" t="str" cm="1">
        <f t="array" ref="B632">_xlfn.XLOOKUP($C632,_xlfn.ANCHORARRAY(Symptoms!$B$2),Symptoms!$A$2:$A$15,"Not Found")</f>
        <v>S004</v>
      </c>
      <c r="C632" s="22" t="s">
        <v>2876</v>
      </c>
    </row>
    <row r="633" spans="1:3">
      <c r="A633" s="21" t="s">
        <v>878</v>
      </c>
      <c r="B633" s="3" t="str" cm="1">
        <f t="array" ref="B633">_xlfn.XLOOKUP($C633,_xlfn.ANCHORARRAY(Symptoms!$B$2),Symptoms!$A$2:$A$15,"Not Found")</f>
        <v>S006</v>
      </c>
      <c r="C633" s="22" t="s">
        <v>2280</v>
      </c>
    </row>
    <row r="634" spans="1:3">
      <c r="A634" s="21" t="s">
        <v>879</v>
      </c>
      <c r="B634" s="3" t="str" cm="1">
        <f t="array" ref="B634">_xlfn.XLOOKUP($C634,_xlfn.ANCHORARRAY(Symptoms!$B$2),Symptoms!$A$2:$A$15,"Not Found")</f>
        <v>S007</v>
      </c>
      <c r="C634" s="22" t="s">
        <v>3463</v>
      </c>
    </row>
    <row r="635" spans="1:3">
      <c r="A635" s="21" t="s">
        <v>880</v>
      </c>
      <c r="B635" s="3" t="str" cm="1">
        <f t="array" ref="B635">_xlfn.XLOOKUP($C635,_xlfn.ANCHORARRAY(Symptoms!$B$2),Symptoms!$A$2:$A$15,"Not Found")</f>
        <v>S007</v>
      </c>
      <c r="C635" s="22" t="s">
        <v>3463</v>
      </c>
    </row>
    <row r="636" spans="1:3">
      <c r="A636" s="21" t="s">
        <v>881</v>
      </c>
      <c r="B636" s="3" t="str" cm="1">
        <f t="array" ref="B636">_xlfn.XLOOKUP($C636,_xlfn.ANCHORARRAY(Symptoms!$B$2),Symptoms!$A$2:$A$15,"Not Found")</f>
        <v>S007</v>
      </c>
      <c r="C636" s="22" t="s">
        <v>3463</v>
      </c>
    </row>
    <row r="637" spans="1:3">
      <c r="A637" s="21" t="s">
        <v>882</v>
      </c>
      <c r="B637" s="3" t="str" cm="1">
        <f t="array" ref="B637">_xlfn.XLOOKUP($C637,_xlfn.ANCHORARRAY(Symptoms!$B$2),Symptoms!$A$2:$A$15,"Not Found")</f>
        <v>S005</v>
      </c>
      <c r="C637" s="22" t="s">
        <v>3461</v>
      </c>
    </row>
    <row r="638" spans="1:3">
      <c r="A638" s="21" t="s">
        <v>882</v>
      </c>
      <c r="B638" s="3" t="str" cm="1">
        <f t="array" ref="B638">_xlfn.XLOOKUP($C638,_xlfn.ANCHORARRAY(Symptoms!$B$2),Symptoms!$A$2:$A$15,"Not Found")</f>
        <v>S007</v>
      </c>
      <c r="C638" s="22" t="s">
        <v>3463</v>
      </c>
    </row>
    <row r="639" spans="1:3">
      <c r="A639" s="21" t="s">
        <v>883</v>
      </c>
      <c r="B639" s="3" t="str" cm="1">
        <f t="array" ref="B639">_xlfn.XLOOKUP($C639,_xlfn.ANCHORARRAY(Symptoms!$B$2),Symptoms!$A$2:$A$15,"Not Found")</f>
        <v>S005</v>
      </c>
      <c r="C639" s="22" t="s">
        <v>3461</v>
      </c>
    </row>
    <row r="640" spans="1:3">
      <c r="A640" s="21" t="s">
        <v>883</v>
      </c>
      <c r="B640" s="3" t="str" cm="1">
        <f t="array" ref="B640">_xlfn.XLOOKUP($C640,_xlfn.ANCHORARRAY(Symptoms!$B$2),Symptoms!$A$2:$A$15,"Not Found")</f>
        <v>S001</v>
      </c>
      <c r="C640" s="22" t="s">
        <v>3462</v>
      </c>
    </row>
    <row r="641" spans="1:3">
      <c r="A641" s="21" t="s">
        <v>883</v>
      </c>
      <c r="B641" s="3" t="str" cm="1">
        <f t="array" ref="B641">_xlfn.XLOOKUP($C641,_xlfn.ANCHORARRAY(Symptoms!$B$2),Symptoms!$A$2:$A$15,"Not Found")</f>
        <v>S009</v>
      </c>
      <c r="C641" s="22" t="s">
        <v>3464</v>
      </c>
    </row>
    <row r="642" spans="1:3">
      <c r="A642" s="21" t="s">
        <v>884</v>
      </c>
      <c r="B642" s="3" t="str" cm="1">
        <f t="array" ref="B642">_xlfn.XLOOKUP($C642,_xlfn.ANCHORARRAY(Symptoms!$B$2),Symptoms!$A$2:$A$15,"Not Found")</f>
        <v>S010</v>
      </c>
      <c r="C642" s="22" t="s">
        <v>3465</v>
      </c>
    </row>
    <row r="643" spans="1:3">
      <c r="A643" s="21" t="s">
        <v>884</v>
      </c>
      <c r="B643" s="3" t="str" cm="1">
        <f t="array" ref="B643">_xlfn.XLOOKUP($C643,_xlfn.ANCHORARRAY(Symptoms!$B$2),Symptoms!$A$2:$A$15,"Not Found")</f>
        <v>S001</v>
      </c>
      <c r="C643" s="22" t="s">
        <v>3462</v>
      </c>
    </row>
    <row r="644" spans="1:3">
      <c r="A644" s="21" t="s">
        <v>885</v>
      </c>
      <c r="B644" s="3" t="str" cm="1">
        <f t="array" ref="B644">_xlfn.XLOOKUP($C644,_xlfn.ANCHORARRAY(Symptoms!$B$2),Symptoms!$A$2:$A$15,"Not Found")</f>
        <v>S005</v>
      </c>
      <c r="C644" s="22" t="s">
        <v>3461</v>
      </c>
    </row>
    <row r="645" spans="1:3">
      <c r="A645" s="21" t="s">
        <v>885</v>
      </c>
      <c r="B645" s="3" t="str" cm="1">
        <f t="array" ref="B645">_xlfn.XLOOKUP($C645,_xlfn.ANCHORARRAY(Symptoms!$B$2),Symptoms!$A$2:$A$15,"Not Found")</f>
        <v>S007</v>
      </c>
      <c r="C645" s="22" t="s">
        <v>3463</v>
      </c>
    </row>
    <row r="646" spans="1:3">
      <c r="A646" s="21" t="s">
        <v>886</v>
      </c>
      <c r="B646" s="3" t="str" cm="1">
        <f t="array" ref="B646">_xlfn.XLOOKUP($C646,_xlfn.ANCHORARRAY(Symptoms!$B$2),Symptoms!$A$2:$A$15,"Not Found")</f>
        <v>S001</v>
      </c>
      <c r="C646" s="22" t="s">
        <v>3462</v>
      </c>
    </row>
    <row r="647" spans="1:3">
      <c r="A647" s="21" t="s">
        <v>887</v>
      </c>
      <c r="B647" s="3" t="str" cm="1">
        <f t="array" ref="B647">_xlfn.XLOOKUP($C647,_xlfn.ANCHORARRAY(Symptoms!$B$2),Symptoms!$A$2:$A$15,"Not Found")</f>
        <v>S005</v>
      </c>
      <c r="C647" s="22" t="s">
        <v>3461</v>
      </c>
    </row>
    <row r="648" spans="1:3">
      <c r="A648" s="21" t="s">
        <v>888</v>
      </c>
      <c r="B648" s="3" t="str" cm="1">
        <f t="array" ref="B648">_xlfn.XLOOKUP($C648,_xlfn.ANCHORARRAY(Symptoms!$B$2),Symptoms!$A$2:$A$15,"Not Found")</f>
        <v>S013</v>
      </c>
      <c r="C648" s="22" t="s">
        <v>420</v>
      </c>
    </row>
    <row r="649" spans="1:3">
      <c r="A649" s="21" t="s">
        <v>889</v>
      </c>
      <c r="B649" s="3" t="str" cm="1">
        <f t="array" ref="B649">_xlfn.XLOOKUP($C649,_xlfn.ANCHORARRAY(Symptoms!$B$2),Symptoms!$A$2:$A$15,"Not Found")</f>
        <v>S004</v>
      </c>
      <c r="C649" s="22" t="s">
        <v>2876</v>
      </c>
    </row>
    <row r="650" spans="1:3">
      <c r="A650" s="21" t="s">
        <v>889</v>
      </c>
      <c r="B650" s="3" t="str" cm="1">
        <f t="array" ref="B650">_xlfn.XLOOKUP($C650,_xlfn.ANCHORARRAY(Symptoms!$B$2),Symptoms!$A$2:$A$15,"Not Found")</f>
        <v>S008</v>
      </c>
      <c r="C650" s="22" t="s">
        <v>3467</v>
      </c>
    </row>
    <row r="651" spans="1:3">
      <c r="A651" s="21" t="s">
        <v>889</v>
      </c>
      <c r="B651" s="3" t="str" cm="1">
        <f t="array" ref="B651">_xlfn.XLOOKUP($C651,_xlfn.ANCHORARRAY(Symptoms!$B$2),Symptoms!$A$2:$A$15,"Not Found")</f>
        <v>S007</v>
      </c>
      <c r="C651" s="22" t="s">
        <v>3463</v>
      </c>
    </row>
    <row r="652" spans="1:3">
      <c r="A652" s="21" t="s">
        <v>890</v>
      </c>
      <c r="B652" s="3" t="str" cm="1">
        <f t="array" ref="B652">_xlfn.XLOOKUP($C652,_xlfn.ANCHORARRAY(Symptoms!$B$2),Symptoms!$A$2:$A$15,"Not Found")</f>
        <v>S009</v>
      </c>
      <c r="C652" s="22" t="s">
        <v>3464</v>
      </c>
    </row>
    <row r="653" spans="1:3">
      <c r="A653" s="21" t="s">
        <v>890</v>
      </c>
      <c r="B653" s="3" t="str" cm="1">
        <f t="array" ref="B653">_xlfn.XLOOKUP($C653,_xlfn.ANCHORARRAY(Symptoms!$B$2),Symptoms!$A$2:$A$15,"Not Found")</f>
        <v>S001</v>
      </c>
      <c r="C653" s="22" t="s">
        <v>3462</v>
      </c>
    </row>
    <row r="654" spans="1:3">
      <c r="A654" s="21" t="s">
        <v>890</v>
      </c>
      <c r="B654" s="3" t="str" cm="1">
        <f t="array" ref="B654">_xlfn.XLOOKUP($C654,_xlfn.ANCHORARRAY(Symptoms!$B$2),Symptoms!$A$2:$A$15,"Not Found")</f>
        <v>S007</v>
      </c>
      <c r="C654" s="22" t="s">
        <v>3463</v>
      </c>
    </row>
    <row r="655" spans="1:3">
      <c r="A655" s="21" t="s">
        <v>891</v>
      </c>
      <c r="B655" s="3" t="str" cm="1">
        <f t="array" ref="B655">_xlfn.XLOOKUP($C655,_xlfn.ANCHORARRAY(Symptoms!$B$2),Symptoms!$A$2:$A$15,"Not Found")</f>
        <v>S013</v>
      </c>
      <c r="C655" s="22" t="s">
        <v>420</v>
      </c>
    </row>
    <row r="656" spans="1:3">
      <c r="A656" s="21" t="s">
        <v>892</v>
      </c>
      <c r="B656" s="3" t="str" cm="1">
        <f t="array" ref="B656">_xlfn.XLOOKUP($C656,_xlfn.ANCHORARRAY(Symptoms!$B$2),Symptoms!$A$2:$A$15,"Not Found")</f>
        <v>S009</v>
      </c>
      <c r="C656" s="22" t="s">
        <v>3464</v>
      </c>
    </row>
    <row r="657" spans="1:3">
      <c r="A657" s="21" t="s">
        <v>892</v>
      </c>
      <c r="B657" s="3" t="str" cm="1">
        <f t="array" ref="B657">_xlfn.XLOOKUP($C657,_xlfn.ANCHORARRAY(Symptoms!$B$2),Symptoms!$A$2:$A$15,"Not Found")</f>
        <v>S005</v>
      </c>
      <c r="C657" s="22" t="s">
        <v>3461</v>
      </c>
    </row>
    <row r="658" spans="1:3">
      <c r="A658" s="21" t="s">
        <v>893</v>
      </c>
      <c r="B658" s="3" t="str" cm="1">
        <f t="array" ref="B658">_xlfn.XLOOKUP($C658,_xlfn.ANCHORARRAY(Symptoms!$B$2),Symptoms!$A$2:$A$15,"Not Found")</f>
        <v>S005</v>
      </c>
      <c r="C658" s="22" t="s">
        <v>3461</v>
      </c>
    </row>
    <row r="659" spans="1:3">
      <c r="A659" s="21" t="s">
        <v>894</v>
      </c>
      <c r="B659" s="3" t="str" cm="1">
        <f t="array" ref="B659">_xlfn.XLOOKUP($C659,_xlfn.ANCHORARRAY(Symptoms!$B$2),Symptoms!$A$2:$A$15,"Not Found")</f>
        <v>S003</v>
      </c>
      <c r="C659" s="22" t="s">
        <v>2875</v>
      </c>
    </row>
    <row r="660" spans="1:3">
      <c r="A660" s="21" t="s">
        <v>894</v>
      </c>
      <c r="B660" s="3" t="str" cm="1">
        <f t="array" ref="B660">_xlfn.XLOOKUP($C660,_xlfn.ANCHORARRAY(Symptoms!$B$2),Symptoms!$A$2:$A$15,"Not Found")</f>
        <v>S004</v>
      </c>
      <c r="C660" s="22" t="s">
        <v>2876</v>
      </c>
    </row>
    <row r="661" spans="1:3">
      <c r="A661" s="21" t="s">
        <v>895</v>
      </c>
      <c r="B661" s="3" t="str" cm="1">
        <f t="array" ref="B661">_xlfn.XLOOKUP($C661,_xlfn.ANCHORARRAY(Symptoms!$B$2),Symptoms!$A$2:$A$15,"Not Found")</f>
        <v>S007</v>
      </c>
      <c r="C661" s="22" t="s">
        <v>3463</v>
      </c>
    </row>
    <row r="662" spans="1:3">
      <c r="A662" s="21" t="s">
        <v>896</v>
      </c>
      <c r="B662" s="3" t="str" cm="1">
        <f t="array" ref="B662">_xlfn.XLOOKUP($C662,_xlfn.ANCHORARRAY(Symptoms!$B$2),Symptoms!$A$2:$A$15,"Not Found")</f>
        <v>S005</v>
      </c>
      <c r="C662" s="22" t="s">
        <v>3461</v>
      </c>
    </row>
    <row r="663" spans="1:3">
      <c r="A663" s="21" t="s">
        <v>896</v>
      </c>
      <c r="B663" s="3" t="str" cm="1">
        <f t="array" ref="B663">_xlfn.XLOOKUP($C663,_xlfn.ANCHORARRAY(Symptoms!$B$2),Symptoms!$A$2:$A$15,"Not Found")</f>
        <v>S007</v>
      </c>
      <c r="C663" s="22" t="s">
        <v>3463</v>
      </c>
    </row>
    <row r="664" spans="1:3">
      <c r="A664" s="21" t="s">
        <v>897</v>
      </c>
      <c r="B664" s="3" t="str" cm="1">
        <f t="array" ref="B664">_xlfn.XLOOKUP($C664,_xlfn.ANCHORARRAY(Symptoms!$B$2),Symptoms!$A$2:$A$15,"Not Found")</f>
        <v>S007</v>
      </c>
      <c r="C664" s="22" t="s">
        <v>3463</v>
      </c>
    </row>
    <row r="665" spans="1:3">
      <c r="A665" s="21" t="s">
        <v>898</v>
      </c>
      <c r="B665" s="3" t="str" cm="1">
        <f t="array" ref="B665">_xlfn.XLOOKUP($C665,_xlfn.ANCHORARRAY(Symptoms!$B$2),Symptoms!$A$2:$A$15,"Not Found")</f>
        <v>S001</v>
      </c>
      <c r="C665" s="22" t="s">
        <v>3462</v>
      </c>
    </row>
    <row r="666" spans="1:3">
      <c r="A666" s="21" t="s">
        <v>898</v>
      </c>
      <c r="B666" s="3" t="str" cm="1">
        <f t="array" ref="B666">_xlfn.XLOOKUP($C666,_xlfn.ANCHORARRAY(Symptoms!$B$2),Symptoms!$A$2:$A$15,"Not Found")</f>
        <v>S002</v>
      </c>
      <c r="C666" s="22" t="s">
        <v>3466</v>
      </c>
    </row>
    <row r="667" spans="1:3">
      <c r="A667" s="21" t="s">
        <v>899</v>
      </c>
      <c r="B667" s="3" t="str" cm="1">
        <f t="array" ref="B667">_xlfn.XLOOKUP($C667,_xlfn.ANCHORARRAY(Symptoms!$B$2),Symptoms!$A$2:$A$15,"Not Found")</f>
        <v>S005</v>
      </c>
      <c r="C667" s="22" t="s">
        <v>3461</v>
      </c>
    </row>
    <row r="668" spans="1:3">
      <c r="A668" s="21" t="s">
        <v>900</v>
      </c>
      <c r="B668" s="3" t="str" cm="1">
        <f t="array" ref="B668">_xlfn.XLOOKUP($C668,_xlfn.ANCHORARRAY(Symptoms!$B$2),Symptoms!$A$2:$A$15,"Not Found")</f>
        <v>S005</v>
      </c>
      <c r="C668" s="22" t="s">
        <v>3461</v>
      </c>
    </row>
    <row r="669" spans="1:3">
      <c r="A669" s="21" t="s">
        <v>901</v>
      </c>
      <c r="B669" s="3" t="str" cm="1">
        <f t="array" ref="B669">_xlfn.XLOOKUP($C669,_xlfn.ANCHORARRAY(Symptoms!$B$2),Symptoms!$A$2:$A$15,"Not Found")</f>
        <v>S003</v>
      </c>
      <c r="C669" s="22" t="s">
        <v>2875</v>
      </c>
    </row>
    <row r="670" spans="1:3">
      <c r="A670" s="21" t="s">
        <v>901</v>
      </c>
      <c r="B670" s="3" t="str" cm="1">
        <f t="array" ref="B670">_xlfn.XLOOKUP($C670,_xlfn.ANCHORARRAY(Symptoms!$B$2),Symptoms!$A$2:$A$15,"Not Found")</f>
        <v>S004</v>
      </c>
      <c r="C670" s="22" t="s">
        <v>2876</v>
      </c>
    </row>
    <row r="671" spans="1:3">
      <c r="A671" s="21" t="s">
        <v>901</v>
      </c>
      <c r="B671" s="3" t="str" cm="1">
        <f t="array" ref="B671">_xlfn.XLOOKUP($C671,_xlfn.ANCHORARRAY(Symptoms!$B$2),Symptoms!$A$2:$A$15,"Not Found")</f>
        <v>S006</v>
      </c>
      <c r="C671" s="22" t="s">
        <v>2280</v>
      </c>
    </row>
    <row r="672" spans="1:3">
      <c r="A672" s="21" t="s">
        <v>902</v>
      </c>
      <c r="B672" s="3" t="str" cm="1">
        <f t="array" ref="B672">_xlfn.XLOOKUP($C672,_xlfn.ANCHORARRAY(Symptoms!$B$2),Symptoms!$A$2:$A$15,"Not Found")</f>
        <v>S007</v>
      </c>
      <c r="C672" s="22" t="s">
        <v>3463</v>
      </c>
    </row>
    <row r="673" spans="1:3">
      <c r="A673" s="21" t="s">
        <v>903</v>
      </c>
      <c r="B673" s="3" t="str" cm="1">
        <f t="array" ref="B673">_xlfn.XLOOKUP($C673,_xlfn.ANCHORARRAY(Symptoms!$B$2),Symptoms!$A$2:$A$15,"Not Found")</f>
        <v>S007</v>
      </c>
      <c r="C673" s="22" t="s">
        <v>3463</v>
      </c>
    </row>
    <row r="674" spans="1:3">
      <c r="A674" s="21" t="s">
        <v>904</v>
      </c>
      <c r="B674" s="3" t="str" cm="1">
        <f t="array" ref="B674">_xlfn.XLOOKUP($C674,_xlfn.ANCHORARRAY(Symptoms!$B$2),Symptoms!$A$2:$A$15,"Not Found")</f>
        <v>S007</v>
      </c>
      <c r="C674" s="22" t="s">
        <v>3463</v>
      </c>
    </row>
    <row r="675" spans="1:3">
      <c r="A675" s="21" t="s">
        <v>905</v>
      </c>
      <c r="B675" s="3" t="str" cm="1">
        <f t="array" ref="B675">_xlfn.XLOOKUP($C675,_xlfn.ANCHORARRAY(Symptoms!$B$2),Symptoms!$A$2:$A$15,"Not Found")</f>
        <v>S005</v>
      </c>
      <c r="C675" s="22" t="s">
        <v>3461</v>
      </c>
    </row>
    <row r="676" spans="1:3">
      <c r="A676" s="21" t="s">
        <v>905</v>
      </c>
      <c r="B676" s="3" t="str" cm="1">
        <f t="array" ref="B676">_xlfn.XLOOKUP($C676,_xlfn.ANCHORARRAY(Symptoms!$B$2),Symptoms!$A$2:$A$15,"Not Found")</f>
        <v>S007</v>
      </c>
      <c r="C676" s="22" t="s">
        <v>3463</v>
      </c>
    </row>
    <row r="677" spans="1:3">
      <c r="A677" s="21" t="s">
        <v>906</v>
      </c>
      <c r="B677" s="3" t="str" cm="1">
        <f t="array" ref="B677">_xlfn.XLOOKUP($C677,_xlfn.ANCHORARRAY(Symptoms!$B$2),Symptoms!$A$2:$A$15,"Not Found")</f>
        <v>S005</v>
      </c>
      <c r="C677" s="22" t="s">
        <v>3461</v>
      </c>
    </row>
    <row r="678" spans="1:3">
      <c r="A678" s="21" t="s">
        <v>906</v>
      </c>
      <c r="B678" s="3" t="str" cm="1">
        <f t="array" ref="B678">_xlfn.XLOOKUP($C678,_xlfn.ANCHORARRAY(Symptoms!$B$2),Symptoms!$A$2:$A$15,"Not Found")</f>
        <v>S001</v>
      </c>
      <c r="C678" s="22" t="s">
        <v>3462</v>
      </c>
    </row>
    <row r="679" spans="1:3">
      <c r="A679" s="21" t="s">
        <v>906</v>
      </c>
      <c r="B679" s="3" t="str" cm="1">
        <f t="array" ref="B679">_xlfn.XLOOKUP($C679,_xlfn.ANCHORARRAY(Symptoms!$B$2),Symptoms!$A$2:$A$15,"Not Found")</f>
        <v>S009</v>
      </c>
      <c r="C679" s="22" t="s">
        <v>3464</v>
      </c>
    </row>
    <row r="680" spans="1:3">
      <c r="A680" s="21" t="s">
        <v>907</v>
      </c>
      <c r="B680" s="3" t="str" cm="1">
        <f t="array" ref="B680">_xlfn.XLOOKUP($C680,_xlfn.ANCHORARRAY(Symptoms!$B$2),Symptoms!$A$2:$A$15,"Not Found")</f>
        <v>S010</v>
      </c>
      <c r="C680" s="22" t="s">
        <v>3465</v>
      </c>
    </row>
    <row r="681" spans="1:3">
      <c r="A681" s="21" t="s">
        <v>907</v>
      </c>
      <c r="B681" s="3" t="str" cm="1">
        <f t="array" ref="B681">_xlfn.XLOOKUP($C681,_xlfn.ANCHORARRAY(Symptoms!$B$2),Symptoms!$A$2:$A$15,"Not Found")</f>
        <v>S001</v>
      </c>
      <c r="C681" s="22" t="s">
        <v>3462</v>
      </c>
    </row>
    <row r="682" spans="1:3">
      <c r="A682" s="21" t="s">
        <v>908</v>
      </c>
      <c r="B682" s="3" t="str" cm="1">
        <f t="array" ref="B682">_xlfn.XLOOKUP($C682,_xlfn.ANCHORARRAY(Symptoms!$B$2),Symptoms!$A$2:$A$15,"Not Found")</f>
        <v>S005</v>
      </c>
      <c r="C682" s="22" t="s">
        <v>3461</v>
      </c>
    </row>
    <row r="683" spans="1:3">
      <c r="A683" s="21" t="s">
        <v>908</v>
      </c>
      <c r="B683" s="3" t="str" cm="1">
        <f t="array" ref="B683">_xlfn.XLOOKUP($C683,_xlfn.ANCHORARRAY(Symptoms!$B$2),Symptoms!$A$2:$A$15,"Not Found")</f>
        <v>S007</v>
      </c>
      <c r="C683" s="22" t="s">
        <v>3463</v>
      </c>
    </row>
    <row r="684" spans="1:3">
      <c r="A684" s="21" t="s">
        <v>909</v>
      </c>
      <c r="B684" s="3" t="str" cm="1">
        <f t="array" ref="B684">_xlfn.XLOOKUP($C684,_xlfn.ANCHORARRAY(Symptoms!$B$2),Symptoms!$A$2:$A$15,"Not Found")</f>
        <v>S001</v>
      </c>
      <c r="C684" s="22" t="s">
        <v>3462</v>
      </c>
    </row>
    <row r="685" spans="1:3">
      <c r="A685" s="21" t="s">
        <v>910</v>
      </c>
      <c r="B685" s="3" t="str" cm="1">
        <f t="array" ref="B685">_xlfn.XLOOKUP($C685,_xlfn.ANCHORARRAY(Symptoms!$B$2),Symptoms!$A$2:$A$15,"Not Found")</f>
        <v>S005</v>
      </c>
      <c r="C685" s="22" t="s">
        <v>3461</v>
      </c>
    </row>
    <row r="686" spans="1:3">
      <c r="A686" s="21" t="s">
        <v>911</v>
      </c>
      <c r="B686" s="3" t="str" cm="1">
        <f t="array" ref="B686">_xlfn.XLOOKUP($C686,_xlfn.ANCHORARRAY(Symptoms!$B$2),Symptoms!$A$2:$A$15,"Not Found")</f>
        <v>S013</v>
      </c>
      <c r="C686" s="22" t="s">
        <v>420</v>
      </c>
    </row>
    <row r="687" spans="1:3">
      <c r="A687" s="21" t="s">
        <v>912</v>
      </c>
      <c r="B687" s="3" t="str" cm="1">
        <f t="array" ref="B687">_xlfn.XLOOKUP($C687,_xlfn.ANCHORARRAY(Symptoms!$B$2),Symptoms!$A$2:$A$15,"Not Found")</f>
        <v>S004</v>
      </c>
      <c r="C687" s="22" t="s">
        <v>2876</v>
      </c>
    </row>
    <row r="688" spans="1:3">
      <c r="A688" s="21" t="s">
        <v>912</v>
      </c>
      <c r="B688" s="3" t="str" cm="1">
        <f t="array" ref="B688">_xlfn.XLOOKUP($C688,_xlfn.ANCHORARRAY(Symptoms!$B$2),Symptoms!$A$2:$A$15,"Not Found")</f>
        <v>S008</v>
      </c>
      <c r="C688" s="22" t="s">
        <v>3467</v>
      </c>
    </row>
    <row r="689" spans="1:3">
      <c r="A689" s="21" t="s">
        <v>912</v>
      </c>
      <c r="B689" s="3" t="str" cm="1">
        <f t="array" ref="B689">_xlfn.XLOOKUP($C689,_xlfn.ANCHORARRAY(Symptoms!$B$2),Symptoms!$A$2:$A$15,"Not Found")</f>
        <v>S007</v>
      </c>
      <c r="C689" s="22" t="s">
        <v>3463</v>
      </c>
    </row>
    <row r="690" spans="1:3">
      <c r="A690" s="21" t="s">
        <v>913</v>
      </c>
      <c r="B690" s="3" t="str" cm="1">
        <f t="array" ref="B690">_xlfn.XLOOKUP($C690,_xlfn.ANCHORARRAY(Symptoms!$B$2),Symptoms!$A$2:$A$15,"Not Found")</f>
        <v>S009</v>
      </c>
      <c r="C690" s="22" t="s">
        <v>3464</v>
      </c>
    </row>
    <row r="691" spans="1:3">
      <c r="A691" s="21" t="s">
        <v>913</v>
      </c>
      <c r="B691" s="3" t="str" cm="1">
        <f t="array" ref="B691">_xlfn.XLOOKUP($C691,_xlfn.ANCHORARRAY(Symptoms!$B$2),Symptoms!$A$2:$A$15,"Not Found")</f>
        <v>S001</v>
      </c>
      <c r="C691" s="22" t="s">
        <v>3462</v>
      </c>
    </row>
    <row r="692" spans="1:3">
      <c r="A692" s="21" t="s">
        <v>913</v>
      </c>
      <c r="B692" s="3" t="str" cm="1">
        <f t="array" ref="B692">_xlfn.XLOOKUP($C692,_xlfn.ANCHORARRAY(Symptoms!$B$2),Symptoms!$A$2:$A$15,"Not Found")</f>
        <v>S007</v>
      </c>
      <c r="C692" s="22" t="s">
        <v>3463</v>
      </c>
    </row>
    <row r="693" spans="1:3">
      <c r="A693" s="21" t="s">
        <v>914</v>
      </c>
      <c r="B693" s="3" t="str" cm="1">
        <f t="array" ref="B693">_xlfn.XLOOKUP($C693,_xlfn.ANCHORARRAY(Symptoms!$B$2),Symptoms!$A$2:$A$15,"Not Found")</f>
        <v>S013</v>
      </c>
      <c r="C693" s="22" t="s">
        <v>420</v>
      </c>
    </row>
    <row r="694" spans="1:3">
      <c r="A694" s="21" t="s">
        <v>915</v>
      </c>
      <c r="B694" s="3" t="str" cm="1">
        <f t="array" ref="B694">_xlfn.XLOOKUP($C694,_xlfn.ANCHORARRAY(Symptoms!$B$2),Symptoms!$A$2:$A$15,"Not Found")</f>
        <v>S009</v>
      </c>
      <c r="C694" s="22" t="s">
        <v>3464</v>
      </c>
    </row>
    <row r="695" spans="1:3">
      <c r="A695" s="21" t="s">
        <v>915</v>
      </c>
      <c r="B695" s="3" t="str" cm="1">
        <f t="array" ref="B695">_xlfn.XLOOKUP($C695,_xlfn.ANCHORARRAY(Symptoms!$B$2),Symptoms!$A$2:$A$15,"Not Found")</f>
        <v>S005</v>
      </c>
      <c r="C695" s="22" t="s">
        <v>3461</v>
      </c>
    </row>
    <row r="696" spans="1:3">
      <c r="A696" s="21" t="s">
        <v>916</v>
      </c>
      <c r="B696" s="3" t="str" cm="1">
        <f t="array" ref="B696">_xlfn.XLOOKUP($C696,_xlfn.ANCHORARRAY(Symptoms!$B$2),Symptoms!$A$2:$A$15,"Not Found")</f>
        <v>S005</v>
      </c>
      <c r="C696" s="22" t="s">
        <v>3461</v>
      </c>
    </row>
    <row r="697" spans="1:3">
      <c r="A697" s="21" t="s">
        <v>917</v>
      </c>
      <c r="B697" s="3" t="str" cm="1">
        <f t="array" ref="B697">_xlfn.XLOOKUP($C697,_xlfn.ANCHORARRAY(Symptoms!$B$2),Symptoms!$A$2:$A$15,"Not Found")</f>
        <v>S003</v>
      </c>
      <c r="C697" s="22" t="s">
        <v>2875</v>
      </c>
    </row>
    <row r="698" spans="1:3">
      <c r="A698" s="21" t="s">
        <v>917</v>
      </c>
      <c r="B698" s="3" t="str" cm="1">
        <f t="array" ref="B698">_xlfn.XLOOKUP($C698,_xlfn.ANCHORARRAY(Symptoms!$B$2),Symptoms!$A$2:$A$15,"Not Found")</f>
        <v>S004</v>
      </c>
      <c r="C698" s="22" t="s">
        <v>2876</v>
      </c>
    </row>
    <row r="699" spans="1:3">
      <c r="A699" s="21" t="s">
        <v>918</v>
      </c>
      <c r="B699" s="3" t="str" cm="1">
        <f t="array" ref="B699">_xlfn.XLOOKUP($C699,_xlfn.ANCHORARRAY(Symptoms!$B$2),Symptoms!$A$2:$A$15,"Not Found")</f>
        <v>S007</v>
      </c>
      <c r="C699" s="22" t="s">
        <v>3463</v>
      </c>
    </row>
    <row r="700" spans="1:3">
      <c r="A700" s="21" t="s">
        <v>919</v>
      </c>
      <c r="B700" s="3" t="str" cm="1">
        <f t="array" ref="B700">_xlfn.XLOOKUP($C700,_xlfn.ANCHORARRAY(Symptoms!$B$2),Symptoms!$A$2:$A$15,"Not Found")</f>
        <v>S005</v>
      </c>
      <c r="C700" s="22" t="s">
        <v>3461</v>
      </c>
    </row>
    <row r="701" spans="1:3">
      <c r="A701" s="21" t="s">
        <v>919</v>
      </c>
      <c r="B701" s="3" t="str" cm="1">
        <f t="array" ref="B701">_xlfn.XLOOKUP($C701,_xlfn.ANCHORARRAY(Symptoms!$B$2),Symptoms!$A$2:$A$15,"Not Found")</f>
        <v>S007</v>
      </c>
      <c r="C701" s="22" t="s">
        <v>3463</v>
      </c>
    </row>
    <row r="702" spans="1:3">
      <c r="A702" s="21" t="s">
        <v>920</v>
      </c>
      <c r="B702" s="3" t="str" cm="1">
        <f t="array" ref="B702">_xlfn.XLOOKUP($C702,_xlfn.ANCHORARRAY(Symptoms!$B$2),Symptoms!$A$2:$A$15,"Not Found")</f>
        <v>S007</v>
      </c>
      <c r="C702" s="22" t="s">
        <v>3463</v>
      </c>
    </row>
    <row r="703" spans="1:3">
      <c r="A703" s="21" t="s">
        <v>921</v>
      </c>
      <c r="B703" s="3" t="str" cm="1">
        <f t="array" ref="B703">_xlfn.XLOOKUP($C703,_xlfn.ANCHORARRAY(Symptoms!$B$2),Symptoms!$A$2:$A$15,"Not Found")</f>
        <v>S001</v>
      </c>
      <c r="C703" s="22" t="s">
        <v>3462</v>
      </c>
    </row>
    <row r="704" spans="1:3">
      <c r="A704" s="21" t="s">
        <v>921</v>
      </c>
      <c r="B704" s="3" t="str" cm="1">
        <f t="array" ref="B704">_xlfn.XLOOKUP($C704,_xlfn.ANCHORARRAY(Symptoms!$B$2),Symptoms!$A$2:$A$15,"Not Found")</f>
        <v>S002</v>
      </c>
      <c r="C704" s="22" t="s">
        <v>3466</v>
      </c>
    </row>
    <row r="705" spans="1:3">
      <c r="A705" s="21" t="s">
        <v>922</v>
      </c>
      <c r="B705" s="3" t="str" cm="1">
        <f t="array" ref="B705">_xlfn.XLOOKUP($C705,_xlfn.ANCHORARRAY(Symptoms!$B$2),Symptoms!$A$2:$A$15,"Not Found")</f>
        <v>S005</v>
      </c>
      <c r="C705" s="22" t="s">
        <v>3461</v>
      </c>
    </row>
    <row r="706" spans="1:3">
      <c r="A706" s="21" t="s">
        <v>923</v>
      </c>
      <c r="B706" s="3" t="str" cm="1">
        <f t="array" ref="B706">_xlfn.XLOOKUP($C706,_xlfn.ANCHORARRAY(Symptoms!$B$2),Symptoms!$A$2:$A$15,"Not Found")</f>
        <v>S005</v>
      </c>
      <c r="C706" s="22" t="s">
        <v>3461</v>
      </c>
    </row>
    <row r="707" spans="1:3">
      <c r="A707" s="21" t="s">
        <v>924</v>
      </c>
      <c r="B707" s="3" t="str" cm="1">
        <f t="array" ref="B707">_xlfn.XLOOKUP($C707,_xlfn.ANCHORARRAY(Symptoms!$B$2),Symptoms!$A$2:$A$15,"Not Found")</f>
        <v>S003</v>
      </c>
      <c r="C707" s="22" t="s">
        <v>2875</v>
      </c>
    </row>
    <row r="708" spans="1:3">
      <c r="A708" s="21" t="s">
        <v>924</v>
      </c>
      <c r="B708" s="3" t="str" cm="1">
        <f t="array" ref="B708">_xlfn.XLOOKUP($C708,_xlfn.ANCHORARRAY(Symptoms!$B$2),Symptoms!$A$2:$A$15,"Not Found")</f>
        <v>S004</v>
      </c>
      <c r="C708" s="22" t="s">
        <v>2876</v>
      </c>
    </row>
    <row r="709" spans="1:3">
      <c r="A709" s="21" t="s">
        <v>925</v>
      </c>
      <c r="B709" s="3" t="str" cm="1">
        <f t="array" ref="B709">_xlfn.XLOOKUP($C709,_xlfn.ANCHORARRAY(Symptoms!$B$2),Symptoms!$A$2:$A$15,"Not Found")</f>
        <v>S006</v>
      </c>
      <c r="C709" s="22" t="s">
        <v>2280</v>
      </c>
    </row>
    <row r="710" spans="1:3">
      <c r="A710" s="21" t="s">
        <v>925</v>
      </c>
      <c r="B710" s="3" t="str" cm="1">
        <f t="array" ref="B710">_xlfn.XLOOKUP($C710,_xlfn.ANCHORARRAY(Symptoms!$B$2),Symptoms!$A$2:$A$15,"Not Found")</f>
        <v>S007</v>
      </c>
      <c r="C710" s="22" t="s">
        <v>3463</v>
      </c>
    </row>
    <row r="711" spans="1:3">
      <c r="A711" s="21" t="s">
        <v>926</v>
      </c>
      <c r="B711" s="3" t="str" cm="1">
        <f t="array" ref="B711">_xlfn.XLOOKUP($C711,_xlfn.ANCHORARRAY(Symptoms!$B$2),Symptoms!$A$2:$A$15,"Not Found")</f>
        <v>S007</v>
      </c>
      <c r="C711" s="22" t="s">
        <v>3463</v>
      </c>
    </row>
    <row r="712" spans="1:3">
      <c r="A712" s="21" t="s">
        <v>927</v>
      </c>
      <c r="B712" s="3" t="str" cm="1">
        <f t="array" ref="B712">_xlfn.XLOOKUP($C712,_xlfn.ANCHORARRAY(Symptoms!$B$2),Symptoms!$A$2:$A$15,"Not Found")</f>
        <v>S007</v>
      </c>
      <c r="C712" s="22" t="s">
        <v>3463</v>
      </c>
    </row>
    <row r="713" spans="1:3">
      <c r="A713" s="21" t="s">
        <v>928</v>
      </c>
      <c r="B713" s="3" t="str" cm="1">
        <f t="array" ref="B713">_xlfn.XLOOKUP($C713,_xlfn.ANCHORARRAY(Symptoms!$B$2),Symptoms!$A$2:$A$15,"Not Found")</f>
        <v>S005</v>
      </c>
      <c r="C713" s="22" t="s">
        <v>3461</v>
      </c>
    </row>
    <row r="714" spans="1:3">
      <c r="A714" s="21" t="s">
        <v>928</v>
      </c>
      <c r="B714" s="3" t="str" cm="1">
        <f t="array" ref="B714">_xlfn.XLOOKUP($C714,_xlfn.ANCHORARRAY(Symptoms!$B$2),Symptoms!$A$2:$A$15,"Not Found")</f>
        <v>S007</v>
      </c>
      <c r="C714" s="22" t="s">
        <v>3463</v>
      </c>
    </row>
    <row r="715" spans="1:3">
      <c r="A715" s="21" t="s">
        <v>929</v>
      </c>
      <c r="B715" s="3" t="str" cm="1">
        <f t="array" ref="B715">_xlfn.XLOOKUP($C715,_xlfn.ANCHORARRAY(Symptoms!$B$2),Symptoms!$A$2:$A$15,"Not Found")</f>
        <v>S005</v>
      </c>
      <c r="C715" s="22" t="s">
        <v>3461</v>
      </c>
    </row>
    <row r="716" spans="1:3">
      <c r="A716" s="21" t="s">
        <v>929</v>
      </c>
      <c r="B716" s="3" t="str" cm="1">
        <f t="array" ref="B716">_xlfn.XLOOKUP($C716,_xlfn.ANCHORARRAY(Symptoms!$B$2),Symptoms!$A$2:$A$15,"Not Found")</f>
        <v>S001</v>
      </c>
      <c r="C716" s="22" t="s">
        <v>3462</v>
      </c>
    </row>
    <row r="717" spans="1:3">
      <c r="A717" s="21" t="s">
        <v>929</v>
      </c>
      <c r="B717" s="3" t="str" cm="1">
        <f t="array" ref="B717">_xlfn.XLOOKUP($C717,_xlfn.ANCHORARRAY(Symptoms!$B$2),Symptoms!$A$2:$A$15,"Not Found")</f>
        <v>S009</v>
      </c>
      <c r="C717" s="22" t="s">
        <v>3464</v>
      </c>
    </row>
    <row r="718" spans="1:3">
      <c r="A718" s="21" t="s">
        <v>930</v>
      </c>
      <c r="B718" s="3" t="str" cm="1">
        <f t="array" ref="B718">_xlfn.XLOOKUP($C718,_xlfn.ANCHORARRAY(Symptoms!$B$2),Symptoms!$A$2:$A$15,"Not Found")</f>
        <v>S010</v>
      </c>
      <c r="C718" s="22" t="s">
        <v>3465</v>
      </c>
    </row>
    <row r="719" spans="1:3">
      <c r="A719" s="21" t="s">
        <v>930</v>
      </c>
      <c r="B719" s="3" t="str" cm="1">
        <f t="array" ref="B719">_xlfn.XLOOKUP($C719,_xlfn.ANCHORARRAY(Symptoms!$B$2),Symptoms!$A$2:$A$15,"Not Found")</f>
        <v>S001</v>
      </c>
      <c r="C719" s="22" t="s">
        <v>3462</v>
      </c>
    </row>
    <row r="720" spans="1:3">
      <c r="A720" s="21" t="s">
        <v>931</v>
      </c>
      <c r="B720" s="3" t="str" cm="1">
        <f t="array" ref="B720">_xlfn.XLOOKUP($C720,_xlfn.ANCHORARRAY(Symptoms!$B$2),Symptoms!$A$2:$A$15,"Not Found")</f>
        <v>S001</v>
      </c>
      <c r="C720" s="22" t="s">
        <v>3462</v>
      </c>
    </row>
    <row r="721" spans="1:3">
      <c r="A721" s="21" t="s">
        <v>932</v>
      </c>
      <c r="B721" s="3" t="str" cm="1">
        <f t="array" ref="B721">_xlfn.XLOOKUP($C721,_xlfn.ANCHORARRAY(Symptoms!$B$2),Symptoms!$A$2:$A$15,"Not Found")</f>
        <v>S005</v>
      </c>
      <c r="C721" s="22" t="s">
        <v>3461</v>
      </c>
    </row>
    <row r="722" spans="1:3">
      <c r="A722" s="21" t="s">
        <v>933</v>
      </c>
      <c r="B722" s="3" t="str" cm="1">
        <f t="array" ref="B722">_xlfn.XLOOKUP($C722,_xlfn.ANCHORARRAY(Symptoms!$B$2),Symptoms!$A$2:$A$15,"Not Found")</f>
        <v>S013</v>
      </c>
      <c r="C722" s="22" t="s">
        <v>420</v>
      </c>
    </row>
    <row r="723" spans="1:3">
      <c r="A723" s="21" t="s">
        <v>934</v>
      </c>
      <c r="B723" s="3" t="str" cm="1">
        <f t="array" ref="B723">_xlfn.XLOOKUP($C723,_xlfn.ANCHORARRAY(Symptoms!$B$2),Symptoms!$A$2:$A$15,"Not Found")</f>
        <v>S004</v>
      </c>
      <c r="C723" s="22" t="s">
        <v>2876</v>
      </c>
    </row>
    <row r="724" spans="1:3">
      <c r="A724" s="21" t="s">
        <v>934</v>
      </c>
      <c r="B724" s="3" t="str" cm="1">
        <f t="array" ref="B724">_xlfn.XLOOKUP($C724,_xlfn.ANCHORARRAY(Symptoms!$B$2),Symptoms!$A$2:$A$15,"Not Found")</f>
        <v>S008</v>
      </c>
      <c r="C724" s="22" t="s">
        <v>3467</v>
      </c>
    </row>
    <row r="725" spans="1:3">
      <c r="A725" s="21" t="s">
        <v>934</v>
      </c>
      <c r="B725" s="3" t="str" cm="1">
        <f t="array" ref="B725">_xlfn.XLOOKUP($C725,_xlfn.ANCHORARRAY(Symptoms!$B$2),Symptoms!$A$2:$A$15,"Not Found")</f>
        <v>S007</v>
      </c>
      <c r="C725" s="22" t="s">
        <v>3463</v>
      </c>
    </row>
    <row r="726" spans="1:3">
      <c r="A726" s="21" t="s">
        <v>935</v>
      </c>
      <c r="B726" s="3" t="str" cm="1">
        <f t="array" ref="B726">_xlfn.XLOOKUP($C726,_xlfn.ANCHORARRAY(Symptoms!$B$2),Symptoms!$A$2:$A$15,"Not Found")</f>
        <v>S009</v>
      </c>
      <c r="C726" s="22" t="s">
        <v>3464</v>
      </c>
    </row>
    <row r="727" spans="1:3">
      <c r="A727" s="21" t="s">
        <v>935</v>
      </c>
      <c r="B727" s="3" t="str" cm="1">
        <f t="array" ref="B727">_xlfn.XLOOKUP($C727,_xlfn.ANCHORARRAY(Symptoms!$B$2),Symptoms!$A$2:$A$15,"Not Found")</f>
        <v>S001</v>
      </c>
      <c r="C727" s="22" t="s">
        <v>3462</v>
      </c>
    </row>
    <row r="728" spans="1:3">
      <c r="A728" s="21" t="s">
        <v>935</v>
      </c>
      <c r="B728" s="3" t="str" cm="1">
        <f t="array" ref="B728">_xlfn.XLOOKUP($C728,_xlfn.ANCHORARRAY(Symptoms!$B$2),Symptoms!$A$2:$A$15,"Not Found")</f>
        <v>S007</v>
      </c>
      <c r="C728" s="22" t="s">
        <v>3463</v>
      </c>
    </row>
    <row r="729" spans="1:3">
      <c r="A729" s="21" t="s">
        <v>936</v>
      </c>
      <c r="B729" s="3" t="str" cm="1">
        <f t="array" ref="B729">_xlfn.XLOOKUP($C729,_xlfn.ANCHORARRAY(Symptoms!$B$2),Symptoms!$A$2:$A$15,"Not Found")</f>
        <v>S013</v>
      </c>
      <c r="C729" s="22" t="s">
        <v>420</v>
      </c>
    </row>
    <row r="730" spans="1:3">
      <c r="A730" s="21" t="s">
        <v>937</v>
      </c>
      <c r="B730" s="3" t="str" cm="1">
        <f t="array" ref="B730">_xlfn.XLOOKUP($C730,_xlfn.ANCHORARRAY(Symptoms!$B$2),Symptoms!$A$2:$A$15,"Not Found")</f>
        <v>S009</v>
      </c>
      <c r="C730" s="22" t="s">
        <v>3464</v>
      </c>
    </row>
    <row r="731" spans="1:3">
      <c r="A731" s="21" t="s">
        <v>937</v>
      </c>
      <c r="B731" s="3" t="str" cm="1">
        <f t="array" ref="B731">_xlfn.XLOOKUP($C731,_xlfn.ANCHORARRAY(Symptoms!$B$2),Symptoms!$A$2:$A$15,"Not Found")</f>
        <v>S005</v>
      </c>
      <c r="C731" s="22" t="s">
        <v>3461</v>
      </c>
    </row>
    <row r="732" spans="1:3">
      <c r="A732" s="21" t="s">
        <v>938</v>
      </c>
      <c r="B732" s="3" t="str" cm="1">
        <f t="array" ref="B732">_xlfn.XLOOKUP($C732,_xlfn.ANCHORARRAY(Symptoms!$B$2),Symptoms!$A$2:$A$15,"Not Found")</f>
        <v>S005</v>
      </c>
      <c r="C732" s="22" t="s">
        <v>3461</v>
      </c>
    </row>
    <row r="733" spans="1:3">
      <c r="A733" s="21" t="s">
        <v>939</v>
      </c>
      <c r="B733" s="3" t="str" cm="1">
        <f t="array" ref="B733">_xlfn.XLOOKUP($C733,_xlfn.ANCHORARRAY(Symptoms!$B$2),Symptoms!$A$2:$A$15,"Not Found")</f>
        <v>S003</v>
      </c>
      <c r="C733" s="22" t="s">
        <v>2875</v>
      </c>
    </row>
    <row r="734" spans="1:3">
      <c r="A734" s="21" t="s">
        <v>939</v>
      </c>
      <c r="B734" s="3" t="str" cm="1">
        <f t="array" ref="B734">_xlfn.XLOOKUP($C734,_xlfn.ANCHORARRAY(Symptoms!$B$2),Symptoms!$A$2:$A$15,"Not Found")</f>
        <v>S004</v>
      </c>
      <c r="C734" s="22" t="s">
        <v>2876</v>
      </c>
    </row>
    <row r="735" spans="1:3">
      <c r="A735" s="21" t="s">
        <v>940</v>
      </c>
      <c r="B735" s="3" t="str" cm="1">
        <f t="array" ref="B735">_xlfn.XLOOKUP($C735,_xlfn.ANCHORARRAY(Symptoms!$B$2),Symptoms!$A$2:$A$15,"Not Found")</f>
        <v>S007</v>
      </c>
      <c r="C735" s="22" t="s">
        <v>3463</v>
      </c>
    </row>
    <row r="736" spans="1:3">
      <c r="A736" s="21" t="s">
        <v>941</v>
      </c>
      <c r="B736" s="3" t="str" cm="1">
        <f t="array" ref="B736">_xlfn.XLOOKUP($C736,_xlfn.ANCHORARRAY(Symptoms!$B$2),Symptoms!$A$2:$A$15,"Not Found")</f>
        <v>S005</v>
      </c>
      <c r="C736" s="22" t="s">
        <v>3461</v>
      </c>
    </row>
    <row r="737" spans="1:3">
      <c r="A737" s="21" t="s">
        <v>941</v>
      </c>
      <c r="B737" s="3" t="str" cm="1">
        <f t="array" ref="B737">_xlfn.XLOOKUP($C737,_xlfn.ANCHORARRAY(Symptoms!$B$2),Symptoms!$A$2:$A$15,"Not Found")</f>
        <v>S007</v>
      </c>
      <c r="C737" s="22" t="s">
        <v>3463</v>
      </c>
    </row>
    <row r="738" spans="1:3">
      <c r="A738" s="21" t="s">
        <v>942</v>
      </c>
      <c r="B738" s="3" t="str" cm="1">
        <f t="array" ref="B738">_xlfn.XLOOKUP($C738,_xlfn.ANCHORARRAY(Symptoms!$B$2),Symptoms!$A$2:$A$15,"Not Found")</f>
        <v>S007</v>
      </c>
      <c r="C738" s="22" t="s">
        <v>3463</v>
      </c>
    </row>
    <row r="739" spans="1:3">
      <c r="A739" s="21" t="s">
        <v>943</v>
      </c>
      <c r="B739" s="3" t="str" cm="1">
        <f t="array" ref="B739">_xlfn.XLOOKUP($C739,_xlfn.ANCHORARRAY(Symptoms!$B$2),Symptoms!$A$2:$A$15,"Not Found")</f>
        <v>S001</v>
      </c>
      <c r="C739" s="22" t="s">
        <v>3462</v>
      </c>
    </row>
    <row r="740" spans="1:3">
      <c r="A740" s="21" t="s">
        <v>943</v>
      </c>
      <c r="B740" s="3" t="str" cm="1">
        <f t="array" ref="B740">_xlfn.XLOOKUP($C740,_xlfn.ANCHORARRAY(Symptoms!$B$2),Symptoms!$A$2:$A$15,"Not Found")</f>
        <v>S002</v>
      </c>
      <c r="C740" s="22" t="s">
        <v>3466</v>
      </c>
    </row>
    <row r="741" spans="1:3">
      <c r="A741" s="21" t="s">
        <v>944</v>
      </c>
      <c r="B741" s="3" t="str" cm="1">
        <f t="array" ref="B741">_xlfn.XLOOKUP($C741,_xlfn.ANCHORARRAY(Symptoms!$B$2),Symptoms!$A$2:$A$15,"Not Found")</f>
        <v>S005</v>
      </c>
      <c r="C741" s="22" t="s">
        <v>3461</v>
      </c>
    </row>
    <row r="742" spans="1:3">
      <c r="A742" s="21" t="s">
        <v>945</v>
      </c>
      <c r="B742" s="3" t="str" cm="1">
        <f t="array" ref="B742">_xlfn.XLOOKUP($C742,_xlfn.ANCHORARRAY(Symptoms!$B$2),Symptoms!$A$2:$A$15,"Not Found")</f>
        <v>S005</v>
      </c>
      <c r="C742" s="22" t="s">
        <v>3461</v>
      </c>
    </row>
    <row r="743" spans="1:3">
      <c r="A743" s="21" t="s">
        <v>946</v>
      </c>
      <c r="B743" s="3" t="str" cm="1">
        <f t="array" ref="B743">_xlfn.XLOOKUP($C743,_xlfn.ANCHORARRAY(Symptoms!$B$2),Symptoms!$A$2:$A$15,"Not Found")</f>
        <v>S003</v>
      </c>
      <c r="C743" s="22" t="s">
        <v>2875</v>
      </c>
    </row>
    <row r="744" spans="1:3">
      <c r="A744" s="21" t="s">
        <v>946</v>
      </c>
      <c r="B744" s="3" t="str" cm="1">
        <f t="array" ref="B744">_xlfn.XLOOKUP($C744,_xlfn.ANCHORARRAY(Symptoms!$B$2),Symptoms!$A$2:$A$15,"Not Found")</f>
        <v>S004</v>
      </c>
      <c r="C744" s="22" t="s">
        <v>2876</v>
      </c>
    </row>
    <row r="745" spans="1:3">
      <c r="A745" s="21" t="s">
        <v>947</v>
      </c>
      <c r="B745" s="3" t="str" cm="1">
        <f t="array" ref="B745">_xlfn.XLOOKUP($C745,_xlfn.ANCHORARRAY(Symptoms!$B$2),Symptoms!$A$2:$A$15,"Not Found")</f>
        <v>S006</v>
      </c>
      <c r="C745" s="22" t="s">
        <v>2280</v>
      </c>
    </row>
    <row r="746" spans="1:3">
      <c r="A746" s="21" t="s">
        <v>948</v>
      </c>
      <c r="B746" s="3" t="str" cm="1">
        <f t="array" ref="B746">_xlfn.XLOOKUP($C746,_xlfn.ANCHORARRAY(Symptoms!$B$2),Symptoms!$A$2:$A$15,"Not Found")</f>
        <v>S007</v>
      </c>
      <c r="C746" s="22" t="s">
        <v>3463</v>
      </c>
    </row>
    <row r="747" spans="1:3">
      <c r="A747" s="21" t="s">
        <v>948</v>
      </c>
      <c r="B747" s="3" t="str" cm="1">
        <f t="array" ref="B747">_xlfn.XLOOKUP($C747,_xlfn.ANCHORARRAY(Symptoms!$B$2),Symptoms!$A$2:$A$15,"Not Found")</f>
        <v>S007</v>
      </c>
      <c r="C747" s="22" t="s">
        <v>3463</v>
      </c>
    </row>
    <row r="748" spans="1:3">
      <c r="A748" s="21" t="s">
        <v>949</v>
      </c>
      <c r="B748" s="3" t="str" cm="1">
        <f t="array" ref="B748">_xlfn.XLOOKUP($C748,_xlfn.ANCHORARRAY(Symptoms!$B$2),Symptoms!$A$2:$A$15,"Not Found")</f>
        <v>S007</v>
      </c>
      <c r="C748" s="22" t="s">
        <v>3463</v>
      </c>
    </row>
    <row r="749" spans="1:3">
      <c r="A749" s="21" t="s">
        <v>950</v>
      </c>
      <c r="B749" s="3" t="str" cm="1">
        <f t="array" ref="B749">_xlfn.XLOOKUP($C749,_xlfn.ANCHORARRAY(Symptoms!$B$2),Symptoms!$A$2:$A$15,"Not Found")</f>
        <v>S005</v>
      </c>
      <c r="C749" s="22" t="s">
        <v>3461</v>
      </c>
    </row>
    <row r="750" spans="1:3">
      <c r="A750" s="21" t="s">
        <v>950</v>
      </c>
      <c r="B750" s="3" t="str" cm="1">
        <f t="array" ref="B750">_xlfn.XLOOKUP($C750,_xlfn.ANCHORARRAY(Symptoms!$B$2),Symptoms!$A$2:$A$15,"Not Found")</f>
        <v>S007</v>
      </c>
      <c r="C750" s="22" t="s">
        <v>3463</v>
      </c>
    </row>
    <row r="751" spans="1:3">
      <c r="A751" s="21" t="s">
        <v>951</v>
      </c>
      <c r="B751" s="3" t="str" cm="1">
        <f t="array" ref="B751">_xlfn.XLOOKUP($C751,_xlfn.ANCHORARRAY(Symptoms!$B$2),Symptoms!$A$2:$A$15,"Not Found")</f>
        <v>S005</v>
      </c>
      <c r="C751" s="22" t="s">
        <v>3461</v>
      </c>
    </row>
    <row r="752" spans="1:3">
      <c r="A752" s="21" t="s">
        <v>951</v>
      </c>
      <c r="B752" s="3" t="str" cm="1">
        <f t="array" ref="B752">_xlfn.XLOOKUP($C752,_xlfn.ANCHORARRAY(Symptoms!$B$2),Symptoms!$A$2:$A$15,"Not Found")</f>
        <v>S001</v>
      </c>
      <c r="C752" s="22" t="s">
        <v>3462</v>
      </c>
    </row>
    <row r="753" spans="1:3">
      <c r="A753" s="21" t="s">
        <v>951</v>
      </c>
      <c r="B753" s="3" t="str" cm="1">
        <f t="array" ref="B753">_xlfn.XLOOKUP($C753,_xlfn.ANCHORARRAY(Symptoms!$B$2),Symptoms!$A$2:$A$15,"Not Found")</f>
        <v>S009</v>
      </c>
      <c r="C753" s="22" t="s">
        <v>3464</v>
      </c>
    </row>
    <row r="754" spans="1:3">
      <c r="A754" s="21" t="s">
        <v>952</v>
      </c>
      <c r="B754" s="3" t="str" cm="1">
        <f t="array" ref="B754">_xlfn.XLOOKUP($C754,_xlfn.ANCHORARRAY(Symptoms!$B$2),Symptoms!$A$2:$A$15,"Not Found")</f>
        <v>S010</v>
      </c>
      <c r="C754" s="22" t="s">
        <v>3465</v>
      </c>
    </row>
    <row r="755" spans="1:3">
      <c r="A755" s="21" t="s">
        <v>952</v>
      </c>
      <c r="B755" s="3" t="str" cm="1">
        <f t="array" ref="B755">_xlfn.XLOOKUP($C755,_xlfn.ANCHORARRAY(Symptoms!$B$2),Symptoms!$A$2:$A$15,"Not Found")</f>
        <v>S001</v>
      </c>
      <c r="C755" s="22" t="s">
        <v>3462</v>
      </c>
    </row>
    <row r="756" spans="1:3">
      <c r="A756" s="21" t="s">
        <v>953</v>
      </c>
      <c r="B756" s="3" t="str" cm="1">
        <f t="array" ref="B756">_xlfn.XLOOKUP($C756,_xlfn.ANCHORARRAY(Symptoms!$B$2),Symptoms!$A$2:$A$15,"Not Found")</f>
        <v>S005</v>
      </c>
      <c r="C756" s="22" t="s">
        <v>3461</v>
      </c>
    </row>
    <row r="757" spans="1:3">
      <c r="A757" s="21" t="s">
        <v>953</v>
      </c>
      <c r="B757" s="3" t="str" cm="1">
        <f t="array" ref="B757">_xlfn.XLOOKUP($C757,_xlfn.ANCHORARRAY(Symptoms!$B$2),Symptoms!$A$2:$A$15,"Not Found")</f>
        <v>S007</v>
      </c>
      <c r="C757" s="22" t="s">
        <v>3463</v>
      </c>
    </row>
    <row r="758" spans="1:3">
      <c r="A758" s="21" t="s">
        <v>954</v>
      </c>
      <c r="B758" s="3" t="str" cm="1">
        <f t="array" ref="B758">_xlfn.XLOOKUP($C758,_xlfn.ANCHORARRAY(Symptoms!$B$2),Symptoms!$A$2:$A$15,"Not Found")</f>
        <v>S001</v>
      </c>
      <c r="C758" s="22" t="s">
        <v>3462</v>
      </c>
    </row>
    <row r="759" spans="1:3">
      <c r="A759" s="21" t="s">
        <v>955</v>
      </c>
      <c r="B759" s="3" t="str" cm="1">
        <f t="array" ref="B759">_xlfn.XLOOKUP($C759,_xlfn.ANCHORARRAY(Symptoms!$B$2),Symptoms!$A$2:$A$15,"Not Found")</f>
        <v>S005</v>
      </c>
      <c r="C759" s="22" t="s">
        <v>3461</v>
      </c>
    </row>
    <row r="760" spans="1:3">
      <c r="A760" s="21" t="s">
        <v>956</v>
      </c>
      <c r="B760" s="3" t="str" cm="1">
        <f t="array" ref="B760">_xlfn.XLOOKUP($C760,_xlfn.ANCHORARRAY(Symptoms!$B$2),Symptoms!$A$2:$A$15,"Not Found")</f>
        <v>S013</v>
      </c>
      <c r="C760" s="22" t="s">
        <v>420</v>
      </c>
    </row>
    <row r="761" spans="1:3">
      <c r="A761" s="21" t="s">
        <v>957</v>
      </c>
      <c r="B761" s="3" t="str" cm="1">
        <f t="array" ref="B761">_xlfn.XLOOKUP($C761,_xlfn.ANCHORARRAY(Symptoms!$B$2),Symptoms!$A$2:$A$15,"Not Found")</f>
        <v>S004</v>
      </c>
      <c r="C761" s="22" t="s">
        <v>2876</v>
      </c>
    </row>
    <row r="762" spans="1:3">
      <c r="A762" s="21" t="s">
        <v>957</v>
      </c>
      <c r="B762" s="3" t="str" cm="1">
        <f t="array" ref="B762">_xlfn.XLOOKUP($C762,_xlfn.ANCHORARRAY(Symptoms!$B$2),Symptoms!$A$2:$A$15,"Not Found")</f>
        <v>S008</v>
      </c>
      <c r="C762" s="22" t="s">
        <v>3467</v>
      </c>
    </row>
    <row r="763" spans="1:3">
      <c r="A763" s="21" t="s">
        <v>957</v>
      </c>
      <c r="B763" s="3" t="str" cm="1">
        <f t="array" ref="B763">_xlfn.XLOOKUP($C763,_xlfn.ANCHORARRAY(Symptoms!$B$2),Symptoms!$A$2:$A$15,"Not Found")</f>
        <v>S007</v>
      </c>
      <c r="C763" s="22" t="s">
        <v>3463</v>
      </c>
    </row>
    <row r="764" spans="1:3">
      <c r="A764" s="21" t="s">
        <v>958</v>
      </c>
      <c r="B764" s="3" t="str" cm="1">
        <f t="array" ref="B764">_xlfn.XLOOKUP($C764,_xlfn.ANCHORARRAY(Symptoms!$B$2),Symptoms!$A$2:$A$15,"Not Found")</f>
        <v>S009</v>
      </c>
      <c r="C764" s="22" t="s">
        <v>3464</v>
      </c>
    </row>
    <row r="765" spans="1:3">
      <c r="A765" s="21" t="s">
        <v>958</v>
      </c>
      <c r="B765" s="3" t="str" cm="1">
        <f t="array" ref="B765">_xlfn.XLOOKUP($C765,_xlfn.ANCHORARRAY(Symptoms!$B$2),Symptoms!$A$2:$A$15,"Not Found")</f>
        <v>S001</v>
      </c>
      <c r="C765" s="22" t="s">
        <v>3462</v>
      </c>
    </row>
    <row r="766" spans="1:3">
      <c r="A766" s="21" t="s">
        <v>958</v>
      </c>
      <c r="B766" s="3" t="str" cm="1">
        <f t="array" ref="B766">_xlfn.XLOOKUP($C766,_xlfn.ANCHORARRAY(Symptoms!$B$2),Symptoms!$A$2:$A$15,"Not Found")</f>
        <v>S007</v>
      </c>
      <c r="C766" s="22" t="s">
        <v>3463</v>
      </c>
    </row>
    <row r="767" spans="1:3">
      <c r="A767" s="21" t="s">
        <v>959</v>
      </c>
      <c r="B767" s="3" t="str" cm="1">
        <f t="array" ref="B767">_xlfn.XLOOKUP($C767,_xlfn.ANCHORARRAY(Symptoms!$B$2),Symptoms!$A$2:$A$15,"Not Found")</f>
        <v>S013</v>
      </c>
      <c r="C767" s="22" t="s">
        <v>420</v>
      </c>
    </row>
    <row r="768" spans="1:3">
      <c r="A768" s="21" t="s">
        <v>960</v>
      </c>
      <c r="B768" s="3" t="str" cm="1">
        <f t="array" ref="B768">_xlfn.XLOOKUP($C768,_xlfn.ANCHORARRAY(Symptoms!$B$2),Symptoms!$A$2:$A$15,"Not Found")</f>
        <v>S009</v>
      </c>
      <c r="C768" s="22" t="s">
        <v>3464</v>
      </c>
    </row>
    <row r="769" spans="1:3">
      <c r="A769" s="21" t="s">
        <v>960</v>
      </c>
      <c r="B769" s="3" t="str" cm="1">
        <f t="array" ref="B769">_xlfn.XLOOKUP($C769,_xlfn.ANCHORARRAY(Symptoms!$B$2),Symptoms!$A$2:$A$15,"Not Found")</f>
        <v>S005</v>
      </c>
      <c r="C769" s="22" t="s">
        <v>3461</v>
      </c>
    </row>
    <row r="770" spans="1:3">
      <c r="A770" s="21" t="s">
        <v>961</v>
      </c>
      <c r="B770" s="3" t="str" cm="1">
        <f t="array" ref="B770">_xlfn.XLOOKUP($C770,_xlfn.ANCHORARRAY(Symptoms!$B$2),Symptoms!$A$2:$A$15,"Not Found")</f>
        <v>S005</v>
      </c>
      <c r="C770" s="22" t="s">
        <v>3461</v>
      </c>
    </row>
    <row r="771" spans="1:3">
      <c r="A771" s="21" t="s">
        <v>962</v>
      </c>
      <c r="B771" s="3" t="str" cm="1">
        <f t="array" ref="B771">_xlfn.XLOOKUP($C771,_xlfn.ANCHORARRAY(Symptoms!$B$2),Symptoms!$A$2:$A$15,"Not Found")</f>
        <v>S003</v>
      </c>
      <c r="C771" s="22" t="s">
        <v>2875</v>
      </c>
    </row>
    <row r="772" spans="1:3">
      <c r="A772" s="21" t="s">
        <v>962</v>
      </c>
      <c r="B772" s="3" t="str" cm="1">
        <f t="array" ref="B772">_xlfn.XLOOKUP($C772,_xlfn.ANCHORARRAY(Symptoms!$B$2),Symptoms!$A$2:$A$15,"Not Found")</f>
        <v>S004</v>
      </c>
      <c r="C772" s="22" t="s">
        <v>2876</v>
      </c>
    </row>
    <row r="773" spans="1:3">
      <c r="A773" s="21" t="s">
        <v>963</v>
      </c>
      <c r="B773" s="3" t="str" cm="1">
        <f t="array" ref="B773">_xlfn.XLOOKUP($C773,_xlfn.ANCHORARRAY(Symptoms!$B$2),Symptoms!$A$2:$A$15,"Not Found")</f>
        <v>S007</v>
      </c>
      <c r="C773" s="22" t="s">
        <v>3463</v>
      </c>
    </row>
    <row r="774" spans="1:3">
      <c r="A774" s="21" t="s">
        <v>964</v>
      </c>
      <c r="B774" s="3" t="str" cm="1">
        <f t="array" ref="B774">_xlfn.XLOOKUP($C774,_xlfn.ANCHORARRAY(Symptoms!$B$2),Symptoms!$A$2:$A$15,"Not Found")</f>
        <v>S005</v>
      </c>
      <c r="C774" s="22" t="s">
        <v>3461</v>
      </c>
    </row>
    <row r="775" spans="1:3">
      <c r="A775" s="21" t="s">
        <v>964</v>
      </c>
      <c r="B775" s="3" t="str" cm="1">
        <f t="array" ref="B775">_xlfn.XLOOKUP($C775,_xlfn.ANCHORARRAY(Symptoms!$B$2),Symptoms!$A$2:$A$15,"Not Found")</f>
        <v>S007</v>
      </c>
      <c r="C775" s="22" t="s">
        <v>3463</v>
      </c>
    </row>
    <row r="776" spans="1:3">
      <c r="A776" s="21" t="s">
        <v>965</v>
      </c>
      <c r="B776" s="3" t="str" cm="1">
        <f t="array" ref="B776">_xlfn.XLOOKUP($C776,_xlfn.ANCHORARRAY(Symptoms!$B$2),Symptoms!$A$2:$A$15,"Not Found")</f>
        <v>S007</v>
      </c>
      <c r="C776" s="22" t="s">
        <v>3463</v>
      </c>
    </row>
    <row r="777" spans="1:3">
      <c r="A777" s="21" t="s">
        <v>966</v>
      </c>
      <c r="B777" s="3" t="str" cm="1">
        <f t="array" ref="B777">_xlfn.XLOOKUP($C777,_xlfn.ANCHORARRAY(Symptoms!$B$2),Symptoms!$A$2:$A$15,"Not Found")</f>
        <v>S001</v>
      </c>
      <c r="C777" s="22" t="s">
        <v>3462</v>
      </c>
    </row>
    <row r="778" spans="1:3">
      <c r="A778" s="21" t="s">
        <v>966</v>
      </c>
      <c r="B778" s="3" t="str" cm="1">
        <f t="array" ref="B778">_xlfn.XLOOKUP($C778,_xlfn.ANCHORARRAY(Symptoms!$B$2),Symptoms!$A$2:$A$15,"Not Found")</f>
        <v>S002</v>
      </c>
      <c r="C778" s="22" t="s">
        <v>3466</v>
      </c>
    </row>
    <row r="779" spans="1:3">
      <c r="A779" s="21" t="s">
        <v>967</v>
      </c>
      <c r="B779" s="3" t="str" cm="1">
        <f t="array" ref="B779">_xlfn.XLOOKUP($C779,_xlfn.ANCHORARRAY(Symptoms!$B$2),Symptoms!$A$2:$A$15,"Not Found")</f>
        <v>S005</v>
      </c>
      <c r="C779" s="22" t="s">
        <v>3461</v>
      </c>
    </row>
    <row r="780" spans="1:3">
      <c r="A780" s="21" t="s">
        <v>968</v>
      </c>
      <c r="B780" s="3" t="str" cm="1">
        <f t="array" ref="B780">_xlfn.XLOOKUP($C780,_xlfn.ANCHORARRAY(Symptoms!$B$2),Symptoms!$A$2:$A$15,"Not Found")</f>
        <v>S005</v>
      </c>
      <c r="C780" s="22" t="s">
        <v>3461</v>
      </c>
    </row>
    <row r="781" spans="1:3">
      <c r="A781" s="21" t="s">
        <v>969</v>
      </c>
      <c r="B781" s="3" t="str" cm="1">
        <f t="array" ref="B781">_xlfn.XLOOKUP($C781,_xlfn.ANCHORARRAY(Symptoms!$B$2),Symptoms!$A$2:$A$15,"Not Found")</f>
        <v>S003</v>
      </c>
      <c r="C781" s="22" t="s">
        <v>2875</v>
      </c>
    </row>
    <row r="782" spans="1:3">
      <c r="A782" s="21" t="s">
        <v>969</v>
      </c>
      <c r="B782" s="3" t="str" cm="1">
        <f t="array" ref="B782">_xlfn.XLOOKUP($C782,_xlfn.ANCHORARRAY(Symptoms!$B$2),Symptoms!$A$2:$A$15,"Not Found")</f>
        <v>S004</v>
      </c>
      <c r="C782" s="22" t="s">
        <v>2876</v>
      </c>
    </row>
    <row r="783" spans="1:3">
      <c r="A783" s="21" t="s">
        <v>970</v>
      </c>
      <c r="B783" s="3" t="str" cm="1">
        <f t="array" ref="B783">_xlfn.XLOOKUP($C783,_xlfn.ANCHORARRAY(Symptoms!$B$2),Symptoms!$A$2:$A$15,"Not Found")</f>
        <v>S006</v>
      </c>
      <c r="C783" s="22" t="s">
        <v>2280</v>
      </c>
    </row>
    <row r="784" spans="1:3">
      <c r="A784" s="21" t="s">
        <v>971</v>
      </c>
      <c r="B784" s="3" t="str" cm="1">
        <f t="array" ref="B784">_xlfn.XLOOKUP($C784,_xlfn.ANCHORARRAY(Symptoms!$B$2),Symptoms!$A$2:$A$15,"Not Found")</f>
        <v>S007</v>
      </c>
      <c r="C784" s="22" t="s">
        <v>3463</v>
      </c>
    </row>
    <row r="785" spans="1:3">
      <c r="A785" s="21" t="s">
        <v>972</v>
      </c>
      <c r="B785" s="3" t="str" cm="1">
        <f t="array" ref="B785">_xlfn.XLOOKUP($C785,_xlfn.ANCHORARRAY(Symptoms!$B$2),Symptoms!$A$2:$A$15,"Not Found")</f>
        <v>S007</v>
      </c>
      <c r="C785" s="22" t="s">
        <v>3463</v>
      </c>
    </row>
    <row r="786" spans="1:3">
      <c r="A786" s="21" t="s">
        <v>972</v>
      </c>
      <c r="B786" s="3" t="str" cm="1">
        <f t="array" ref="B786">_xlfn.XLOOKUP($C786,_xlfn.ANCHORARRAY(Symptoms!$B$2),Symptoms!$A$2:$A$15,"Not Found")</f>
        <v>S007</v>
      </c>
      <c r="C786" s="22" t="s">
        <v>3463</v>
      </c>
    </row>
    <row r="787" spans="1:3">
      <c r="A787" s="21" t="s">
        <v>973</v>
      </c>
      <c r="B787" s="3" t="str" cm="1">
        <f t="array" ref="B787">_xlfn.XLOOKUP($C787,_xlfn.ANCHORARRAY(Symptoms!$B$2),Symptoms!$A$2:$A$15,"Not Found")</f>
        <v>S005</v>
      </c>
      <c r="C787" s="22" t="s">
        <v>3461</v>
      </c>
    </row>
    <row r="788" spans="1:3">
      <c r="A788" s="21" t="s">
        <v>973</v>
      </c>
      <c r="B788" s="3" t="str" cm="1">
        <f t="array" ref="B788">_xlfn.XLOOKUP($C788,_xlfn.ANCHORARRAY(Symptoms!$B$2),Symptoms!$A$2:$A$15,"Not Found")</f>
        <v>S007</v>
      </c>
      <c r="C788" s="22" t="s">
        <v>3463</v>
      </c>
    </row>
    <row r="789" spans="1:3">
      <c r="A789" s="21" t="s">
        <v>974</v>
      </c>
      <c r="B789" s="3" t="str" cm="1">
        <f t="array" ref="B789">_xlfn.XLOOKUP($C789,_xlfn.ANCHORARRAY(Symptoms!$B$2),Symptoms!$A$2:$A$15,"Not Found")</f>
        <v>S005</v>
      </c>
      <c r="C789" s="22" t="s">
        <v>3461</v>
      </c>
    </row>
    <row r="790" spans="1:3">
      <c r="A790" s="21" t="s">
        <v>974</v>
      </c>
      <c r="B790" s="3" t="str" cm="1">
        <f t="array" ref="B790">_xlfn.XLOOKUP($C790,_xlfn.ANCHORARRAY(Symptoms!$B$2),Symptoms!$A$2:$A$15,"Not Found")</f>
        <v>S001</v>
      </c>
      <c r="C790" s="22" t="s">
        <v>3462</v>
      </c>
    </row>
    <row r="791" spans="1:3">
      <c r="A791" s="21" t="s">
        <v>974</v>
      </c>
      <c r="B791" s="3" t="str" cm="1">
        <f t="array" ref="B791">_xlfn.XLOOKUP($C791,_xlfn.ANCHORARRAY(Symptoms!$B$2),Symptoms!$A$2:$A$15,"Not Found")</f>
        <v>S009</v>
      </c>
      <c r="C791" s="22" t="s">
        <v>3464</v>
      </c>
    </row>
    <row r="792" spans="1:3">
      <c r="A792" s="21" t="s">
        <v>975</v>
      </c>
      <c r="B792" s="3" t="str" cm="1">
        <f t="array" ref="B792">_xlfn.XLOOKUP($C792,_xlfn.ANCHORARRAY(Symptoms!$B$2),Symptoms!$A$2:$A$15,"Not Found")</f>
        <v>S010</v>
      </c>
      <c r="C792" s="22" t="s">
        <v>3465</v>
      </c>
    </row>
    <row r="793" spans="1:3">
      <c r="A793" s="21" t="s">
        <v>975</v>
      </c>
      <c r="B793" s="3" t="str" cm="1">
        <f t="array" ref="B793">_xlfn.XLOOKUP($C793,_xlfn.ANCHORARRAY(Symptoms!$B$2),Symptoms!$A$2:$A$15,"Not Found")</f>
        <v>S001</v>
      </c>
      <c r="C793" s="22" t="s">
        <v>3462</v>
      </c>
    </row>
    <row r="794" spans="1:3">
      <c r="A794" s="21" t="s">
        <v>976</v>
      </c>
      <c r="B794" s="3" t="str" cm="1">
        <f t="array" ref="B794">_xlfn.XLOOKUP($C794,_xlfn.ANCHORARRAY(Symptoms!$B$2),Symptoms!$A$2:$A$15,"Not Found")</f>
        <v>S005</v>
      </c>
      <c r="C794" s="22" t="s">
        <v>3461</v>
      </c>
    </row>
    <row r="795" spans="1:3">
      <c r="A795" s="21" t="s">
        <v>976</v>
      </c>
      <c r="B795" s="3" t="str" cm="1">
        <f t="array" ref="B795">_xlfn.XLOOKUP($C795,_xlfn.ANCHORARRAY(Symptoms!$B$2),Symptoms!$A$2:$A$15,"Not Found")</f>
        <v>S007</v>
      </c>
      <c r="C795" s="22" t="s">
        <v>3463</v>
      </c>
    </row>
    <row r="796" spans="1:3">
      <c r="A796" s="21" t="s">
        <v>977</v>
      </c>
      <c r="B796" s="3" t="str" cm="1">
        <f t="array" ref="B796">_xlfn.XLOOKUP($C796,_xlfn.ANCHORARRAY(Symptoms!$B$2),Symptoms!$A$2:$A$15,"Not Found")</f>
        <v>S001</v>
      </c>
      <c r="C796" s="22" t="s">
        <v>3462</v>
      </c>
    </row>
    <row r="797" spans="1:3">
      <c r="A797" s="21" t="s">
        <v>978</v>
      </c>
      <c r="B797" s="3" t="str" cm="1">
        <f t="array" ref="B797">_xlfn.XLOOKUP($C797,_xlfn.ANCHORARRAY(Symptoms!$B$2),Symptoms!$A$2:$A$15,"Not Found")</f>
        <v>S013</v>
      </c>
      <c r="C797" s="22" t="s">
        <v>420</v>
      </c>
    </row>
    <row r="798" spans="1:3">
      <c r="A798" s="21" t="s">
        <v>979</v>
      </c>
      <c r="B798" s="3" t="str" cm="1">
        <f t="array" ref="B798">_xlfn.XLOOKUP($C798,_xlfn.ANCHORARRAY(Symptoms!$B$2),Symptoms!$A$2:$A$15,"Not Found")</f>
        <v>S004</v>
      </c>
      <c r="C798" s="22" t="s">
        <v>2876</v>
      </c>
    </row>
    <row r="799" spans="1:3">
      <c r="A799" s="21" t="s">
        <v>979</v>
      </c>
      <c r="B799" s="3" t="str" cm="1">
        <f t="array" ref="B799">_xlfn.XLOOKUP($C799,_xlfn.ANCHORARRAY(Symptoms!$B$2),Symptoms!$A$2:$A$15,"Not Found")</f>
        <v>S008</v>
      </c>
      <c r="C799" s="22" t="s">
        <v>3467</v>
      </c>
    </row>
    <row r="800" spans="1:3">
      <c r="A800" s="21" t="s">
        <v>979</v>
      </c>
      <c r="B800" s="3" t="str" cm="1">
        <f t="array" ref="B800">_xlfn.XLOOKUP($C800,_xlfn.ANCHORARRAY(Symptoms!$B$2),Symptoms!$A$2:$A$15,"Not Found")</f>
        <v>S007</v>
      </c>
      <c r="C800" s="22" t="s">
        <v>3463</v>
      </c>
    </row>
    <row r="801" spans="1:3">
      <c r="A801" s="21" t="s">
        <v>980</v>
      </c>
      <c r="B801" s="3" t="str" cm="1">
        <f t="array" ref="B801">_xlfn.XLOOKUP($C801,_xlfn.ANCHORARRAY(Symptoms!$B$2),Symptoms!$A$2:$A$15,"Not Found")</f>
        <v>S009</v>
      </c>
      <c r="C801" s="22" t="s">
        <v>3464</v>
      </c>
    </row>
    <row r="802" spans="1:3">
      <c r="A802" s="21" t="s">
        <v>980</v>
      </c>
      <c r="B802" s="3" t="str" cm="1">
        <f t="array" ref="B802">_xlfn.XLOOKUP($C802,_xlfn.ANCHORARRAY(Symptoms!$B$2),Symptoms!$A$2:$A$15,"Not Found")</f>
        <v>S001</v>
      </c>
      <c r="C802" s="22" t="s">
        <v>3462</v>
      </c>
    </row>
    <row r="803" spans="1:3">
      <c r="A803" s="21" t="s">
        <v>980</v>
      </c>
      <c r="B803" s="3" t="str" cm="1">
        <f t="array" ref="B803">_xlfn.XLOOKUP($C803,_xlfn.ANCHORARRAY(Symptoms!$B$2),Symptoms!$A$2:$A$15,"Not Found")</f>
        <v>S007</v>
      </c>
      <c r="C803" s="22" t="s">
        <v>3463</v>
      </c>
    </row>
    <row r="804" spans="1:3">
      <c r="A804" s="21" t="s">
        <v>981</v>
      </c>
      <c r="B804" s="3" t="str" cm="1">
        <f t="array" ref="B804">_xlfn.XLOOKUP($C804,_xlfn.ANCHORARRAY(Symptoms!$B$2),Symptoms!$A$2:$A$15,"Not Found")</f>
        <v>S013</v>
      </c>
      <c r="C804" s="22" t="s">
        <v>420</v>
      </c>
    </row>
    <row r="805" spans="1:3">
      <c r="A805" s="21" t="s">
        <v>982</v>
      </c>
      <c r="B805" s="3" t="str" cm="1">
        <f t="array" ref="B805">_xlfn.XLOOKUP($C805,_xlfn.ANCHORARRAY(Symptoms!$B$2),Symptoms!$A$2:$A$15,"Not Found")</f>
        <v>S009</v>
      </c>
      <c r="C805" s="22" t="s">
        <v>3464</v>
      </c>
    </row>
    <row r="806" spans="1:3">
      <c r="A806" s="21" t="s">
        <v>982</v>
      </c>
      <c r="B806" s="3" t="str" cm="1">
        <f t="array" ref="B806">_xlfn.XLOOKUP($C806,_xlfn.ANCHORARRAY(Symptoms!$B$2),Symptoms!$A$2:$A$15,"Not Found")</f>
        <v>S005</v>
      </c>
      <c r="C806" s="22" t="s">
        <v>3461</v>
      </c>
    </row>
    <row r="807" spans="1:3">
      <c r="A807" s="21" t="s">
        <v>983</v>
      </c>
      <c r="B807" s="3" t="str" cm="1">
        <f t="array" ref="B807">_xlfn.XLOOKUP($C807,_xlfn.ANCHORARRAY(Symptoms!$B$2),Symptoms!$A$2:$A$15,"Not Found")</f>
        <v>S005</v>
      </c>
      <c r="C807" s="22" t="s">
        <v>3461</v>
      </c>
    </row>
    <row r="808" spans="1:3">
      <c r="A808" s="21" t="s">
        <v>984</v>
      </c>
      <c r="B808" s="3" t="str" cm="1">
        <f t="array" ref="B808">_xlfn.XLOOKUP($C808,_xlfn.ANCHORARRAY(Symptoms!$B$2),Symptoms!$A$2:$A$15,"Not Found")</f>
        <v>S003</v>
      </c>
      <c r="C808" s="22" t="s">
        <v>2875</v>
      </c>
    </row>
    <row r="809" spans="1:3">
      <c r="A809" s="21" t="s">
        <v>984</v>
      </c>
      <c r="B809" s="3" t="str" cm="1">
        <f t="array" ref="B809">_xlfn.XLOOKUP($C809,_xlfn.ANCHORARRAY(Symptoms!$B$2),Symptoms!$A$2:$A$15,"Not Found")</f>
        <v>S004</v>
      </c>
      <c r="C809" s="22" t="s">
        <v>2876</v>
      </c>
    </row>
    <row r="810" spans="1:3">
      <c r="A810" s="21" t="s">
        <v>985</v>
      </c>
      <c r="B810" s="3" t="str" cm="1">
        <f t="array" ref="B810">_xlfn.XLOOKUP($C810,_xlfn.ANCHORARRAY(Symptoms!$B$2),Symptoms!$A$2:$A$15,"Not Found")</f>
        <v>S007</v>
      </c>
      <c r="C810" s="22" t="s">
        <v>3463</v>
      </c>
    </row>
    <row r="811" spans="1:3">
      <c r="A811" s="21" t="s">
        <v>986</v>
      </c>
      <c r="B811" s="3" t="str" cm="1">
        <f t="array" ref="B811">_xlfn.XLOOKUP($C811,_xlfn.ANCHORARRAY(Symptoms!$B$2),Symptoms!$A$2:$A$15,"Not Found")</f>
        <v>S005</v>
      </c>
      <c r="C811" s="22" t="s">
        <v>3461</v>
      </c>
    </row>
    <row r="812" spans="1:3">
      <c r="A812" s="21" t="s">
        <v>986</v>
      </c>
      <c r="B812" s="3" t="str" cm="1">
        <f t="array" ref="B812">_xlfn.XLOOKUP($C812,_xlfn.ANCHORARRAY(Symptoms!$B$2),Symptoms!$A$2:$A$15,"Not Found")</f>
        <v>S007</v>
      </c>
      <c r="C812" s="22" t="s">
        <v>3463</v>
      </c>
    </row>
    <row r="813" spans="1:3">
      <c r="A813" s="21" t="s">
        <v>987</v>
      </c>
      <c r="B813" s="3" t="str" cm="1">
        <f t="array" ref="B813">_xlfn.XLOOKUP($C813,_xlfn.ANCHORARRAY(Symptoms!$B$2),Symptoms!$A$2:$A$15,"Not Found")</f>
        <v>S007</v>
      </c>
      <c r="C813" s="22" t="s">
        <v>3463</v>
      </c>
    </row>
    <row r="814" spans="1:3">
      <c r="A814" s="21" t="s">
        <v>988</v>
      </c>
      <c r="B814" s="3" t="str" cm="1">
        <f t="array" ref="B814">_xlfn.XLOOKUP($C814,_xlfn.ANCHORARRAY(Symptoms!$B$2),Symptoms!$A$2:$A$15,"Not Found")</f>
        <v>S001</v>
      </c>
      <c r="C814" s="22" t="s">
        <v>3462</v>
      </c>
    </row>
    <row r="815" spans="1:3">
      <c r="A815" s="21" t="s">
        <v>988</v>
      </c>
      <c r="B815" s="3" t="str" cm="1">
        <f t="array" ref="B815">_xlfn.XLOOKUP($C815,_xlfn.ANCHORARRAY(Symptoms!$B$2),Symptoms!$A$2:$A$15,"Not Found")</f>
        <v>S002</v>
      </c>
      <c r="C815" s="22" t="s">
        <v>3466</v>
      </c>
    </row>
    <row r="816" spans="1:3">
      <c r="A816" s="21" t="s">
        <v>989</v>
      </c>
      <c r="B816" s="3" t="str" cm="1">
        <f t="array" ref="B816">_xlfn.XLOOKUP($C816,_xlfn.ANCHORARRAY(Symptoms!$B$2),Symptoms!$A$2:$A$15,"Not Found")</f>
        <v>S005</v>
      </c>
      <c r="C816" s="22" t="s">
        <v>3461</v>
      </c>
    </row>
    <row r="817" spans="1:3">
      <c r="A817" s="21" t="s">
        <v>990</v>
      </c>
      <c r="B817" s="3" t="str" cm="1">
        <f t="array" ref="B817">_xlfn.XLOOKUP($C817,_xlfn.ANCHORARRAY(Symptoms!$B$2),Symptoms!$A$2:$A$15,"Not Found")</f>
        <v>S005</v>
      </c>
      <c r="C817" s="22" t="s">
        <v>3461</v>
      </c>
    </row>
    <row r="818" spans="1:3">
      <c r="A818" s="21" t="s">
        <v>991</v>
      </c>
      <c r="B818" s="3" t="str" cm="1">
        <f t="array" ref="B818">_xlfn.XLOOKUP($C818,_xlfn.ANCHORARRAY(Symptoms!$B$2),Symptoms!$A$2:$A$15,"Not Found")</f>
        <v>S003</v>
      </c>
      <c r="C818" s="22" t="s">
        <v>2875</v>
      </c>
    </row>
    <row r="819" spans="1:3">
      <c r="A819" s="21" t="s">
        <v>991</v>
      </c>
      <c r="B819" s="3" t="str" cm="1">
        <f t="array" ref="B819">_xlfn.XLOOKUP($C819,_xlfn.ANCHORARRAY(Symptoms!$B$2),Symptoms!$A$2:$A$15,"Not Found")</f>
        <v>S004</v>
      </c>
      <c r="C819" s="22" t="s">
        <v>2876</v>
      </c>
    </row>
    <row r="820" spans="1:3">
      <c r="A820" s="21" t="s">
        <v>992</v>
      </c>
      <c r="B820" s="3" t="str" cm="1">
        <f t="array" ref="B820">_xlfn.XLOOKUP($C820,_xlfn.ANCHORARRAY(Symptoms!$B$2),Symptoms!$A$2:$A$15,"Not Found")</f>
        <v>S006</v>
      </c>
      <c r="C820" s="22" t="s">
        <v>2280</v>
      </c>
    </row>
    <row r="821" spans="1:3">
      <c r="A821" s="21" t="s">
        <v>993</v>
      </c>
      <c r="B821" s="3" t="str" cm="1">
        <f t="array" ref="B821">_xlfn.XLOOKUP($C821,_xlfn.ANCHORARRAY(Symptoms!$B$2),Symptoms!$A$2:$A$15,"Not Found")</f>
        <v>S007</v>
      </c>
      <c r="C821" s="22" t="s">
        <v>3463</v>
      </c>
    </row>
    <row r="822" spans="1:3">
      <c r="A822" s="21" t="s">
        <v>994</v>
      </c>
      <c r="B822" s="3" t="str" cm="1">
        <f t="array" ref="B822">_xlfn.XLOOKUP($C822,_xlfn.ANCHORARRAY(Symptoms!$B$2),Symptoms!$A$2:$A$15,"Not Found")</f>
        <v>S007</v>
      </c>
      <c r="C822" s="22" t="s">
        <v>3463</v>
      </c>
    </row>
    <row r="823" spans="1:3">
      <c r="A823" s="21" t="s">
        <v>995</v>
      </c>
      <c r="B823" s="3" t="str" cm="1">
        <f t="array" ref="B823">_xlfn.XLOOKUP($C823,_xlfn.ANCHORARRAY(Symptoms!$B$2),Symptoms!$A$2:$A$15,"Not Found")</f>
        <v>S007</v>
      </c>
      <c r="C823" s="22" t="s">
        <v>3463</v>
      </c>
    </row>
    <row r="824" spans="1:3">
      <c r="A824" s="21" t="s">
        <v>996</v>
      </c>
      <c r="B824" s="3" t="str" cm="1">
        <f t="array" ref="B824">_xlfn.XLOOKUP($C824,_xlfn.ANCHORARRAY(Symptoms!$B$2),Symptoms!$A$2:$A$15,"Not Found")</f>
        <v>S005</v>
      </c>
      <c r="C824" s="22" t="s">
        <v>3461</v>
      </c>
    </row>
    <row r="825" spans="1:3">
      <c r="A825" s="21" t="s">
        <v>996</v>
      </c>
      <c r="B825" s="3" t="str" cm="1">
        <f t="array" ref="B825">_xlfn.XLOOKUP($C825,_xlfn.ANCHORARRAY(Symptoms!$B$2),Symptoms!$A$2:$A$15,"Not Found")</f>
        <v>S007</v>
      </c>
      <c r="C825" s="22" t="s">
        <v>3463</v>
      </c>
    </row>
    <row r="826" spans="1:3">
      <c r="A826" s="21" t="s">
        <v>997</v>
      </c>
      <c r="B826" s="3" t="str" cm="1">
        <f t="array" ref="B826">_xlfn.XLOOKUP($C826,_xlfn.ANCHORARRAY(Symptoms!$B$2),Symptoms!$A$2:$A$15,"Not Found")</f>
        <v>S005</v>
      </c>
      <c r="C826" s="22" t="s">
        <v>3461</v>
      </c>
    </row>
    <row r="827" spans="1:3">
      <c r="A827" s="21" t="s">
        <v>997</v>
      </c>
      <c r="B827" s="3" t="str" cm="1">
        <f t="array" ref="B827">_xlfn.XLOOKUP($C827,_xlfn.ANCHORARRAY(Symptoms!$B$2),Symptoms!$A$2:$A$15,"Not Found")</f>
        <v>S001</v>
      </c>
      <c r="C827" s="22" t="s">
        <v>3462</v>
      </c>
    </row>
    <row r="828" spans="1:3">
      <c r="A828" s="21" t="s">
        <v>997</v>
      </c>
      <c r="B828" s="3" t="str" cm="1">
        <f t="array" ref="B828">_xlfn.XLOOKUP($C828,_xlfn.ANCHORARRAY(Symptoms!$B$2),Symptoms!$A$2:$A$15,"Not Found")</f>
        <v>S009</v>
      </c>
      <c r="C828" s="22" t="s">
        <v>3464</v>
      </c>
    </row>
    <row r="829" spans="1:3">
      <c r="A829" s="21" t="s">
        <v>998</v>
      </c>
      <c r="B829" s="3" t="str" cm="1">
        <f t="array" ref="B829">_xlfn.XLOOKUP($C829,_xlfn.ANCHORARRAY(Symptoms!$B$2),Symptoms!$A$2:$A$15,"Not Found")</f>
        <v>S010</v>
      </c>
      <c r="C829" s="22" t="s">
        <v>3465</v>
      </c>
    </row>
    <row r="830" spans="1:3">
      <c r="A830" s="21" t="s">
        <v>998</v>
      </c>
      <c r="B830" s="3" t="str" cm="1">
        <f t="array" ref="B830">_xlfn.XLOOKUP($C830,_xlfn.ANCHORARRAY(Symptoms!$B$2),Symptoms!$A$2:$A$15,"Not Found")</f>
        <v>S001</v>
      </c>
      <c r="C830" s="22" t="s">
        <v>3462</v>
      </c>
    </row>
    <row r="831" spans="1:3">
      <c r="A831" s="21" t="s">
        <v>999</v>
      </c>
      <c r="B831" s="3" t="str" cm="1">
        <f t="array" ref="B831">_xlfn.XLOOKUP($C831,_xlfn.ANCHORARRAY(Symptoms!$B$2),Symptoms!$A$2:$A$15,"Not Found")</f>
        <v>S005</v>
      </c>
      <c r="C831" s="22" t="s">
        <v>3461</v>
      </c>
    </row>
    <row r="832" spans="1:3">
      <c r="A832" s="21" t="s">
        <v>999</v>
      </c>
      <c r="B832" s="3" t="str" cm="1">
        <f t="array" ref="B832">_xlfn.XLOOKUP($C832,_xlfn.ANCHORARRAY(Symptoms!$B$2),Symptoms!$A$2:$A$15,"Not Found")</f>
        <v>S007</v>
      </c>
      <c r="C832" s="22" t="s">
        <v>3463</v>
      </c>
    </row>
    <row r="833" spans="1:3">
      <c r="A833" s="21" t="s">
        <v>1000</v>
      </c>
      <c r="B833" s="3" t="str" cm="1">
        <f t="array" ref="B833">_xlfn.XLOOKUP($C833,_xlfn.ANCHORARRAY(Symptoms!$B$2),Symptoms!$A$2:$A$15,"Not Found")</f>
        <v>S001</v>
      </c>
      <c r="C833" s="22" t="s">
        <v>3462</v>
      </c>
    </row>
    <row r="834" spans="1:3">
      <c r="A834" s="21" t="s">
        <v>1001</v>
      </c>
      <c r="B834" s="3" t="str" cm="1">
        <f t="array" ref="B834">_xlfn.XLOOKUP($C834,_xlfn.ANCHORARRAY(Symptoms!$B$2),Symptoms!$A$2:$A$15,"Not Found")</f>
        <v>S005</v>
      </c>
      <c r="C834" s="22" t="s">
        <v>3461</v>
      </c>
    </row>
    <row r="835" spans="1:3">
      <c r="A835" s="21" t="s">
        <v>1002</v>
      </c>
      <c r="B835" s="3" t="str" cm="1">
        <f t="array" ref="B835">_xlfn.XLOOKUP($C835,_xlfn.ANCHORARRAY(Symptoms!$B$2),Symptoms!$A$2:$A$15,"Not Found")</f>
        <v>S013</v>
      </c>
      <c r="C835" s="22" t="s">
        <v>420</v>
      </c>
    </row>
    <row r="836" spans="1:3">
      <c r="A836" s="21" t="s">
        <v>1003</v>
      </c>
      <c r="B836" s="3" t="str" cm="1">
        <f t="array" ref="B836">_xlfn.XLOOKUP($C836,_xlfn.ANCHORARRAY(Symptoms!$B$2),Symptoms!$A$2:$A$15,"Not Found")</f>
        <v>S004</v>
      </c>
      <c r="C836" s="22" t="s">
        <v>2876</v>
      </c>
    </row>
    <row r="837" spans="1:3">
      <c r="A837" s="21" t="s">
        <v>1003</v>
      </c>
      <c r="B837" s="3" t="str" cm="1">
        <f t="array" ref="B837">_xlfn.XLOOKUP($C837,_xlfn.ANCHORARRAY(Symptoms!$B$2),Symptoms!$A$2:$A$15,"Not Found")</f>
        <v>S008</v>
      </c>
      <c r="C837" s="22" t="s">
        <v>3467</v>
      </c>
    </row>
    <row r="838" spans="1:3">
      <c r="A838" s="21" t="s">
        <v>1003</v>
      </c>
      <c r="B838" s="3" t="str" cm="1">
        <f t="array" ref="B838">_xlfn.XLOOKUP($C838,_xlfn.ANCHORARRAY(Symptoms!$B$2),Symptoms!$A$2:$A$15,"Not Found")</f>
        <v>S007</v>
      </c>
      <c r="C838" s="22" t="s">
        <v>3463</v>
      </c>
    </row>
    <row r="839" spans="1:3">
      <c r="A839" s="21" t="s">
        <v>1004</v>
      </c>
      <c r="B839" s="3" t="str" cm="1">
        <f t="array" ref="B839">_xlfn.XLOOKUP($C839,_xlfn.ANCHORARRAY(Symptoms!$B$2),Symptoms!$A$2:$A$15,"Not Found")</f>
        <v>S009</v>
      </c>
      <c r="C839" s="22" t="s">
        <v>3464</v>
      </c>
    </row>
    <row r="840" spans="1:3">
      <c r="A840" s="21" t="s">
        <v>1004</v>
      </c>
      <c r="B840" s="3" t="str" cm="1">
        <f t="array" ref="B840">_xlfn.XLOOKUP($C840,_xlfn.ANCHORARRAY(Symptoms!$B$2),Symptoms!$A$2:$A$15,"Not Found")</f>
        <v>S001</v>
      </c>
      <c r="C840" s="22" t="s">
        <v>3462</v>
      </c>
    </row>
    <row r="841" spans="1:3">
      <c r="A841" s="21" t="s">
        <v>1004</v>
      </c>
      <c r="B841" s="3" t="str" cm="1">
        <f t="array" ref="B841">_xlfn.XLOOKUP($C841,_xlfn.ANCHORARRAY(Symptoms!$B$2),Symptoms!$A$2:$A$15,"Not Found")</f>
        <v>S007</v>
      </c>
      <c r="C841" s="22" t="s">
        <v>3463</v>
      </c>
    </row>
    <row r="842" spans="1:3">
      <c r="A842" s="21" t="s">
        <v>1005</v>
      </c>
      <c r="B842" s="3" t="str" cm="1">
        <f t="array" ref="B842">_xlfn.XLOOKUP($C842,_xlfn.ANCHORARRAY(Symptoms!$B$2),Symptoms!$A$2:$A$15,"Not Found")</f>
        <v>S013</v>
      </c>
      <c r="C842" s="22" t="s">
        <v>420</v>
      </c>
    </row>
    <row r="843" spans="1:3">
      <c r="A843" s="21" t="s">
        <v>1006</v>
      </c>
      <c r="B843" s="3" t="str" cm="1">
        <f t="array" ref="B843">_xlfn.XLOOKUP($C843,_xlfn.ANCHORARRAY(Symptoms!$B$2),Symptoms!$A$2:$A$15,"Not Found")</f>
        <v>S009</v>
      </c>
      <c r="C843" s="22" t="s">
        <v>3464</v>
      </c>
    </row>
    <row r="844" spans="1:3">
      <c r="A844" s="21" t="s">
        <v>1006</v>
      </c>
      <c r="B844" s="3" t="str" cm="1">
        <f t="array" ref="B844">_xlfn.XLOOKUP($C844,_xlfn.ANCHORARRAY(Symptoms!$B$2),Symptoms!$A$2:$A$15,"Not Found")</f>
        <v>S005</v>
      </c>
      <c r="C844" s="22" t="s">
        <v>3461</v>
      </c>
    </row>
    <row r="845" spans="1:3">
      <c r="A845" s="21" t="s">
        <v>1007</v>
      </c>
      <c r="B845" s="3" t="str" cm="1">
        <f t="array" ref="B845">_xlfn.XLOOKUP($C845,_xlfn.ANCHORARRAY(Symptoms!$B$2),Symptoms!$A$2:$A$15,"Not Found")</f>
        <v>S005</v>
      </c>
      <c r="C845" s="22" t="s">
        <v>3461</v>
      </c>
    </row>
    <row r="846" spans="1:3">
      <c r="A846" s="21" t="s">
        <v>1008</v>
      </c>
      <c r="B846" s="3" t="str" cm="1">
        <f t="array" ref="B846">_xlfn.XLOOKUP($C846,_xlfn.ANCHORARRAY(Symptoms!$B$2),Symptoms!$A$2:$A$15,"Not Found")</f>
        <v>S003</v>
      </c>
      <c r="C846" s="22" t="s">
        <v>2875</v>
      </c>
    </row>
    <row r="847" spans="1:3">
      <c r="A847" s="21" t="s">
        <v>1008</v>
      </c>
      <c r="B847" s="3" t="str" cm="1">
        <f t="array" ref="B847">_xlfn.XLOOKUP($C847,_xlfn.ANCHORARRAY(Symptoms!$B$2),Symptoms!$A$2:$A$15,"Not Found")</f>
        <v>S004</v>
      </c>
      <c r="C847" s="22" t="s">
        <v>2876</v>
      </c>
    </row>
    <row r="848" spans="1:3">
      <c r="A848" s="21" t="s">
        <v>1009</v>
      </c>
      <c r="B848" s="3" t="str" cm="1">
        <f t="array" ref="B848">_xlfn.XLOOKUP($C848,_xlfn.ANCHORARRAY(Symptoms!$B$2),Symptoms!$A$2:$A$15,"Not Found")</f>
        <v>S007</v>
      </c>
      <c r="C848" s="22" t="s">
        <v>3463</v>
      </c>
    </row>
    <row r="849" spans="1:3">
      <c r="A849" s="21" t="s">
        <v>1010</v>
      </c>
      <c r="B849" s="3" t="str" cm="1">
        <f t="array" ref="B849">_xlfn.XLOOKUP($C849,_xlfn.ANCHORARRAY(Symptoms!$B$2),Symptoms!$A$2:$A$15,"Not Found")</f>
        <v>S005</v>
      </c>
      <c r="C849" s="22" t="s">
        <v>3461</v>
      </c>
    </row>
    <row r="850" spans="1:3">
      <c r="A850" s="21" t="s">
        <v>1010</v>
      </c>
      <c r="B850" s="3" t="str" cm="1">
        <f t="array" ref="B850">_xlfn.XLOOKUP($C850,_xlfn.ANCHORARRAY(Symptoms!$B$2),Symptoms!$A$2:$A$15,"Not Found")</f>
        <v>S007</v>
      </c>
      <c r="C850" s="22" t="s">
        <v>3463</v>
      </c>
    </row>
    <row r="851" spans="1:3">
      <c r="A851" s="21" t="s">
        <v>1011</v>
      </c>
      <c r="B851" s="3" t="str" cm="1">
        <f t="array" ref="B851">_xlfn.XLOOKUP($C851,_xlfn.ANCHORARRAY(Symptoms!$B$2),Symptoms!$A$2:$A$15,"Not Found")</f>
        <v>S007</v>
      </c>
      <c r="C851" s="22" t="s">
        <v>3463</v>
      </c>
    </row>
    <row r="852" spans="1:3">
      <c r="A852" s="21" t="s">
        <v>1012</v>
      </c>
      <c r="B852" s="3" t="str" cm="1">
        <f t="array" ref="B852">_xlfn.XLOOKUP($C852,_xlfn.ANCHORARRAY(Symptoms!$B$2),Symptoms!$A$2:$A$15,"Not Found")</f>
        <v>S001</v>
      </c>
      <c r="C852" s="22" t="s">
        <v>3462</v>
      </c>
    </row>
    <row r="853" spans="1:3">
      <c r="A853" s="21" t="s">
        <v>1012</v>
      </c>
      <c r="B853" s="3" t="str" cm="1">
        <f t="array" ref="B853">_xlfn.XLOOKUP($C853,_xlfn.ANCHORARRAY(Symptoms!$B$2),Symptoms!$A$2:$A$15,"Not Found")</f>
        <v>S002</v>
      </c>
      <c r="C853" s="22" t="s">
        <v>3466</v>
      </c>
    </row>
    <row r="854" spans="1:3">
      <c r="A854" s="21" t="s">
        <v>1013</v>
      </c>
      <c r="B854" s="3" t="str" cm="1">
        <f t="array" ref="B854">_xlfn.XLOOKUP($C854,_xlfn.ANCHORARRAY(Symptoms!$B$2),Symptoms!$A$2:$A$15,"Not Found")</f>
        <v>S005</v>
      </c>
      <c r="C854" s="22" t="s">
        <v>3461</v>
      </c>
    </row>
    <row r="855" spans="1:3">
      <c r="A855" s="21" t="s">
        <v>1014</v>
      </c>
      <c r="B855" s="3" t="str" cm="1">
        <f t="array" ref="B855">_xlfn.XLOOKUP($C855,_xlfn.ANCHORARRAY(Symptoms!$B$2),Symptoms!$A$2:$A$15,"Not Found")</f>
        <v>S005</v>
      </c>
      <c r="C855" s="22" t="s">
        <v>3461</v>
      </c>
    </row>
    <row r="856" spans="1:3">
      <c r="A856" s="21" t="s">
        <v>1015</v>
      </c>
      <c r="B856" s="3" t="str" cm="1">
        <f t="array" ref="B856">_xlfn.XLOOKUP($C856,_xlfn.ANCHORARRAY(Symptoms!$B$2),Symptoms!$A$2:$A$15,"Not Found")</f>
        <v>S003</v>
      </c>
      <c r="C856" s="22" t="s">
        <v>2875</v>
      </c>
    </row>
    <row r="857" spans="1:3">
      <c r="A857" s="21" t="s">
        <v>1015</v>
      </c>
      <c r="B857" s="3" t="str" cm="1">
        <f t="array" ref="B857">_xlfn.XLOOKUP($C857,_xlfn.ANCHORARRAY(Symptoms!$B$2),Symptoms!$A$2:$A$15,"Not Found")</f>
        <v>S004</v>
      </c>
      <c r="C857" s="22" t="s">
        <v>2876</v>
      </c>
    </row>
    <row r="858" spans="1:3">
      <c r="A858" s="21" t="s">
        <v>1016</v>
      </c>
      <c r="B858" s="3" t="str" cm="1">
        <f t="array" ref="B858">_xlfn.XLOOKUP($C858,_xlfn.ANCHORARRAY(Symptoms!$B$2),Symptoms!$A$2:$A$15,"Not Found")</f>
        <v>S006</v>
      </c>
      <c r="C858" s="22" t="s">
        <v>2280</v>
      </c>
    </row>
    <row r="859" spans="1:3">
      <c r="A859" s="21" t="s">
        <v>1017</v>
      </c>
      <c r="B859" s="3" t="str" cm="1">
        <f t="array" ref="B859">_xlfn.XLOOKUP($C859,_xlfn.ANCHORARRAY(Symptoms!$B$2),Symptoms!$A$2:$A$15,"Not Found")</f>
        <v>S007</v>
      </c>
      <c r="C859" s="22" t="s">
        <v>3463</v>
      </c>
    </row>
    <row r="860" spans="1:3">
      <c r="A860" s="21" t="s">
        <v>1018</v>
      </c>
      <c r="B860" s="3" t="str" cm="1">
        <f t="array" ref="B860">_xlfn.XLOOKUP($C860,_xlfn.ANCHORARRAY(Symptoms!$B$2),Symptoms!$A$2:$A$15,"Not Found")</f>
        <v>S007</v>
      </c>
      <c r="C860" s="22" t="s">
        <v>3463</v>
      </c>
    </row>
    <row r="861" spans="1:3">
      <c r="A861" s="21" t="s">
        <v>1019</v>
      </c>
      <c r="B861" s="3" t="str" cm="1">
        <f t="array" ref="B861">_xlfn.XLOOKUP($C861,_xlfn.ANCHORARRAY(Symptoms!$B$2),Symptoms!$A$2:$A$15,"Not Found")</f>
        <v>S007</v>
      </c>
      <c r="C861" s="22" t="s">
        <v>3463</v>
      </c>
    </row>
    <row r="862" spans="1:3">
      <c r="A862" s="21" t="s">
        <v>1019</v>
      </c>
      <c r="B862" s="3" t="str" cm="1">
        <f t="array" ref="B862">_xlfn.XLOOKUP($C862,_xlfn.ANCHORARRAY(Symptoms!$B$2),Symptoms!$A$2:$A$15,"Not Found")</f>
        <v>S005</v>
      </c>
      <c r="C862" s="22" t="s">
        <v>3461</v>
      </c>
    </row>
    <row r="863" spans="1:3">
      <c r="A863" s="21" t="s">
        <v>1019</v>
      </c>
      <c r="B863" s="3" t="str" cm="1">
        <f t="array" ref="B863">_xlfn.XLOOKUP($C863,_xlfn.ANCHORARRAY(Symptoms!$B$2),Symptoms!$A$2:$A$15,"Not Found")</f>
        <v>S007</v>
      </c>
      <c r="C863" s="22" t="s">
        <v>3463</v>
      </c>
    </row>
    <row r="864" spans="1:3">
      <c r="A864" s="21" t="s">
        <v>1020</v>
      </c>
      <c r="B864" s="3" t="str" cm="1">
        <f t="array" ref="B864">_xlfn.XLOOKUP($C864,_xlfn.ANCHORARRAY(Symptoms!$B$2),Symptoms!$A$2:$A$15,"Not Found")</f>
        <v>S005</v>
      </c>
      <c r="C864" s="22" t="s">
        <v>3461</v>
      </c>
    </row>
    <row r="865" spans="1:3">
      <c r="A865" s="21" t="s">
        <v>1020</v>
      </c>
      <c r="B865" s="3" t="str" cm="1">
        <f t="array" ref="B865">_xlfn.XLOOKUP($C865,_xlfn.ANCHORARRAY(Symptoms!$B$2),Symptoms!$A$2:$A$15,"Not Found")</f>
        <v>S001</v>
      </c>
      <c r="C865" s="22" t="s">
        <v>3462</v>
      </c>
    </row>
    <row r="866" spans="1:3">
      <c r="A866" s="21" t="s">
        <v>1020</v>
      </c>
      <c r="B866" s="3" t="str" cm="1">
        <f t="array" ref="B866">_xlfn.XLOOKUP($C866,_xlfn.ANCHORARRAY(Symptoms!$B$2),Symptoms!$A$2:$A$15,"Not Found")</f>
        <v>S009</v>
      </c>
      <c r="C866" s="22" t="s">
        <v>3464</v>
      </c>
    </row>
    <row r="867" spans="1:3">
      <c r="A867" s="21" t="s">
        <v>1021</v>
      </c>
      <c r="B867" s="3" t="str" cm="1">
        <f t="array" ref="B867">_xlfn.XLOOKUP($C867,_xlfn.ANCHORARRAY(Symptoms!$B$2),Symptoms!$A$2:$A$15,"Not Found")</f>
        <v>S010</v>
      </c>
      <c r="C867" s="22" t="s">
        <v>3465</v>
      </c>
    </row>
    <row r="868" spans="1:3">
      <c r="A868" s="21" t="s">
        <v>1021</v>
      </c>
      <c r="B868" s="3" t="str" cm="1">
        <f t="array" ref="B868">_xlfn.XLOOKUP($C868,_xlfn.ANCHORARRAY(Symptoms!$B$2),Symptoms!$A$2:$A$15,"Not Found")</f>
        <v>S001</v>
      </c>
      <c r="C868" s="22" t="s">
        <v>3462</v>
      </c>
    </row>
    <row r="869" spans="1:3">
      <c r="A869" s="21" t="s">
        <v>1022</v>
      </c>
      <c r="B869" s="3" t="str" cm="1">
        <f t="array" ref="B869">_xlfn.XLOOKUP($C869,_xlfn.ANCHORARRAY(Symptoms!$B$2),Symptoms!$A$2:$A$15,"Not Found")</f>
        <v>S005</v>
      </c>
      <c r="C869" s="22" t="s">
        <v>3461</v>
      </c>
    </row>
    <row r="870" spans="1:3">
      <c r="A870" s="21" t="s">
        <v>1022</v>
      </c>
      <c r="B870" s="3" t="str" cm="1">
        <f t="array" ref="B870">_xlfn.XLOOKUP($C870,_xlfn.ANCHORARRAY(Symptoms!$B$2),Symptoms!$A$2:$A$15,"Not Found")</f>
        <v>S007</v>
      </c>
      <c r="C870" s="22" t="s">
        <v>3463</v>
      </c>
    </row>
    <row r="871" spans="1:3">
      <c r="A871" s="21" t="s">
        <v>1023</v>
      </c>
      <c r="B871" s="3" t="str" cm="1">
        <f t="array" ref="B871">_xlfn.XLOOKUP($C871,_xlfn.ANCHORARRAY(Symptoms!$B$2),Symptoms!$A$2:$A$15,"Not Found")</f>
        <v>S001</v>
      </c>
      <c r="C871" s="22" t="s">
        <v>3462</v>
      </c>
    </row>
    <row r="872" spans="1:3">
      <c r="A872" s="21" t="s">
        <v>1024</v>
      </c>
      <c r="B872" s="3" t="str" cm="1">
        <f t="array" ref="B872">_xlfn.XLOOKUP($C872,_xlfn.ANCHORARRAY(Symptoms!$B$2),Symptoms!$A$2:$A$15,"Not Found")</f>
        <v>S005</v>
      </c>
      <c r="C872" s="22" t="s">
        <v>3461</v>
      </c>
    </row>
    <row r="873" spans="1:3">
      <c r="A873" s="21" t="s">
        <v>1025</v>
      </c>
      <c r="B873" s="3" t="str" cm="1">
        <f t="array" ref="B873">_xlfn.XLOOKUP($C873,_xlfn.ANCHORARRAY(Symptoms!$B$2),Symptoms!$A$2:$A$15,"Not Found")</f>
        <v>S013</v>
      </c>
      <c r="C873" s="22" t="s">
        <v>420</v>
      </c>
    </row>
    <row r="874" spans="1:3">
      <c r="A874" s="21" t="s">
        <v>1026</v>
      </c>
      <c r="B874" s="3" t="str" cm="1">
        <f t="array" ref="B874">_xlfn.XLOOKUP($C874,_xlfn.ANCHORARRAY(Symptoms!$B$2),Symptoms!$A$2:$A$15,"Not Found")</f>
        <v>S004</v>
      </c>
      <c r="C874" s="22" t="s">
        <v>2876</v>
      </c>
    </row>
    <row r="875" spans="1:3">
      <c r="A875" s="21" t="s">
        <v>1026</v>
      </c>
      <c r="B875" s="3" t="str" cm="1">
        <f t="array" ref="B875">_xlfn.XLOOKUP($C875,_xlfn.ANCHORARRAY(Symptoms!$B$2),Symptoms!$A$2:$A$15,"Not Found")</f>
        <v>S008</v>
      </c>
      <c r="C875" s="22" t="s">
        <v>3467</v>
      </c>
    </row>
    <row r="876" spans="1:3">
      <c r="A876" s="21" t="s">
        <v>1026</v>
      </c>
      <c r="B876" s="3" t="str" cm="1">
        <f t="array" ref="B876">_xlfn.XLOOKUP($C876,_xlfn.ANCHORARRAY(Symptoms!$B$2),Symptoms!$A$2:$A$15,"Not Found")</f>
        <v>S007</v>
      </c>
      <c r="C876" s="22" t="s">
        <v>3463</v>
      </c>
    </row>
    <row r="877" spans="1:3">
      <c r="A877" s="21" t="s">
        <v>1027</v>
      </c>
      <c r="B877" s="3" t="str" cm="1">
        <f t="array" ref="B877">_xlfn.XLOOKUP($C877,_xlfn.ANCHORARRAY(Symptoms!$B$2),Symptoms!$A$2:$A$15,"Not Found")</f>
        <v>S009</v>
      </c>
      <c r="C877" s="22" t="s">
        <v>3464</v>
      </c>
    </row>
    <row r="878" spans="1:3">
      <c r="A878" s="21" t="s">
        <v>1027</v>
      </c>
      <c r="B878" s="3" t="str" cm="1">
        <f t="array" ref="B878">_xlfn.XLOOKUP($C878,_xlfn.ANCHORARRAY(Symptoms!$B$2),Symptoms!$A$2:$A$15,"Not Found")</f>
        <v>S001</v>
      </c>
      <c r="C878" s="22" t="s">
        <v>3462</v>
      </c>
    </row>
    <row r="879" spans="1:3">
      <c r="A879" s="21" t="s">
        <v>1027</v>
      </c>
      <c r="B879" s="3" t="str" cm="1">
        <f t="array" ref="B879">_xlfn.XLOOKUP($C879,_xlfn.ANCHORARRAY(Symptoms!$B$2),Symptoms!$A$2:$A$15,"Not Found")</f>
        <v>S007</v>
      </c>
      <c r="C879" s="22" t="s">
        <v>3463</v>
      </c>
    </row>
    <row r="880" spans="1:3">
      <c r="A880" s="21" t="s">
        <v>1028</v>
      </c>
      <c r="B880" s="3" t="str" cm="1">
        <f t="array" ref="B880">_xlfn.XLOOKUP($C880,_xlfn.ANCHORARRAY(Symptoms!$B$2),Symptoms!$A$2:$A$15,"Not Found")</f>
        <v>S013</v>
      </c>
      <c r="C880" s="22" t="s">
        <v>420</v>
      </c>
    </row>
    <row r="881" spans="1:3">
      <c r="A881" s="21" t="s">
        <v>1029</v>
      </c>
      <c r="B881" s="3" t="str" cm="1">
        <f t="array" ref="B881">_xlfn.XLOOKUP($C881,_xlfn.ANCHORARRAY(Symptoms!$B$2),Symptoms!$A$2:$A$15,"Not Found")</f>
        <v>S009</v>
      </c>
      <c r="C881" s="22" t="s">
        <v>3464</v>
      </c>
    </row>
    <row r="882" spans="1:3">
      <c r="A882" s="21" t="s">
        <v>1029</v>
      </c>
      <c r="B882" s="3" t="str" cm="1">
        <f t="array" ref="B882">_xlfn.XLOOKUP($C882,_xlfn.ANCHORARRAY(Symptoms!$B$2),Symptoms!$A$2:$A$15,"Not Found")</f>
        <v>S005</v>
      </c>
      <c r="C882" s="22" t="s">
        <v>3461</v>
      </c>
    </row>
    <row r="883" spans="1:3">
      <c r="A883" s="21" t="s">
        <v>1030</v>
      </c>
      <c r="B883" s="3" t="str" cm="1">
        <f t="array" ref="B883">_xlfn.XLOOKUP($C883,_xlfn.ANCHORARRAY(Symptoms!$B$2),Symptoms!$A$2:$A$15,"Not Found")</f>
        <v>S005</v>
      </c>
      <c r="C883" s="22" t="s">
        <v>3461</v>
      </c>
    </row>
    <row r="884" spans="1:3">
      <c r="A884" s="21" t="s">
        <v>1031</v>
      </c>
      <c r="B884" s="3" t="str" cm="1">
        <f t="array" ref="B884">_xlfn.XLOOKUP($C884,_xlfn.ANCHORARRAY(Symptoms!$B$2),Symptoms!$A$2:$A$15,"Not Found")</f>
        <v>S003</v>
      </c>
      <c r="C884" s="22" t="s">
        <v>2875</v>
      </c>
    </row>
    <row r="885" spans="1:3">
      <c r="A885" s="21" t="s">
        <v>1031</v>
      </c>
      <c r="B885" s="3" t="str" cm="1">
        <f t="array" ref="B885">_xlfn.XLOOKUP($C885,_xlfn.ANCHORARRAY(Symptoms!$B$2),Symptoms!$A$2:$A$15,"Not Found")</f>
        <v>S004</v>
      </c>
      <c r="C885" s="22" t="s">
        <v>2876</v>
      </c>
    </row>
    <row r="886" spans="1:3">
      <c r="A886" s="21" t="s">
        <v>1032</v>
      </c>
      <c r="B886" s="3" t="str" cm="1">
        <f t="array" ref="B886">_xlfn.XLOOKUP($C886,_xlfn.ANCHORARRAY(Symptoms!$B$2),Symptoms!$A$2:$A$15,"Not Found")</f>
        <v>S007</v>
      </c>
      <c r="C886" s="22" t="s">
        <v>3463</v>
      </c>
    </row>
    <row r="887" spans="1:3">
      <c r="A887" s="21" t="s">
        <v>1033</v>
      </c>
      <c r="B887" s="3" t="str" cm="1">
        <f t="array" ref="B887">_xlfn.XLOOKUP($C887,_xlfn.ANCHORARRAY(Symptoms!$B$2),Symptoms!$A$2:$A$15,"Not Found")</f>
        <v>S005</v>
      </c>
      <c r="C887" s="22" t="s">
        <v>3461</v>
      </c>
    </row>
    <row r="888" spans="1:3">
      <c r="A888" s="21" t="s">
        <v>1033</v>
      </c>
      <c r="B888" s="3" t="str" cm="1">
        <f t="array" ref="B888">_xlfn.XLOOKUP($C888,_xlfn.ANCHORARRAY(Symptoms!$B$2),Symptoms!$A$2:$A$15,"Not Found")</f>
        <v>S007</v>
      </c>
      <c r="C888" s="22" t="s">
        <v>3463</v>
      </c>
    </row>
    <row r="889" spans="1:3">
      <c r="A889" s="28" t="s">
        <v>1034</v>
      </c>
      <c r="B889" s="31" t="str" cm="1">
        <f t="array" ref="B889">_xlfn.XLOOKUP($C889,_xlfn.ANCHORARRAY(Symptoms!$B$2),Symptoms!$A$2:$A$15,"Not Found")</f>
        <v>S007</v>
      </c>
      <c r="C889" s="32" t="s">
        <v>3463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07D5B6-4659-4B7C-8F0A-2953F91D86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Cleaned</vt:lpstr>
      <vt:lpstr>Demographics</vt:lpstr>
      <vt:lpstr>LifeStyle</vt:lpstr>
      <vt:lpstr>Health</vt:lpstr>
      <vt:lpstr>Medical</vt:lpstr>
      <vt:lpstr>Profession</vt:lpstr>
      <vt:lpstr>Region</vt:lpstr>
      <vt:lpstr> Demographics Health Concern</vt:lpstr>
      <vt:lpstr>Health Concerns</vt:lpstr>
      <vt:lpstr>Communication</vt:lpstr>
      <vt:lpstr>Symptoms</vt:lpstr>
      <vt:lpstr>Demographics 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05reshma91@gmail.com</cp:lastModifiedBy>
  <dcterms:created xsi:type="dcterms:W3CDTF">2026-10-06T12:06:38Z</dcterms:created>
  <dcterms:modified xsi:type="dcterms:W3CDTF">2026-10-10T14:59:38Z</dcterms:modified>
</cp:coreProperties>
</file>